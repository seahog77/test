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￦1,385</t>
        </is>
      </c>
      <c r="J5" s="73" t="n">
        <v>1384.78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11370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11270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10240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11625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13785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11005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7425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4117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26720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14710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11370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14150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22005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11910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30725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26320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11545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11370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14705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18505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8065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133600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14545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6860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13895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195600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10070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11040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10525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256750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256750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20140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348.9500122070312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63.16999816894531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41.06000137329102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310.3399963378906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20200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172100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87.72000122070312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164600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8385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72000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135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178.3899993896484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208.4799957275391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35.20999908447266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487.3099975585938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182.6199951171875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46.91999816894531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175.8899993896484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68.27999877929688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10.10999965667725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40.75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410.1199951171875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179.4799957275391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177.1399993896484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142.4499969482422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7.190000057220459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107.4899978637695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9.050000190734863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18250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39.68999862670898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15165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178765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30260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22005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203.0899963378906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164.0500030517578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106.4899978637695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87" t="n">
        <v>10</v>
      </c>
      <c r="B29" s="287">
        <f>IFERROR(INDEX('계좌현황'!A:A,INDEX($L$20:$L$95,MATCH(LARGE($N$20:$N$95,10),$N$20:$N$95,0))),"")</f>
        <v/>
      </c>
      <c r="C29" s="287">
        <f>IFERROR(INDEX('계좌현황'!C:C,INDEX($L$20:$L$95,MATCH(LARGE($N$20:$N$95,10),$N$20:$N$95,0))),"")</f>
        <v/>
      </c>
      <c r="D29" s="287">
        <f>IFERROR(INDEX('계좌현황'!D:D,INDEX($L$20:$L$95,MATCH(LARGE($N$20:$N$95,10),$N$20:$N$95,0))),"")</f>
        <v/>
      </c>
      <c r="E29" s="287">
        <f>IFERROR(INDEX('계좌현황'!E:E,INDEX($L$20:$L$95,MATCH(LARGE($N$20:$N$95,10),$N$20:$N$95,0))),"")</f>
        <v/>
      </c>
      <c r="F29" s="314">
        <f>IFERROR(INDEX('계좌현황'!F:F,INDEX($L$20:$L$95,MATCH(LARGE($N$20:$N$95,10),$N$20:$N$95,0))),"")</f>
        <v/>
      </c>
      <c r="G29" s="315">
        <f>IFERROR(INDEX('계좌현황'!K:K,INDEX($L$20:$L$95,MATCH(LARGE($N$20:$N$95,10),$N$20:$N$95,0))),0)</f>
        <v/>
      </c>
      <c r="H29" s="316">
        <f>IF($B$3=0,0,G29/$B$3)</f>
        <v/>
      </c>
      <c r="I29" s="316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78" t="n">
        <v>11</v>
      </c>
      <c r="B30" s="278">
        <f>IFERROR(INDEX('계좌현황'!A:A,INDEX($L$20:$L$95,MATCH(LARGE($N$20:$N$95,11),$N$20:$N$95,0))),"")</f>
        <v/>
      </c>
      <c r="C30" s="278">
        <f>IFERROR(INDEX('계좌현황'!C:C,INDEX($L$20:$L$95,MATCH(LARGE($N$20:$N$95,11),$N$20:$N$95,0))),"")</f>
        <v/>
      </c>
      <c r="D30" s="278">
        <f>IFERROR(INDEX('계좌현황'!D:D,INDEX($L$20:$L$95,MATCH(LARGE($N$20:$N$95,11),$N$20:$N$95,0))),"")</f>
        <v/>
      </c>
      <c r="E30" s="278">
        <f>IFERROR(INDEX('계좌현황'!E:E,INDEX($L$20:$L$95,MATCH(LARGE($N$20:$N$95,11),$N$20:$N$95,0))),"")</f>
        <v/>
      </c>
      <c r="F30" s="308">
        <f>IFERROR(INDEX('계좌현황'!F:F,INDEX($L$20:$L$95,MATCH(LARGE($N$20:$N$95,11),$N$20:$N$95,0))),"")</f>
        <v/>
      </c>
      <c r="G30" s="309">
        <f>IFERROR(INDEX('계좌현황'!K:K,INDEX($L$20:$L$95,MATCH(LARGE($N$20:$N$95,11),$N$20:$N$95,0))),0)</f>
        <v/>
      </c>
      <c r="H30" s="310">
        <f>IF($B$3=0,0,G30/$B$3)</f>
        <v/>
      </c>
      <c r="I30" s="310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IFERROR(INDEX('계좌현황'!A:A,INDEX($L$20:$L$95,MATCH(LARGE($N$20:$N$95,43),$N$20:$N$95,0))),"")</f>
        <v/>
      </c>
      <c r="C62" s="287">
        <f>IFERROR(INDEX('계좌현황'!C:C,INDEX($L$20:$L$95,MATCH(LARGE($N$20:$N$95,43),$N$20:$N$95,0))),"")</f>
        <v/>
      </c>
      <c r="D62" s="287">
        <f>IFERROR(INDEX('계좌현황'!D:D,INDEX($L$20:$L$95,MATCH(LARGE($N$20:$N$95,43),$N$20:$N$95,0))),"")</f>
        <v/>
      </c>
      <c r="E62" s="287">
        <f>IFERROR(INDEX('계좌현황'!E:E,INDEX($L$20:$L$95,MATCH(LARGE($N$20:$N$95,43),$N$20:$N$95,0))),"")</f>
        <v/>
      </c>
      <c r="F62" s="314">
        <f>IFERROR(INDEX('계좌현황'!F:F,INDEX($L$20:$L$95,MATCH(LARGE($N$20:$N$95,43),$N$20:$N$95,0))),"")</f>
        <v/>
      </c>
      <c r="G62" s="315">
        <f>IFERROR(INDEX('계좌현황'!K:K,INDEX($L$20:$L$95,MATCH(LARGE($N$20:$N$95,43),$N$20:$N$95,0))),0)</f>
        <v/>
      </c>
      <c r="H62" s="316">
        <f>IF($B$3=0,0,G62/$B$3)</f>
        <v/>
      </c>
      <c r="I62" s="316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0" t="n">
        <v>44</v>
      </c>
      <c r="B63" s="290">
        <f>IFERROR(INDEX('계좌현황'!A:A,INDEX($L$20:$L$95,MATCH(LARGE($N$20:$N$95,44),$N$20:$N$95,0))),"")</f>
        <v/>
      </c>
      <c r="C63" s="290">
        <f>IFERROR(INDEX('계좌현황'!C:C,INDEX($L$20:$L$95,MATCH(LARGE($N$20:$N$95,44),$N$20:$N$95,0))),"")</f>
        <v/>
      </c>
      <c r="D63" s="290">
        <f>IFERROR(INDEX('계좌현황'!D:D,INDEX($L$20:$L$95,MATCH(LARGE($N$20:$N$95,44),$N$20:$N$95,0))),"")</f>
        <v/>
      </c>
      <c r="E63" s="290">
        <f>IFERROR(INDEX('계좌현황'!E:E,INDEX($L$20:$L$95,MATCH(LARGE($N$20:$N$95,44),$N$20:$N$95,0))),"")</f>
        <v/>
      </c>
      <c r="F63" s="317">
        <f>IFERROR(INDEX('계좌현황'!F:F,INDEX($L$20:$L$95,MATCH(LARGE($N$20:$N$95,44),$N$20:$N$95,0))),"")</f>
        <v/>
      </c>
      <c r="G63" s="318">
        <f>IFERROR(INDEX('계좌현황'!K:K,INDEX($L$20:$L$95,MATCH(LARGE($N$20:$N$95,44),$N$20:$N$95,0))),0)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1,385원/$  | 연간 합계 52,149,944원 · 월평균 4,345,829원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4083549.35</v>
      </c>
      <c r="C7" s="279" t="n">
        <v>0</v>
      </c>
      <c r="D7" s="279" t="n">
        <v>4083549.35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4210496.999999999</v>
      </c>
      <c r="C8" s="279" t="n">
        <v>0</v>
      </c>
      <c r="D8" s="279" t="n">
        <v>4210496.999999999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4589079.12</v>
      </c>
      <c r="C9" s="282" t="n">
        <v>35408</v>
      </c>
      <c r="D9" s="282" t="n">
        <v>4624487.12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4199785.505</v>
      </c>
      <c r="C10" s="282" t="n">
        <v>5104</v>
      </c>
      <c r="D10" s="282" t="n">
        <v>4204889.505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4282971.055</v>
      </c>
      <c r="C11" s="279" t="n">
        <v>0</v>
      </c>
      <c r="D11" s="279" t="n">
        <v>4282971.055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4315830.255</v>
      </c>
      <c r="C12" s="282" t="n">
        <v>35492</v>
      </c>
      <c r="D12" s="282" t="n">
        <v>4351322.255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4336070.755</v>
      </c>
      <c r="C13" s="279" t="n">
        <v>0</v>
      </c>
      <c r="D13" s="279" t="n">
        <v>4336070.755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1410835.225</v>
      </c>
      <c r="C14" s="282" t="n">
        <v>2795778.83</v>
      </c>
      <c r="D14" s="282" t="n">
        <v>4206614.055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4202581.885</v>
      </c>
      <c r="D15" s="288" t="n">
        <v>4202581.885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4071504.54</v>
      </c>
      <c r="D16" s="288" t="n">
        <v>4071504.54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4359177.96</v>
      </c>
      <c r="D17" s="288" t="n">
        <v>4359177.96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5216278.3895</v>
      </c>
      <c r="D18" s="288" t="n">
        <v>5216278.3895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0.0973</v>
      </c>
      <c r="F24" s="303" t="n">
        <v>174563610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0.1036</v>
      </c>
      <c r="F25" s="303" t="n">
        <v>67071100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0.1628</v>
      </c>
      <c r="F26" s="303" t="n">
        <v>27632625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0.1542</v>
      </c>
      <c r="F27" s="303" t="n">
        <v>25699170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0.1142</v>
      </c>
      <c r="F28" s="303" t="n">
        <v>30720000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0.136</v>
      </c>
      <c r="F29" s="303" t="n">
        <v>22720500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0.09210000000000002</v>
      </c>
      <c r="F30" s="303" t="n">
        <v>20585000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0.1483</v>
      </c>
      <c r="F31" s="303" t="n">
        <v>12305540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0.0692</v>
      </c>
      <c r="F32" s="303" t="n">
        <v>22010000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</v>
      </c>
      <c r="F33" s="303" t="n">
        <v>43062670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0.1095</v>
      </c>
      <c r="F34" s="303" t="n">
        <v>10531560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0.1308</v>
      </c>
      <c r="F35" s="303" t="n">
        <v>7742400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0.0211</v>
      </c>
      <c r="F36" s="303" t="n">
        <v>27170235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0.0292</v>
      </c>
      <c r="F37" s="303" t="n">
        <v>18819500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0.0992</v>
      </c>
      <c r="F38" s="303" t="n">
        <v>5061750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1385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19819.35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3240.9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1426.55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1717.4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2465.3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2520.7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19819.35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5650.8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5678.499999999999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1324.06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8542.68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26488.125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19892.755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1385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12395.75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19892.755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3365.55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1717.4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1426.55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2465.3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2520.7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19892.755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5650.8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5678.499999999999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1385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1322.675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12395.75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3632.855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8409.719999999999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19892.755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1385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19892.755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19525.73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3365.55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1717.4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12028.725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1426.55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2465.3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2520.7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4238.1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5332.25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19525.73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1002.74</v>
      </c>
      <c r="H262" s="287" t="inlineStr">
        <is>
          <t>예측</t>
        </is>
      </c>
    </row>
    <row r="263">
      <c r="A263" s="344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1369.765</v>
      </c>
      <c r="H264" s="287" t="inlineStr">
        <is>
          <t>예측</t>
        </is>
      </c>
    </row>
    <row r="265">
      <c r="A265" s="344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8503.9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4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4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4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4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11772.5</v>
      </c>
      <c r="H282" s="287" t="inlineStr">
        <is>
          <t>예측</t>
        </is>
      </c>
    </row>
    <row r="283">
      <c r="A283" s="344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11218.5</v>
      </c>
      <c r="H283" s="287" t="inlineStr">
        <is>
          <t>예측</t>
        </is>
      </c>
    </row>
    <row r="284">
      <c r="A284" s="344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1246.5</v>
      </c>
      <c r="H284" s="287" t="inlineStr">
        <is>
          <t>예측</t>
        </is>
      </c>
    </row>
    <row r="285">
      <c r="A285" s="344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19672.54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4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4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4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4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3178.575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4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19599.135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1703.55</v>
      </c>
      <c r="H316" s="287" t="inlineStr">
        <is>
          <t>예측</t>
        </is>
      </c>
    </row>
    <row r="317">
      <c r="A317" s="344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1398.85</v>
      </c>
      <c r="H317" s="287" t="inlineStr">
        <is>
          <t>예측</t>
        </is>
      </c>
    </row>
    <row r="318">
      <c r="A318" s="344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2312.95</v>
      </c>
      <c r="H318" s="287" t="inlineStr">
        <is>
          <t>예측</t>
        </is>
      </c>
    </row>
    <row r="319">
      <c r="A319" s="344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2409.9</v>
      </c>
      <c r="H319" s="287" t="inlineStr">
        <is>
          <t>예측</t>
        </is>
      </c>
    </row>
    <row r="320">
      <c r="A320" s="344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5263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4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4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4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4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5609.25</v>
      </c>
      <c r="H336" s="287" t="inlineStr">
        <is>
          <t>예측</t>
        </is>
      </c>
    </row>
    <row r="337">
      <c r="A337" s="344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9024.66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4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1004.8175</v>
      </c>
      <c r="H343" s="287" t="inlineStr">
        <is>
          <t>예측</t>
        </is>
      </c>
    </row>
    <row r="344">
      <c r="A344" s="344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19599.135</v>
      </c>
      <c r="H344" s="287" t="inlineStr">
        <is>
          <t>예측</t>
        </is>
      </c>
    </row>
    <row r="345">
      <c r="A345" s="344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1593.027</v>
      </c>
      <c r="H345" s="287" t="inlineStr">
        <is>
          <t>예측</t>
        </is>
      </c>
    </row>
    <row r="346">
      <c r="A346" s="344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4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11495.5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4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4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2026-08-25T06:01:59Z</dcterms:modified>
  <cp:lastModifiedBy>Hyoyol Park</cp:lastModifiedBy>
</cp:coreProperties>
</file>