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￦1,393</t>
        </is>
      </c>
      <c r="J5" s="73" t="n">
        <v>1393.15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11360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11320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10245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11420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13915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11090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7420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4095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27285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14950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11360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14175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22305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12070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31375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26685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11725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11360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14950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18780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8155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132600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15095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6885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13442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194000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10095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11190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10515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265000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265000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20340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351.1199951171875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62.95000076293945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43.36000061035156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316.8299865722656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20100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175400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90.25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161700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8465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74800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139.6499938964844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174.4900054931641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217.5599975585938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35.09000015258789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484.3099975585938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182.3600006103516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46.47999954223633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175.1900024414062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75.83999633789062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10.38000011444092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41.04999923706055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412.0899963378906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160.1999969482422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183.6799926757812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143.8099975585938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7.71999979019165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104.9800033569336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9.289999961853027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17630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42.93999862670898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15365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182485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30880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22305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205.7599945068359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164.7700042724609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114.3000030517578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0" t="n">
        <v>43</v>
      </c>
      <c r="B62" s="290">
        <f>IFERROR(INDEX('계좌현황'!A:A,INDEX($L$20:$L$95,MATCH(LARGE($N$20:$N$95,43),$N$20:$N$95,0))),"")</f>
        <v/>
      </c>
      <c r="C62" s="290">
        <f>IFERROR(INDEX('계좌현황'!C:C,INDEX($L$20:$L$95,MATCH(LARGE($N$20:$N$95,43),$N$20:$N$95,0))),"")</f>
        <v/>
      </c>
      <c r="D62" s="290">
        <f>IFERROR(INDEX('계좌현황'!D:D,INDEX($L$20:$L$95,MATCH(LARGE($N$20:$N$95,43),$N$20:$N$95,0))),"")</f>
        <v/>
      </c>
      <c r="E62" s="290">
        <f>IFERROR(INDEX('계좌현황'!E:E,INDEX($L$20:$L$95,MATCH(LARGE($N$20:$N$95,43),$N$20:$N$95,0))),"")</f>
        <v/>
      </c>
      <c r="F62" s="317">
        <f>IFERROR(INDEX('계좌현황'!F:F,INDEX($L$20:$L$95,MATCH(LARGE($N$20:$N$95,43),$N$20:$N$95,0))),"")</f>
        <v/>
      </c>
      <c r="G62" s="318">
        <f>IFERROR(INDEX('계좌현황'!K:K,INDEX($L$20:$L$95,MATCH(LARGE($N$20:$N$95,43),$N$20:$N$95,0))),0)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IFERROR(INDEX('계좌현황'!A:A,INDEX($L$20:$L$95,MATCH(LARGE($N$20:$N$95,44),$N$20:$N$95,0))),"")</f>
        <v/>
      </c>
      <c r="C63" s="287">
        <f>IFERROR(INDEX('계좌현황'!C:C,INDEX($L$20:$L$95,MATCH(LARGE($N$20:$N$95,44),$N$20:$N$95,0))),"")</f>
        <v/>
      </c>
      <c r="D63" s="287">
        <f>IFERROR(INDEX('계좌현황'!D:D,INDEX($L$20:$L$95,MATCH(LARGE($N$20:$N$95,44),$N$20:$N$95,0))),"")</f>
        <v/>
      </c>
      <c r="E63" s="287">
        <f>IFERROR(INDEX('계좌현황'!E:E,INDEX($L$20:$L$95,MATCH(LARGE($N$20:$N$95,44),$N$20:$N$95,0))),"")</f>
        <v/>
      </c>
      <c r="F63" s="314">
        <f>IFERROR(INDEX('계좌현황'!F:F,INDEX($L$20:$L$95,MATCH(LARGE($N$20:$N$95,44),$N$20:$N$95,0))),"")</f>
        <v/>
      </c>
      <c r="G63" s="315">
        <f>IFERROR(INDEX('계좌현황'!K:K,INDEX($L$20:$L$95,MATCH(LARGE($N$20:$N$95,44),$N$20:$N$95,0))),0)</f>
        <v/>
      </c>
      <c r="H63" s="316">
        <f>IF($B$3=0,0,G63/$B$3)</f>
        <v/>
      </c>
      <c r="I63" s="316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1,393원/$  | 연간 합계 52,152,205원 · 월평균 4,346,017원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4083671.83</v>
      </c>
      <c r="C7" s="279" t="n">
        <v>0</v>
      </c>
      <c r="D7" s="279" t="n">
        <v>4083671.83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4210709.800000001</v>
      </c>
      <c r="C8" s="279" t="n">
        <v>0</v>
      </c>
      <c r="D8" s="279" t="n">
        <v>4210709.800000001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4589436.816</v>
      </c>
      <c r="C9" s="282" t="n">
        <v>35408</v>
      </c>
      <c r="D9" s="282" t="n">
        <v>4624844.816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4199980.009000001</v>
      </c>
      <c r="C10" s="282" t="n">
        <v>5104</v>
      </c>
      <c r="D10" s="282" t="n">
        <v>4205084.009000001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4283184.999000001</v>
      </c>
      <c r="C11" s="279" t="n">
        <v>0</v>
      </c>
      <c r="D11" s="279" t="n">
        <v>4283184.999000001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4316134.759</v>
      </c>
      <c r="C12" s="282" t="n">
        <v>35492</v>
      </c>
      <c r="D12" s="282" t="n">
        <v>4351626.759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4336193.659</v>
      </c>
      <c r="C13" s="279" t="n">
        <v>0</v>
      </c>
      <c r="D13" s="279" t="n">
        <v>4336193.659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1405956.305</v>
      </c>
      <c r="C14" s="282" t="n">
        <v>2800443.344</v>
      </c>
      <c r="D14" s="282" t="n">
        <v>4206399.649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4202856.293</v>
      </c>
      <c r="D15" s="288" t="n">
        <v>4202856.293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4071690.172</v>
      </c>
      <c r="D16" s="288" t="n">
        <v>4071690.172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4359385.128</v>
      </c>
      <c r="D17" s="288" t="n">
        <v>4359385.128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5216557.5311</v>
      </c>
      <c r="D18" s="288" t="n">
        <v>5216557.5311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0.0974</v>
      </c>
      <c r="F24" s="303" t="n">
        <v>174410080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0.1019</v>
      </c>
      <c r="F25" s="303" t="n">
        <v>68172000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0.1657</v>
      </c>
      <c r="F26" s="303" t="n">
        <v>27145340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0.1518</v>
      </c>
      <c r="F27" s="303" t="n">
        <v>26099850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0.1141</v>
      </c>
      <c r="F28" s="303" t="n">
        <v>30735000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0.1361</v>
      </c>
      <c r="F29" s="303" t="n">
        <v>22705200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0.0926</v>
      </c>
      <c r="F30" s="303" t="n">
        <v>20475000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0.1469</v>
      </c>
      <c r="F31" s="303" t="n">
        <v>12427740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0.0687</v>
      </c>
      <c r="F32" s="303" t="n">
        <v>22180000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0.0299</v>
      </c>
      <c r="F33" s="303" t="n">
        <v>43253720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0.1084</v>
      </c>
      <c r="F34" s="303" t="n">
        <v>10632040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0.1293</v>
      </c>
      <c r="F35" s="303" t="n">
        <v>7828800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0.0209</v>
      </c>
      <c r="F36" s="303" t="n">
        <v>27426465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0.0292</v>
      </c>
      <c r="F37" s="303" t="n">
        <v>18852750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0.0978</v>
      </c>
      <c r="F38" s="303" t="n">
        <v>5129750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1393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19933.83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3259.62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1434.79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1727.32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2479.54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2535.26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19933.83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5683.440000000001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5711.299999999999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1331.708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8592.023999999999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26641.125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20007.659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1393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12467.35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20007.659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3384.99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1727.32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1434.79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2479.54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2535.26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20007.659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5683.440000000001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5711.299999999999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1393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1330.315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12467.35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3653.839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8458.296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20007.659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1393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20007.659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19638.514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3384.99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1727.32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12098.205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1434.79</v>
      </c>
      <c r="H238" s="278" t="inlineStr">
        <is>
          <t>실적</t>
        </is>
      </c>
    </row>
    <row r="239">
      <c r="A239" s="344" t="n">
        <v>46252</v>
      </c>
      <c r="B239" s="287" t="n">
        <v>8</v>
      </c>
      <c r="C239" s="287" t="inlineStr">
        <is>
          <t>MSFT</t>
        </is>
      </c>
      <c r="D239" s="287" t="inlineStr">
        <is>
          <t>마이크로소프트</t>
        </is>
      </c>
      <c r="E239" s="288" t="n"/>
      <c r="F239" s="342" t="n">
        <v>1.58</v>
      </c>
      <c r="G239" s="288" t="n">
        <v>2200.94</v>
      </c>
      <c r="H239" s="287" t="inlineStr">
        <is>
          <t>예측</t>
        </is>
      </c>
    </row>
    <row r="240">
      <c r="A240" s="344" t="n">
        <v>46253</v>
      </c>
      <c r="B240" s="287" t="n">
        <v>8</v>
      </c>
      <c r="C240" s="287" t="inlineStr">
        <is>
          <t>CVX</t>
        </is>
      </c>
      <c r="D240" s="287" t="inlineStr">
        <is>
          <t>셰브론</t>
        </is>
      </c>
      <c r="E240" s="288" t="n"/>
      <c r="F240" s="342" t="n">
        <v>1.67</v>
      </c>
      <c r="G240" s="288" t="n">
        <v>2326.31</v>
      </c>
      <c r="H240" s="287" t="inlineStr">
        <is>
          <t>예측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4262.58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5363.05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19638.514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1008.532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1377.677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8553.02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11840.5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11283.3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1253.7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19786.172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3196.935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19712.343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1713.39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1406.93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2326.31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2423.82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5293.4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5641.65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9076.788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1010.6215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19712.343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1602.2286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11561.9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2026-08-20T01:04:22Z</dcterms:modified>
  <cp:lastModifiedBy>Hyoyol Park</cp:lastModifiedBy>
</cp:coreProperties>
</file>