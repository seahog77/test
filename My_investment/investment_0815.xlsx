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'월별배당'!$A$43:$H$362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￦1,378</t>
        </is>
      </c>
      <c r="J5" s="73" t="n">
        <v>1377.78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11270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11215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10165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11900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13815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10990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7475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4080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26795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14755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11270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14040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21995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11905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30800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26320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11605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11270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14755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18445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8090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129000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14650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6895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13680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192600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10435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10895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10555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263500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263500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20560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345.8200073242188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62.2599983215332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40.02999877929688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313.4500122070312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20450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183600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88.93000030517578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168800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8535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76900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139.6300048828125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175.7299957275391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209.6600036621094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35.04999923706055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496.3699951171875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179.6100006103516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47.18999862670898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177.5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66.18000030517578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9.699999809265137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38.59000015258789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417.6900024414062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181.7799987792969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187.6300048828125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148.8699951171875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7.139999866485596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108.4899978637695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9.270000457763672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16660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41.59999847412109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15155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179165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30395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22000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200.2100067138672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158.1900024414062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104.3399963378906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1" t="n">
        <v>31</v>
      </c>
      <c r="B50" s="281">
        <f>IFERROR(INDEX('계좌현황'!A:A,INDEX($L$20:$L$95,MATCH(LARGE($N$20:$N$95,31),$N$20:$N$95,0))),"")</f>
        <v/>
      </c>
      <c r="C50" s="281">
        <f>IFERROR(INDEX('계좌현황'!C:C,INDEX($L$20:$L$95,MATCH(LARGE($N$20:$N$95,31),$N$20:$N$95,0))),"")</f>
        <v/>
      </c>
      <c r="D50" s="281">
        <f>IFERROR(INDEX('계좌현황'!D:D,INDEX($L$20:$L$95,MATCH(LARGE($N$20:$N$95,31),$N$20:$N$95,0))),"")</f>
        <v/>
      </c>
      <c r="E50" s="281">
        <f>IFERROR(INDEX('계좌현황'!E:E,INDEX($L$20:$L$95,MATCH(LARGE($N$20:$N$95,31),$N$20:$N$95,0))),"")</f>
        <v/>
      </c>
      <c r="F50" s="311">
        <f>IFERROR(INDEX('계좌현황'!F:F,INDEX($L$20:$L$95,MATCH(LARGE($N$20:$N$95,31),$N$20:$N$95,0))),"")</f>
        <v/>
      </c>
      <c r="G50" s="312">
        <f>IFERROR(INDEX('계좌현황'!K:K,INDEX($L$20:$L$95,MATCH(LARGE($N$20:$N$95,31),$N$20:$N$95,0))),0)</f>
        <v/>
      </c>
      <c r="H50" s="313">
        <f>IF($B$3=0,0,G50/$B$3)</f>
        <v/>
      </c>
      <c r="I50" s="313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0" t="n">
        <v>32</v>
      </c>
      <c r="B51" s="290">
        <f>IFERROR(INDEX('계좌현황'!A:A,INDEX($L$20:$L$95,MATCH(LARGE($N$20:$N$95,32),$N$20:$N$95,0))),"")</f>
        <v/>
      </c>
      <c r="C51" s="290">
        <f>IFERROR(INDEX('계좌현황'!C:C,INDEX($L$20:$L$95,MATCH(LARGE($N$20:$N$95,32),$N$20:$N$95,0))),"")</f>
        <v/>
      </c>
      <c r="D51" s="290">
        <f>IFERROR(INDEX('계좌현황'!D:D,INDEX($L$20:$L$95,MATCH(LARGE($N$20:$N$95,32),$N$20:$N$95,0))),"")</f>
        <v/>
      </c>
      <c r="E51" s="290">
        <f>IFERROR(INDEX('계좌현황'!E:E,INDEX($L$20:$L$95,MATCH(LARGE($N$20:$N$95,32),$N$20:$N$95,0))),"")</f>
        <v/>
      </c>
      <c r="F51" s="317">
        <f>IFERROR(INDEX('계좌현황'!F:F,INDEX($L$20:$L$95,MATCH(LARGE($N$20:$N$95,32),$N$20:$N$95,0))),"")</f>
        <v/>
      </c>
      <c r="G51" s="318">
        <f>IFERROR(INDEX('계좌현황'!K:K,INDEX($L$20:$L$95,MATCH(LARGE($N$20:$N$95,32),$N$20:$N$95,0))),0)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2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1,378원/$  | 연간 합계 52,145,542원 · 월평균 4,345,462원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4083442.18</v>
      </c>
      <c r="C7" s="279" t="n">
        <v>0</v>
      </c>
      <c r="D7" s="279" t="n">
        <v>4083442.18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4210310.8</v>
      </c>
      <c r="C8" s="279" t="n">
        <v>0</v>
      </c>
      <c r="D8" s="279" t="n">
        <v>4210310.8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4588766.136</v>
      </c>
      <c r="C9" s="282" t="n">
        <v>35408</v>
      </c>
      <c r="D9" s="282" t="n">
        <v>4624174.136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4199615.314</v>
      </c>
      <c r="C10" s="282" t="n">
        <v>5104</v>
      </c>
      <c r="D10" s="282" t="n">
        <v>4204719.314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4282783.854</v>
      </c>
      <c r="C11" s="279" t="n">
        <v>0</v>
      </c>
      <c r="D11" s="279" t="n">
        <v>4282783.854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4315563.813999999</v>
      </c>
      <c r="C12" s="282" t="n">
        <v>35492</v>
      </c>
      <c r="D12" s="282" t="n">
        <v>4351055.813999999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4335963.214</v>
      </c>
      <c r="C13" s="279" t="n">
        <v>0</v>
      </c>
      <c r="D13" s="279" t="n">
        <v>4335963.214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1410716.33</v>
      </c>
      <c r="C14" s="282" t="n">
        <v>2795658.724</v>
      </c>
      <c r="D14" s="282" t="n">
        <v>4206375.054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4201344.106</v>
      </c>
      <c r="D15" s="288" t="n">
        <v>4201344.106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4071342.112</v>
      </c>
      <c r="D16" s="288" t="n">
        <v>4071342.112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4358996.688</v>
      </c>
      <c r="D17" s="288" t="n">
        <v>4358996.688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5215034.4016</v>
      </c>
      <c r="D18" s="288" t="n">
        <v>5215034.4016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0.09810000000000001</v>
      </c>
      <c r="F24" s="303" t="n">
        <v>173028310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0.1033</v>
      </c>
      <c r="F25" s="303" t="n">
        <v>67282800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0.159</v>
      </c>
      <c r="F26" s="303" t="n">
        <v>28286300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0.1534</v>
      </c>
      <c r="F27" s="303" t="n">
        <v>25832730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0.115</v>
      </c>
      <c r="F28" s="303" t="n">
        <v>30495000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0.1351</v>
      </c>
      <c r="F29" s="303" t="n">
        <v>22873500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0.0929</v>
      </c>
      <c r="F30" s="303" t="n">
        <v>20400000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0.1453</v>
      </c>
      <c r="F31" s="303" t="n">
        <v>12562160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0.0693</v>
      </c>
      <c r="F32" s="303" t="n">
        <v>21980000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0.0301</v>
      </c>
      <c r="F33" s="303" t="n">
        <v>42852515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0.1076</v>
      </c>
      <c r="F34" s="303" t="n">
        <v>10719960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0.1303</v>
      </c>
      <c r="F35" s="303" t="n">
        <v>7766400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27229365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0.0295</v>
      </c>
      <c r="F37" s="303" t="n">
        <v>18673200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0.0992</v>
      </c>
      <c r="F38" s="303" t="n">
        <v>5059625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1378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19719.18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3224.52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1419.34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1708.72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2452.84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2507.96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19719.18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5622.24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5649.799999999999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1317.368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8499.504000000001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26354.25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19792.214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1378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12333.1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19792.214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3348.54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1708.72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1419.34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2452.84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2507.96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19792.214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5622.24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5649.799999999999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1378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1315.99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12333.1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3614.494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8367.216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19792.214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1378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19792.214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19427.044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3348.54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1708.72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11967.93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1419.34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2452.84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2507.96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4216.68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5305.3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19427.044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46285</v>
      </c>
      <c r="B262" s="287" t="n">
        <v>9</v>
      </c>
      <c r="C262" s="287" t="inlineStr">
        <is>
          <t>481060</t>
        </is>
      </c>
      <c r="D262" s="287" t="inlineStr">
        <is>
          <t>KODEX 미국30년국채타겟커버드콜(H)</t>
        </is>
      </c>
      <c r="E262" s="288" t="n">
        <v>296820</v>
      </c>
      <c r="F262" s="342" t="n"/>
      <c r="G262" s="288" t="n">
        <v>296820</v>
      </c>
      <c r="H262" s="287" t="inlineStr">
        <is>
          <t>예측</t>
        </is>
      </c>
    </row>
    <row r="263">
      <c r="A263" s="344" t="n">
        <v>46289</v>
      </c>
      <c r="B263" s="287" t="n">
        <v>9</v>
      </c>
      <c r="C263" s="287" t="inlineStr">
        <is>
          <t>QLD</t>
        </is>
      </c>
      <c r="D263" s="287" t="inlineStr">
        <is>
          <t>QLD</t>
        </is>
      </c>
      <c r="E263" s="288" t="n"/>
      <c r="F263" s="342" t="n">
        <v>0.989</v>
      </c>
      <c r="G263" s="288" t="n">
        <v>1362.842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SCHD</t>
        </is>
      </c>
      <c r="D264" s="287" t="inlineStr">
        <is>
          <t>SCHD</t>
        </is>
      </c>
      <c r="E264" s="288" t="n"/>
      <c r="F264" s="342" t="n">
        <v>6.14</v>
      </c>
      <c r="G264" s="288" t="n">
        <v>8460.92</v>
      </c>
      <c r="H264" s="287" t="inlineStr">
        <is>
          <t>예측</t>
        </is>
      </c>
    </row>
    <row r="265">
      <c r="A265" s="344" t="n">
        <v>46292</v>
      </c>
      <c r="B265" s="287" t="n">
        <v>9</v>
      </c>
      <c r="C265" s="287" t="inlineStr">
        <is>
          <t>005389</t>
        </is>
      </c>
      <c r="D265" s="287" t="inlineStr">
        <is>
          <t>현대차3우B</t>
        </is>
      </c>
      <c r="E265" s="288" t="n">
        <v>26000</v>
      </c>
      <c r="F265" s="342" t="n"/>
      <c r="G265" s="288" t="n">
        <v>26000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n">
        <v>105560</v>
      </c>
      <c r="D266" s="287" t="inlineStr">
        <is>
          <t>KB금융</t>
        </is>
      </c>
      <c r="E266" s="288" t="n">
        <v>9540</v>
      </c>
      <c r="F266" s="342" t="n"/>
      <c r="G266" s="288" t="n">
        <v>9540</v>
      </c>
      <c r="H266" s="287" t="inlineStr">
        <is>
          <t>예측</t>
        </is>
      </c>
    </row>
    <row r="267">
      <c r="A267" s="344" t="n">
        <v>46293</v>
      </c>
      <c r="B267" s="287" t="n">
        <v>9</v>
      </c>
      <c r="C267" s="287" t="inlineStr">
        <is>
          <t>005930</t>
        </is>
      </c>
      <c r="D267" s="287" t="inlineStr">
        <is>
          <t>삼성전자</t>
        </is>
      </c>
      <c r="E267" s="288" t="n">
        <v>36184</v>
      </c>
      <c r="F267" s="342" t="n"/>
      <c r="G267" s="288" t="n">
        <v>36184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329200</t>
        </is>
      </c>
      <c r="D268" s="287" t="inlineStr">
        <is>
          <t>TIGER리츠부동산인프라</t>
        </is>
      </c>
      <c r="E268" s="288" t="n">
        <v>195000</v>
      </c>
      <c r="F268" s="342" t="n"/>
      <c r="G268" s="288" t="n">
        <v>195000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433330</t>
        </is>
      </c>
      <c r="D269" s="287" t="inlineStr">
        <is>
          <t>SOL 미국 S&amp;P500</t>
        </is>
      </c>
      <c r="E269" s="288" t="n">
        <v>19747</v>
      </c>
      <c r="F269" s="342" t="n"/>
      <c r="G269" s="288" t="n">
        <v>19747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446720</t>
        </is>
      </c>
      <c r="D270" s="287" t="inlineStr">
        <is>
          <t>SOL 미국배당다우존스</t>
        </is>
      </c>
      <c r="E270" s="288" t="n">
        <v>43225</v>
      </c>
      <c r="F270" s="342" t="n"/>
      <c r="G270" s="288" t="n">
        <v>43225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458760</t>
        </is>
      </c>
      <c r="D271" s="287" t="inlineStr">
        <is>
          <t>TIGER 미배당다우커버드콜2호</t>
        </is>
      </c>
      <c r="E271" s="288" t="n">
        <v>1366417</v>
      </c>
      <c r="F271" s="342" t="n"/>
      <c r="G271" s="288" t="n">
        <v>1366417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468380</t>
        </is>
      </c>
      <c r="D272" s="287" t="inlineStr">
        <is>
          <t>KODEX iShares미국하이일드액티브</t>
        </is>
      </c>
      <c r="E272" s="288" t="n">
        <v>119000</v>
      </c>
      <c r="F272" s="342" t="n"/>
      <c r="G272" s="288" t="n">
        <v>119000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473330</t>
        </is>
      </c>
      <c r="D273" s="287" t="inlineStr">
        <is>
          <t>SOL 미국 30년국채커버드콜(합성)</t>
        </is>
      </c>
      <c r="E273" s="288" t="n">
        <v>89280</v>
      </c>
      <c r="F273" s="342" t="n"/>
      <c r="G273" s="288" t="n">
        <v>89280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475380</t>
        </is>
      </c>
      <c r="D274" s="287" t="inlineStr">
        <is>
          <t>RISE 글로벌리얼티인컴</t>
        </is>
      </c>
      <c r="E274" s="288" t="n">
        <v>3737</v>
      </c>
      <c r="F274" s="342" t="n"/>
      <c r="G274" s="288" t="n">
        <v>3737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476550</t>
        </is>
      </c>
      <c r="D275" s="287" t="inlineStr">
        <is>
          <t>TIGER 미국30년국채커버드콜액티브(H)</t>
        </is>
      </c>
      <c r="E275" s="288" t="n">
        <v>38790</v>
      </c>
      <c r="F275" s="342" t="n"/>
      <c r="G275" s="288" t="n">
        <v>38790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476690</t>
        </is>
      </c>
      <c r="D276" s="287" t="inlineStr">
        <is>
          <t>TIGER 글로벌비만치료제 TOP2 Plus</t>
        </is>
      </c>
      <c r="E276" s="288" t="n">
        <v>1250</v>
      </c>
      <c r="F276" s="342" t="n"/>
      <c r="G276" s="288" t="n">
        <v>1250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482730</t>
        </is>
      </c>
      <c r="D277" s="287" t="inlineStr">
        <is>
          <t>미국S&amp;P500타겟데일리커버드콜</t>
        </is>
      </c>
      <c r="E277" s="288" t="n">
        <v>38250</v>
      </c>
      <c r="F277" s="342" t="n"/>
      <c r="G277" s="288" t="n">
        <v>38250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483280</t>
        </is>
      </c>
      <c r="D278" s="287" t="inlineStr">
        <is>
          <t>KODEX 미국AI테크TOP10타겟커버드콜</t>
        </is>
      </c>
      <c r="E278" s="288" t="n">
        <v>309414</v>
      </c>
      <c r="F278" s="342" t="n"/>
      <c r="G278" s="288" t="n">
        <v>309414</v>
      </c>
      <c r="H278" s="287" t="inlineStr">
        <is>
          <t>예측</t>
        </is>
      </c>
    </row>
    <row r="279">
      <c r="A279" s="344" t="n">
        <v>46294</v>
      </c>
      <c r="B279" s="287" t="n">
        <v>9</v>
      </c>
      <c r="C279" s="287" t="inlineStr">
        <is>
          <t>498410</t>
        </is>
      </c>
      <c r="D279" s="287" t="inlineStr">
        <is>
          <t>KODEX금융고배당TOP10타겟위클리커버드콜</t>
        </is>
      </c>
      <c r="E279" s="288" t="n">
        <v>375566</v>
      </c>
      <c r="F279" s="342" t="n"/>
      <c r="G279" s="288" t="n">
        <v>375566</v>
      </c>
      <c r="H279" s="287" t="inlineStr">
        <is>
          <t>예측</t>
        </is>
      </c>
    </row>
    <row r="280">
      <c r="A280" s="344" t="n">
        <v>46295</v>
      </c>
      <c r="B280" s="287" t="n">
        <v>9</v>
      </c>
      <c r="C280" s="287" t="inlineStr">
        <is>
          <t>0219E0</t>
        </is>
      </c>
      <c r="D280" s="287" t="inlineStr">
        <is>
          <t>KODEX 200커버드콜액티브</t>
        </is>
      </c>
      <c r="E280" s="288" t="n">
        <v>192168</v>
      </c>
      <c r="F280" s="342" t="n"/>
      <c r="G280" s="288" t="n">
        <v>192168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AMT</t>
        </is>
      </c>
      <c r="D281" s="287" t="inlineStr">
        <is>
          <t>아메리칸타워</t>
        </is>
      </c>
      <c r="E281" s="288" t="n"/>
      <c r="F281" s="342" t="n">
        <v>8.5</v>
      </c>
      <c r="G281" s="288" t="n">
        <v>11713</v>
      </c>
      <c r="H281" s="287" t="inlineStr">
        <is>
          <t>예측</t>
        </is>
      </c>
    </row>
    <row r="282">
      <c r="A282" s="344" t="n">
        <v>46304</v>
      </c>
      <c r="B282" s="287" t="n">
        <v>10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8.1</v>
      </c>
      <c r="G282" s="288" t="n">
        <v>11161.8</v>
      </c>
      <c r="H282" s="287" t="inlineStr">
        <is>
          <t>예측</t>
        </is>
      </c>
    </row>
    <row r="283">
      <c r="A283" s="344" t="n">
        <v>46305</v>
      </c>
      <c r="B283" s="287" t="n">
        <v>10</v>
      </c>
      <c r="C283" s="287" t="inlineStr">
        <is>
          <t>ORCL</t>
        </is>
      </c>
      <c r="D283" s="287" t="inlineStr">
        <is>
          <t>오라클</t>
        </is>
      </c>
      <c r="E283" s="288" t="n"/>
      <c r="F283" s="342" t="n">
        <v>0.9</v>
      </c>
      <c r="G283" s="288" t="n">
        <v>1240.2</v>
      </c>
      <c r="H283" s="287" t="inlineStr">
        <is>
          <t>예측</t>
        </is>
      </c>
    </row>
    <row r="284">
      <c r="A284" s="344" t="n">
        <v>46306</v>
      </c>
      <c r="B284" s="287" t="n">
        <v>10</v>
      </c>
      <c r="C284" s="287" t="inlineStr">
        <is>
          <t>O</t>
        </is>
      </c>
      <c r="D284" s="287" t="inlineStr">
        <is>
          <t>리얼티인컴</t>
        </is>
      </c>
      <c r="E284" s="288" t="n"/>
      <c r="F284" s="342" t="n">
        <v>14.204</v>
      </c>
      <c r="G284" s="288" t="n">
        <v>19573.112</v>
      </c>
      <c r="H284" s="287" t="inlineStr">
        <is>
          <t>예측</t>
        </is>
      </c>
    </row>
    <row r="285">
      <c r="A285" s="344" t="n">
        <v>46309</v>
      </c>
      <c r="B285" s="287" t="n">
        <v>10</v>
      </c>
      <c r="C285" s="287" t="inlineStr">
        <is>
          <t>0008S0</t>
        </is>
      </c>
      <c r="D285" s="287" t="inlineStr">
        <is>
          <t>TIGER 미국배당다우존스타겟데일리커버드콜</t>
        </is>
      </c>
      <c r="E285" s="288" t="n">
        <v>261000</v>
      </c>
      <c r="F285" s="342" t="n"/>
      <c r="G285" s="288" t="n">
        <v>261000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474220</t>
        </is>
      </c>
      <c r="D286" s="287" t="inlineStr">
        <is>
          <t>TIGER미국테크TOP10커버드콜</t>
        </is>
      </c>
      <c r="E286" s="288" t="n">
        <v>522120</v>
      </c>
      <c r="F286" s="342" t="n"/>
      <c r="G286" s="288" t="n">
        <v>522120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481060</t>
        </is>
      </c>
      <c r="D287" s="287" t="inlineStr">
        <is>
          <t>KODEX 미국30년국채타겟커버드콜(H)</t>
        </is>
      </c>
      <c r="E287" s="288" t="n">
        <v>287640</v>
      </c>
      <c r="F287" s="342" t="n"/>
      <c r="G287" s="288" t="n">
        <v>287640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490490</t>
        </is>
      </c>
      <c r="D288" s="287" t="inlineStr">
        <is>
          <t>SOL미국배당미국채혼합50</t>
        </is>
      </c>
      <c r="E288" s="288" t="n">
        <v>80241</v>
      </c>
      <c r="F288" s="342" t="n"/>
      <c r="G288" s="288" t="n">
        <v>80241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498400</t>
        </is>
      </c>
      <c r="D289" s="287" t="inlineStr">
        <is>
          <t>KODEX 200타켓위클리커버드콜</t>
        </is>
      </c>
      <c r="E289" s="288" t="n">
        <v>105092</v>
      </c>
      <c r="F289" s="342" t="n"/>
      <c r="G289" s="288" t="n">
        <v>105092</v>
      </c>
      <c r="H289" s="287" t="inlineStr">
        <is>
          <t>예측</t>
        </is>
      </c>
    </row>
    <row r="290">
      <c r="A290" s="344" t="n">
        <v>46325</v>
      </c>
      <c r="B290" s="287" t="n">
        <v>10</v>
      </c>
      <c r="C290" s="287" t="inlineStr">
        <is>
          <t>133690</t>
        </is>
      </c>
      <c r="D290" s="287" t="inlineStr">
        <is>
          <t>TIGER 미국나스닥100</t>
        </is>
      </c>
      <c r="E290" s="288" t="n">
        <v>11457</v>
      </c>
      <c r="F290" s="342" t="n"/>
      <c r="G290" s="288" t="n">
        <v>11457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329200</t>
        </is>
      </c>
      <c r="D291" s="287" t="inlineStr">
        <is>
          <t>TIGER리츠부동산인프라</t>
        </is>
      </c>
      <c r="E291" s="288" t="n">
        <v>155000</v>
      </c>
      <c r="F291" s="342" t="n"/>
      <c r="G291" s="288" t="n">
        <v>155000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360750</t>
        </is>
      </c>
      <c r="D292" s="287" t="inlineStr">
        <is>
          <t>TIGER미국S&amp;P500</t>
        </is>
      </c>
      <c r="E292" s="288" t="n">
        <v>13688</v>
      </c>
      <c r="F292" s="342" t="n"/>
      <c r="G292" s="288" t="n">
        <v>13688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367380</t>
        </is>
      </c>
      <c r="D293" s="287" t="inlineStr">
        <is>
          <t>ACE 미국나스닥100</t>
        </is>
      </c>
      <c r="E293" s="288" t="n">
        <v>12337</v>
      </c>
      <c r="F293" s="342" t="n"/>
      <c r="G293" s="288" t="n">
        <v>12337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379810</t>
        </is>
      </c>
      <c r="D294" s="287" t="inlineStr">
        <is>
          <t>KODEX 미국나스닥100</t>
        </is>
      </c>
      <c r="E294" s="288" t="n">
        <v>24318</v>
      </c>
      <c r="F294" s="342" t="n"/>
      <c r="G294" s="288" t="n">
        <v>24318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433330</t>
        </is>
      </c>
      <c r="D295" s="287" t="inlineStr">
        <is>
          <t>SOL 미국 S&amp;P500</t>
        </is>
      </c>
      <c r="E295" s="288" t="n">
        <v>14014</v>
      </c>
      <c r="F295" s="342" t="n"/>
      <c r="G295" s="288" t="n">
        <v>14014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446720</t>
        </is>
      </c>
      <c r="D296" s="287" t="inlineStr">
        <is>
          <t>SOL 미국배당다우존스</t>
        </is>
      </c>
      <c r="E296" s="288" t="n">
        <v>43890</v>
      </c>
      <c r="F296" s="342" t="n"/>
      <c r="G296" s="288" t="n">
        <v>43890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458760</t>
        </is>
      </c>
      <c r="D297" s="287" t="inlineStr">
        <is>
          <t>TIGER 미배당다우커버드콜2호</t>
        </is>
      </c>
      <c r="E297" s="288" t="n">
        <v>1343388</v>
      </c>
      <c r="F297" s="342" t="n"/>
      <c r="G297" s="288" t="n">
        <v>1343388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468380</t>
        </is>
      </c>
      <c r="D298" s="287" t="inlineStr">
        <is>
          <t>KODEX iShares미국하이일드액티브</t>
        </is>
      </c>
      <c r="E298" s="288" t="n">
        <v>120000</v>
      </c>
      <c r="F298" s="342" t="n"/>
      <c r="G298" s="288" t="n">
        <v>120000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473330</t>
        </is>
      </c>
      <c r="D299" s="287" t="inlineStr">
        <is>
          <t>SOL 미국 30년국채커버드콜(합성)</t>
        </is>
      </c>
      <c r="E299" s="288" t="n">
        <v>78720</v>
      </c>
      <c r="F299" s="342" t="n"/>
      <c r="G299" s="288" t="n">
        <v>78720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475380</t>
        </is>
      </c>
      <c r="D300" s="287" t="inlineStr">
        <is>
          <t>RISE 글로벌리얼티인컴</t>
        </is>
      </c>
      <c r="E300" s="288" t="n">
        <v>3737</v>
      </c>
      <c r="F300" s="342" t="n"/>
      <c r="G300" s="288" t="n">
        <v>3737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476550</t>
        </is>
      </c>
      <c r="D301" s="287" t="inlineStr">
        <is>
          <t>TIGER 미국30년국채커버드콜액티브(H)</t>
        </is>
      </c>
      <c r="E301" s="288" t="n">
        <v>37928</v>
      </c>
      <c r="F301" s="342" t="n"/>
      <c r="G301" s="288" t="n">
        <v>37928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476690</t>
        </is>
      </c>
      <c r="D302" s="287" t="inlineStr">
        <is>
          <t>TIGER 글로벌비만치료제 TOP2 Plus</t>
        </is>
      </c>
      <c r="E302" s="288" t="n">
        <v>1200</v>
      </c>
      <c r="F302" s="342" t="n"/>
      <c r="G302" s="288" t="n">
        <v>1200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482730</t>
        </is>
      </c>
      <c r="D303" s="287" t="inlineStr">
        <is>
          <t>미국S&amp;P500타겟데일리커버드콜</t>
        </is>
      </c>
      <c r="E303" s="288" t="n">
        <v>40375</v>
      </c>
      <c r="F303" s="342" t="n"/>
      <c r="G303" s="288" t="n">
        <v>40375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483280</t>
        </is>
      </c>
      <c r="D304" s="287" t="inlineStr">
        <is>
          <t>KODEX 미국AI테크TOP10타겟커버드콜</t>
        </is>
      </c>
      <c r="E304" s="288" t="n">
        <v>324996</v>
      </c>
      <c r="F304" s="342" t="n"/>
      <c r="G304" s="288" t="n">
        <v>324996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498410</t>
        </is>
      </c>
      <c r="D305" s="287" t="inlineStr">
        <is>
          <t>KODEX금융고배당TOP10타겟위클리커버드콜</t>
        </is>
      </c>
      <c r="E305" s="288" t="n">
        <v>366058</v>
      </c>
      <c r="F305" s="342" t="n"/>
      <c r="G305" s="288" t="n">
        <v>366058</v>
      </c>
      <c r="H305" s="287" t="inlineStr">
        <is>
          <t>예측</t>
        </is>
      </c>
    </row>
    <row r="306">
      <c r="A306" s="344" t="n">
        <v>46326</v>
      </c>
      <c r="B306" s="287" t="n">
        <v>10</v>
      </c>
      <c r="C306" s="287" t="inlineStr">
        <is>
          <t>0219E0</t>
        </is>
      </c>
      <c r="D306" s="287" t="inlineStr">
        <is>
          <t>KODEX 200커버드콜액티브</t>
        </is>
      </c>
      <c r="E306" s="288" t="n">
        <v>192168</v>
      </c>
      <c r="F306" s="342" t="n"/>
      <c r="G306" s="288" t="n">
        <v>192168</v>
      </c>
      <c r="H306" s="287" t="inlineStr">
        <is>
          <t>예측</t>
        </is>
      </c>
    </row>
    <row r="307">
      <c r="A307" s="344" t="n">
        <v>46335</v>
      </c>
      <c r="B307" s="287" t="n">
        <v>11</v>
      </c>
      <c r="C307" s="287" t="inlineStr">
        <is>
          <t>AAPL</t>
        </is>
      </c>
      <c r="D307" s="287" t="inlineStr">
        <is>
          <t>애플</t>
        </is>
      </c>
      <c r="E307" s="288" t="n"/>
      <c r="F307" s="342" t="n">
        <v>2.295</v>
      </c>
      <c r="G307" s="288" t="n">
        <v>3162.51</v>
      </c>
      <c r="H307" s="287" t="inlineStr">
        <is>
          <t>예측</t>
        </is>
      </c>
    </row>
    <row r="308">
      <c r="A308" s="344" t="n">
        <v>46339</v>
      </c>
      <c r="B308" s="287" t="n">
        <v>11</v>
      </c>
      <c r="C308" s="287" t="inlineStr">
        <is>
          <t>0008S0</t>
        </is>
      </c>
      <c r="D308" s="287" t="inlineStr">
        <is>
          <t>TIGER 미국배당다우존스타겟데일리커버드콜</t>
        </is>
      </c>
      <c r="E308" s="288" t="n">
        <v>267000</v>
      </c>
      <c r="F308" s="342" t="n"/>
      <c r="G308" s="288" t="n">
        <v>267000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n">
        <v>105560</v>
      </c>
      <c r="D309" s="287" t="inlineStr">
        <is>
          <t>KB금융</t>
        </is>
      </c>
      <c r="E309" s="288" t="n">
        <v>11160</v>
      </c>
      <c r="F309" s="342" t="n"/>
      <c r="G309" s="288" t="n">
        <v>11160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inlineStr">
        <is>
          <t>498400</t>
        </is>
      </c>
      <c r="D310" s="287" t="inlineStr">
        <is>
          <t>KODEX 200타켓위클리커버드콜</t>
        </is>
      </c>
      <c r="E310" s="288" t="n">
        <v>119756</v>
      </c>
      <c r="F310" s="342" t="n"/>
      <c r="G310" s="288" t="n">
        <v>119756</v>
      </c>
      <c r="H310" s="287" t="inlineStr">
        <is>
          <t>예측</t>
        </is>
      </c>
    </row>
    <row r="311">
      <c r="A311" s="344" t="n">
        <v>46340</v>
      </c>
      <c r="B311" s="287" t="n">
        <v>11</v>
      </c>
      <c r="C311" s="287" t="inlineStr">
        <is>
          <t>474220</t>
        </is>
      </c>
      <c r="D311" s="287" t="inlineStr">
        <is>
          <t>TIGER미국테크TOP10커버드콜</t>
        </is>
      </c>
      <c r="E311" s="288" t="n">
        <v>570000</v>
      </c>
      <c r="F311" s="342" t="n"/>
      <c r="G311" s="288" t="n">
        <v>570000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481060</t>
        </is>
      </c>
      <c r="D312" s="287" t="inlineStr">
        <is>
          <t>KODEX 미국30년국채타겟커버드콜(H)</t>
        </is>
      </c>
      <c r="E312" s="288" t="n">
        <v>278460</v>
      </c>
      <c r="F312" s="342" t="n"/>
      <c r="G312" s="288" t="n">
        <v>278460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490490</t>
        </is>
      </c>
      <c r="D313" s="287" t="inlineStr">
        <is>
          <t>SOL미국배당미국채혼합50</t>
        </is>
      </c>
      <c r="E313" s="288" t="n">
        <v>122272</v>
      </c>
      <c r="F313" s="342" t="n"/>
      <c r="G313" s="288" t="n">
        <v>122272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O</t>
        </is>
      </c>
      <c r="D314" s="287" t="inlineStr">
        <is>
          <t>리얼티인컴</t>
        </is>
      </c>
      <c r="E314" s="288" t="n"/>
      <c r="F314" s="342" t="n">
        <v>14.151</v>
      </c>
      <c r="G314" s="288" t="n">
        <v>19500.078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SBUX</t>
        </is>
      </c>
      <c r="D315" s="287" t="inlineStr">
        <is>
          <t>스타벅스</t>
        </is>
      </c>
      <c r="E315" s="288" t="n"/>
      <c r="F315" s="342" t="n">
        <v>1.23</v>
      </c>
      <c r="G315" s="288" t="n">
        <v>1694.94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XOM</t>
        </is>
      </c>
      <c r="D316" s="287" t="inlineStr">
        <is>
          <t>엑슨모빌</t>
        </is>
      </c>
      <c r="E316" s="288" t="n"/>
      <c r="F316" s="342" t="n">
        <v>1.01</v>
      </c>
      <c r="G316" s="288" t="n">
        <v>1391.78</v>
      </c>
      <c r="H316" s="287" t="inlineStr">
        <is>
          <t>예측</t>
        </is>
      </c>
    </row>
    <row r="317">
      <c r="A317" s="344" t="n">
        <v>46344</v>
      </c>
      <c r="B317" s="287" t="n">
        <v>11</v>
      </c>
      <c r="C317" s="287" t="inlineStr">
        <is>
          <t>CVX</t>
        </is>
      </c>
      <c r="D317" s="287" t="inlineStr">
        <is>
          <t>셰브론</t>
        </is>
      </c>
      <c r="E317" s="288" t="n"/>
      <c r="F317" s="342" t="n">
        <v>1.67</v>
      </c>
      <c r="G317" s="288" t="n">
        <v>2301.26</v>
      </c>
      <c r="H317" s="287" t="inlineStr">
        <is>
          <t>예측</t>
        </is>
      </c>
    </row>
    <row r="318">
      <c r="A318" s="344" t="n">
        <v>46346</v>
      </c>
      <c r="B318" s="287" t="n">
        <v>11</v>
      </c>
      <c r="C318" s="287" t="inlineStr">
        <is>
          <t>MSFT</t>
        </is>
      </c>
      <c r="D318" s="287" t="inlineStr">
        <is>
          <t>마이크로소프트</t>
        </is>
      </c>
      <c r="E318" s="288" t="n"/>
      <c r="F318" s="342" t="n">
        <v>1.74</v>
      </c>
      <c r="G318" s="288" t="n">
        <v>2397.72</v>
      </c>
      <c r="H318" s="287" t="inlineStr">
        <is>
          <t>예측</t>
        </is>
      </c>
    </row>
    <row r="319">
      <c r="A319" s="344" t="n">
        <v>46352</v>
      </c>
      <c r="B319" s="287" t="n">
        <v>11</v>
      </c>
      <c r="C319" s="287" t="inlineStr">
        <is>
          <t>TMUS</t>
        </is>
      </c>
      <c r="D319" s="287" t="inlineStr">
        <is>
          <t>T-모바일</t>
        </is>
      </c>
      <c r="E319" s="288" t="n"/>
      <c r="F319" s="342" t="n">
        <v>3.8</v>
      </c>
      <c r="G319" s="288" t="n">
        <v>5236.4</v>
      </c>
      <c r="H319" s="287" t="inlineStr">
        <is>
          <t>예측</t>
        </is>
      </c>
    </row>
    <row r="320">
      <c r="A320" s="344" t="n">
        <v>46353</v>
      </c>
      <c r="B320" s="287" t="n">
        <v>11</v>
      </c>
      <c r="C320" s="287" t="inlineStr">
        <is>
          <t>005389</t>
        </is>
      </c>
      <c r="D320" s="287" t="inlineStr">
        <is>
          <t>현대차3우B</t>
        </is>
      </c>
      <c r="E320" s="288" t="n">
        <v>32500</v>
      </c>
      <c r="F320" s="342" t="n"/>
      <c r="G320" s="288" t="n">
        <v>32500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472170</t>
        </is>
      </c>
      <c r="D321" s="287" t="inlineStr">
        <is>
          <t>TIGER 미국테크TOP10채권혼합</t>
        </is>
      </c>
      <c r="E321" s="288" t="n">
        <v>100521</v>
      </c>
      <c r="F321" s="342" t="n"/>
      <c r="G321" s="288" t="n">
        <v>100521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498410</t>
        </is>
      </c>
      <c r="D322" s="287" t="inlineStr">
        <is>
          <t>KODEX금융고배당TOP10타겟위클리커버드콜</t>
        </is>
      </c>
      <c r="E322" s="288" t="n">
        <v>366058</v>
      </c>
      <c r="F322" s="342" t="n"/>
      <c r="G322" s="288" t="n">
        <v>366058</v>
      </c>
      <c r="H322" s="287" t="inlineStr">
        <is>
          <t>예측</t>
        </is>
      </c>
    </row>
    <row r="323">
      <c r="A323" s="344" t="n">
        <v>46354</v>
      </c>
      <c r="B323" s="287" t="n">
        <v>11</v>
      </c>
      <c r="C323" s="287" t="inlineStr">
        <is>
          <t>329200</t>
        </is>
      </c>
      <c r="D323" s="287" t="inlineStr">
        <is>
          <t>TIGER리츠부동산인프라</t>
        </is>
      </c>
      <c r="E323" s="288" t="n">
        <v>107500</v>
      </c>
      <c r="F323" s="342" t="n"/>
      <c r="G323" s="288" t="n">
        <v>107500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433330</t>
        </is>
      </c>
      <c r="D324" s="287" t="inlineStr">
        <is>
          <t>SOL 미국 S&amp;P500</t>
        </is>
      </c>
      <c r="E324" s="288" t="n">
        <v>22295</v>
      </c>
      <c r="F324" s="342" t="n"/>
      <c r="G324" s="288" t="n">
        <v>22295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446720</t>
        </is>
      </c>
      <c r="D325" s="287" t="inlineStr">
        <is>
          <t>SOL 미국배당다우존스</t>
        </is>
      </c>
      <c r="E325" s="288" t="n">
        <v>53865</v>
      </c>
      <c r="F325" s="342" t="n"/>
      <c r="G325" s="288" t="n">
        <v>53865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458760</t>
        </is>
      </c>
      <c r="D326" s="287" t="inlineStr">
        <is>
          <t>TIGER 미배당다우커버드콜2호</t>
        </is>
      </c>
      <c r="E326" s="288" t="n">
        <v>1435506</v>
      </c>
      <c r="F326" s="342" t="n"/>
      <c r="G326" s="288" t="n">
        <v>1435506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468380</t>
        </is>
      </c>
      <c r="D327" s="287" t="inlineStr">
        <is>
          <t>KODEX iShares미국하이일드액티브</t>
        </is>
      </c>
      <c r="E327" s="288" t="n">
        <v>124000</v>
      </c>
      <c r="F327" s="342" t="n"/>
      <c r="G327" s="288" t="n">
        <v>124000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473330</t>
        </is>
      </c>
      <c r="D328" s="287" t="inlineStr">
        <is>
          <t>SOL 미국 30년국채커버드콜(합성)</t>
        </is>
      </c>
      <c r="E328" s="288" t="n">
        <v>108000</v>
      </c>
      <c r="F328" s="342" t="n"/>
      <c r="G328" s="288" t="n">
        <v>108000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475380</t>
        </is>
      </c>
      <c r="D329" s="287" t="inlineStr">
        <is>
          <t>RISE 글로벌리얼티인컴</t>
        </is>
      </c>
      <c r="E329" s="288" t="n">
        <v>3737</v>
      </c>
      <c r="F329" s="342" t="n"/>
      <c r="G329" s="288" t="n">
        <v>3737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476550</t>
        </is>
      </c>
      <c r="D330" s="287" t="inlineStr">
        <is>
          <t>TIGER 미국30년국채커버드콜액티브(H)</t>
        </is>
      </c>
      <c r="E330" s="288" t="n">
        <v>37066</v>
      </c>
      <c r="F330" s="342" t="n"/>
      <c r="G330" s="288" t="n">
        <v>37066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476690</t>
        </is>
      </c>
      <c r="D331" s="287" t="inlineStr">
        <is>
          <t>TIGER 글로벌비만치료제 TOP2 Plus</t>
        </is>
      </c>
      <c r="E331" s="288" t="n">
        <v>1200</v>
      </c>
      <c r="F331" s="342" t="n"/>
      <c r="G331" s="288" t="n">
        <v>1200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482730</t>
        </is>
      </c>
      <c r="D332" s="287" t="inlineStr">
        <is>
          <t>미국S&amp;P500타겟데일리커버드콜</t>
        </is>
      </c>
      <c r="E332" s="288" t="n">
        <v>40800</v>
      </c>
      <c r="F332" s="342" t="n"/>
      <c r="G332" s="288" t="n">
        <v>40800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483280</t>
        </is>
      </c>
      <c r="D333" s="287" t="inlineStr">
        <is>
          <t>KODEX 미국AI테크TOP10타겟커버드콜</t>
        </is>
      </c>
      <c r="E333" s="288" t="n">
        <v>329448</v>
      </c>
      <c r="F333" s="342" t="n"/>
      <c r="G333" s="288" t="n">
        <v>329448</v>
      </c>
      <c r="H333" s="287" t="inlineStr">
        <is>
          <t>예측</t>
        </is>
      </c>
    </row>
    <row r="334">
      <c r="A334" s="344" t="n">
        <v>46356</v>
      </c>
      <c r="B334" s="287" t="n">
        <v>11</v>
      </c>
      <c r="C334" s="287" t="inlineStr">
        <is>
          <t>0219E0</t>
        </is>
      </c>
      <c r="D334" s="287" t="inlineStr">
        <is>
          <t>KODEX 200커버드콜액티브</t>
        </is>
      </c>
      <c r="E334" s="288" t="n">
        <v>192168</v>
      </c>
      <c r="F334" s="342" t="n"/>
      <c r="G334" s="288" t="n">
        <v>192168</v>
      </c>
      <c r="H334" s="287" t="inlineStr">
        <is>
          <t>예측</t>
        </is>
      </c>
    </row>
    <row r="335">
      <c r="A335" s="344" t="n">
        <v>46358</v>
      </c>
      <c r="B335" s="287" t="n">
        <v>12</v>
      </c>
      <c r="C335" s="287" t="inlineStr">
        <is>
          <t>NKE</t>
        </is>
      </c>
      <c r="D335" s="287" t="inlineStr">
        <is>
          <t>나이키</t>
        </is>
      </c>
      <c r="E335" s="288" t="n"/>
      <c r="F335" s="342" t="n">
        <v>4.05</v>
      </c>
      <c r="G335" s="288" t="n">
        <v>5580.9</v>
      </c>
      <c r="H335" s="287" t="inlineStr">
        <is>
          <t>예측</t>
        </is>
      </c>
    </row>
    <row r="336">
      <c r="A336" s="344" t="n">
        <v>46366</v>
      </c>
      <c r="B336" s="287" t="n">
        <v>12</v>
      </c>
      <c r="C336" s="287" t="inlineStr">
        <is>
          <t>SCHD</t>
        </is>
      </c>
      <c r="D336" s="287" t="inlineStr">
        <is>
          <t>SCHD</t>
        </is>
      </c>
      <c r="E336" s="288" t="n"/>
      <c r="F336" s="342" t="n">
        <v>6.516</v>
      </c>
      <c r="G336" s="288" t="n">
        <v>8979.048000000001</v>
      </c>
      <c r="H336" s="287" t="inlineStr">
        <is>
          <t>예측</t>
        </is>
      </c>
    </row>
    <row r="337">
      <c r="A337" s="344" t="n">
        <v>46368</v>
      </c>
      <c r="B337" s="287" t="n">
        <v>12</v>
      </c>
      <c r="C337" s="287" t="inlineStr">
        <is>
          <t>0008S0</t>
        </is>
      </c>
      <c r="D337" s="287" t="inlineStr">
        <is>
          <t>TIGER 미국배당다우존스타겟데일리커버드콜</t>
        </is>
      </c>
      <c r="E337" s="288" t="n">
        <v>273000</v>
      </c>
      <c r="F337" s="342" t="n"/>
      <c r="G337" s="288" t="n">
        <v>273000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474220</t>
        </is>
      </c>
      <c r="D338" s="287" t="inlineStr">
        <is>
          <t>TIGER미국테크TOP10커버드콜</t>
        </is>
      </c>
      <c r="E338" s="288" t="n">
        <v>581400</v>
      </c>
      <c r="F338" s="342" t="n"/>
      <c r="G338" s="288" t="n">
        <v>581400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481060</t>
        </is>
      </c>
      <c r="D339" s="287" t="inlineStr">
        <is>
          <t>KODEX 미국30년국채타겟커버드콜(H)</t>
        </is>
      </c>
      <c r="E339" s="288" t="n">
        <v>278460</v>
      </c>
      <c r="F339" s="342" t="n"/>
      <c r="G339" s="288" t="n">
        <v>278460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490490</t>
        </is>
      </c>
      <c r="D340" s="287" t="inlineStr">
        <is>
          <t>SOL미국배당미국채혼합50</t>
        </is>
      </c>
      <c r="E340" s="288" t="n">
        <v>114630</v>
      </c>
      <c r="F340" s="342" t="n"/>
      <c r="G340" s="288" t="n">
        <v>114630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498400</t>
        </is>
      </c>
      <c r="D341" s="287" t="inlineStr">
        <is>
          <t>KODEX 200타켓위클리커버드콜</t>
        </is>
      </c>
      <c r="E341" s="288" t="n">
        <v>119756</v>
      </c>
      <c r="F341" s="342" t="n"/>
      <c r="G341" s="288" t="n">
        <v>119756</v>
      </c>
      <c r="H341" s="287" t="inlineStr">
        <is>
          <t>예측</t>
        </is>
      </c>
    </row>
    <row r="342">
      <c r="A342" s="344" t="n">
        <v>46372</v>
      </c>
      <c r="B342" s="287" t="n">
        <v>12</v>
      </c>
      <c r="C342" s="287" t="inlineStr">
        <is>
          <t>O</t>
        </is>
      </c>
      <c r="D342" s="287" t="inlineStr">
        <is>
          <t>리얼티인컴</t>
        </is>
      </c>
      <c r="E342" s="288" t="n"/>
      <c r="F342" s="342" t="n">
        <v>14.151</v>
      </c>
      <c r="G342" s="288" t="n">
        <v>19500.078</v>
      </c>
      <c r="H342" s="287" t="inlineStr">
        <is>
          <t>예측</t>
        </is>
      </c>
    </row>
    <row r="343">
      <c r="A343" s="344" t="n">
        <v>46380</v>
      </c>
      <c r="B343" s="287" t="n">
        <v>12</v>
      </c>
      <c r="C343" s="287" t="inlineStr">
        <is>
          <t>QLD</t>
        </is>
      </c>
      <c r="D343" s="287" t="inlineStr">
        <is>
          <t>QLD</t>
        </is>
      </c>
      <c r="E343" s="288" t="n"/>
      <c r="F343" s="342" t="n">
        <v>1.1502</v>
      </c>
      <c r="G343" s="288" t="n">
        <v>1584.9756</v>
      </c>
      <c r="H343" s="287" t="inlineStr">
        <is>
          <t>예측</t>
        </is>
      </c>
    </row>
    <row r="344">
      <c r="A344" s="344" t="n">
        <v>46383</v>
      </c>
      <c r="B344" s="287" t="n">
        <v>12</v>
      </c>
      <c r="C344" s="287" t="inlineStr">
        <is>
          <t>472170</t>
        </is>
      </c>
      <c r="D344" s="287" t="inlineStr">
        <is>
          <t>TIGER 미국테크TOP10채권혼합</t>
        </is>
      </c>
      <c r="E344" s="288" t="n">
        <v>473040</v>
      </c>
      <c r="F344" s="342" t="n"/>
      <c r="G344" s="288" t="n">
        <v>473040</v>
      </c>
      <c r="H344" s="287" t="inlineStr">
        <is>
          <t>예측</t>
        </is>
      </c>
    </row>
    <row r="345">
      <c r="A345" s="344" t="n">
        <v>46384</v>
      </c>
      <c r="B345" s="287" t="n">
        <v>12</v>
      </c>
      <c r="C345" s="287" t="inlineStr">
        <is>
          <t>005930</t>
        </is>
      </c>
      <c r="D345" s="287" t="inlineStr">
        <is>
          <t>삼성전자</t>
        </is>
      </c>
      <c r="E345" s="288" t="n">
        <v>45986</v>
      </c>
      <c r="F345" s="342" t="n"/>
      <c r="G345" s="288" t="n">
        <v>45986</v>
      </c>
      <c r="H345" s="287" t="inlineStr">
        <is>
          <t>예측</t>
        </is>
      </c>
    </row>
    <row r="346">
      <c r="A346" s="344" t="n">
        <v>46384</v>
      </c>
      <c r="B346" s="287" t="n">
        <v>12</v>
      </c>
      <c r="C346" s="287" t="inlineStr">
        <is>
          <t>329200</t>
        </is>
      </c>
      <c r="D346" s="287" t="inlineStr">
        <is>
          <t>TIGER리츠부동산인프라</t>
        </is>
      </c>
      <c r="E346" s="288" t="n">
        <v>120000</v>
      </c>
      <c r="F346" s="342" t="n"/>
      <c r="G346" s="288" t="n">
        <v>120000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433330</t>
        </is>
      </c>
      <c r="D347" s="287" t="inlineStr">
        <is>
          <t>SOL 미국 S&amp;P500</t>
        </is>
      </c>
      <c r="E347" s="288" t="n">
        <v>22932</v>
      </c>
      <c r="F347" s="342" t="n"/>
      <c r="G347" s="288" t="n">
        <v>22932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446720</t>
        </is>
      </c>
      <c r="D348" s="287" t="inlineStr">
        <is>
          <t>SOL 미국배당다우존스</t>
        </is>
      </c>
      <c r="E348" s="288" t="n">
        <v>47880</v>
      </c>
      <c r="F348" s="342" t="n"/>
      <c r="G348" s="288" t="n">
        <v>47880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458760</t>
        </is>
      </c>
      <c r="D349" s="287" t="inlineStr">
        <is>
          <t>TIGER 미배당다우커버드콜2호</t>
        </is>
      </c>
      <c r="E349" s="288" t="n">
        <v>1412476</v>
      </c>
      <c r="F349" s="342" t="n"/>
      <c r="G349" s="288" t="n">
        <v>1412476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468380</t>
        </is>
      </c>
      <c r="D350" s="287" t="inlineStr">
        <is>
          <t>KODEX iShares미국하이일드액티브</t>
        </is>
      </c>
      <c r="E350" s="288" t="n">
        <v>133000</v>
      </c>
      <c r="F350" s="342" t="n"/>
      <c r="G350" s="288" t="n">
        <v>133000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473330</t>
        </is>
      </c>
      <c r="D351" s="287" t="inlineStr">
        <is>
          <t>SOL 미국 30년국채커버드콜(합성)</t>
        </is>
      </c>
      <c r="E351" s="288" t="n">
        <v>129600</v>
      </c>
      <c r="F351" s="342" t="n"/>
      <c r="G351" s="288" t="n">
        <v>129600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475380</t>
        </is>
      </c>
      <c r="D352" s="287" t="inlineStr">
        <is>
          <t>RISE 글로벌리얼티인컴</t>
        </is>
      </c>
      <c r="E352" s="288" t="n">
        <v>3737</v>
      </c>
      <c r="F352" s="342" t="n"/>
      <c r="G352" s="288" t="n">
        <v>3737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476550</t>
        </is>
      </c>
      <c r="D353" s="287" t="inlineStr">
        <is>
          <t>TIGER 미국30년국채커버드콜액티브(H)</t>
        </is>
      </c>
      <c r="E353" s="288" t="n">
        <v>34911</v>
      </c>
      <c r="F353" s="342" t="n"/>
      <c r="G353" s="288" t="n">
        <v>34911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476690</t>
        </is>
      </c>
      <c r="D354" s="287" t="inlineStr">
        <is>
          <t>TIGER 글로벌비만치료제 TOP2 Plus</t>
        </is>
      </c>
      <c r="E354" s="288" t="n">
        <v>1350</v>
      </c>
      <c r="F354" s="342" t="n"/>
      <c r="G354" s="288" t="n">
        <v>1350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482730</t>
        </is>
      </c>
      <c r="D355" s="287" t="inlineStr">
        <is>
          <t>미국S&amp;P500타겟데일리커버드콜</t>
        </is>
      </c>
      <c r="E355" s="288" t="n">
        <v>41650</v>
      </c>
      <c r="F355" s="342" t="n"/>
      <c r="G355" s="288" t="n">
        <v>41650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483280</t>
        </is>
      </c>
      <c r="D356" s="287" t="inlineStr">
        <is>
          <t>KODEX 미국AI테크TOP10타겟커버드콜</t>
        </is>
      </c>
      <c r="E356" s="288" t="n">
        <v>342804</v>
      </c>
      <c r="F356" s="342" t="n"/>
      <c r="G356" s="288" t="n">
        <v>342804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AMT</t>
        </is>
      </c>
      <c r="D357" s="287" t="inlineStr">
        <is>
          <t>아메리칸타워</t>
        </is>
      </c>
      <c r="E357" s="288" t="n"/>
      <c r="F357" s="342" t="n">
        <v>8.300000000000001</v>
      </c>
      <c r="G357" s="288" t="n">
        <v>11437.4</v>
      </c>
      <c r="H357" s="287" t="inlineStr">
        <is>
          <t>예측</t>
        </is>
      </c>
    </row>
    <row r="358">
      <c r="A358" s="344" t="n">
        <v>46385</v>
      </c>
      <c r="B358" s="287" t="n">
        <v>12</v>
      </c>
      <c r="C358" s="287" t="inlineStr">
        <is>
          <t>381170</t>
        </is>
      </c>
      <c r="D358" s="287" t="inlineStr">
        <is>
          <t>TIGER 미국테크TOP10 INDXX</t>
        </is>
      </c>
      <c r="E358" s="288" t="n">
        <v>24871</v>
      </c>
      <c r="F358" s="342" t="n"/>
      <c r="G358" s="288" t="n">
        <v>24871</v>
      </c>
      <c r="H358" s="287" t="inlineStr">
        <is>
          <t>예측</t>
        </is>
      </c>
    </row>
    <row r="359">
      <c r="A359" s="344" t="n">
        <v>46385</v>
      </c>
      <c r="B359" s="287" t="n">
        <v>12</v>
      </c>
      <c r="C359" s="287" t="inlineStr">
        <is>
          <t>438100</t>
        </is>
      </c>
      <c r="D359" s="287" t="inlineStr">
        <is>
          <t>ACE미국나스닥100미국채혼합50액티브</t>
        </is>
      </c>
      <c r="E359" s="288" t="n">
        <v>228672</v>
      </c>
      <c r="F359" s="342" t="n"/>
      <c r="G359" s="288" t="n">
        <v>228672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457480</t>
        </is>
      </c>
      <c r="D360" s="287" t="inlineStr">
        <is>
          <t>ACE테슬라밸류체인액티브</t>
        </is>
      </c>
      <c r="E360" s="288" t="n">
        <v>184325</v>
      </c>
      <c r="F360" s="342" t="n"/>
      <c r="G360" s="288" t="n">
        <v>184325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498410</t>
        </is>
      </c>
      <c r="D361" s="287" t="inlineStr">
        <is>
          <t>KODEX금융고배당TOP10타겟위클리커버드콜</t>
        </is>
      </c>
      <c r="E361" s="288" t="n">
        <v>361304</v>
      </c>
      <c r="F361" s="342" t="n"/>
      <c r="G361" s="288" t="n">
        <v>361304</v>
      </c>
      <c r="H361" s="287" t="inlineStr">
        <is>
          <t>예측</t>
        </is>
      </c>
    </row>
    <row r="362">
      <c r="A362" s="344" t="n">
        <v>46387</v>
      </c>
      <c r="B362" s="287" t="n">
        <v>12</v>
      </c>
      <c r="C362" s="287" t="inlineStr">
        <is>
          <t>0219E0</t>
        </is>
      </c>
      <c r="D362" s="287" t="inlineStr">
        <is>
          <t>KODEX 200커버드콜액티브</t>
        </is>
      </c>
      <c r="E362" s="288" t="n">
        <v>192168</v>
      </c>
      <c r="F362" s="342" t="n"/>
      <c r="G362" s="288" t="n">
        <v>192168</v>
      </c>
      <c r="H362" s="287" t="inlineStr">
        <is>
          <t>예측</t>
        </is>
      </c>
    </row>
  </sheetData>
  <autoFilter ref="A43:H362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2026-08-27T01:01:55Z</dcterms:modified>
  <cp:lastModifiedBy>Hyoyol Park</cp:lastModifiedBy>
</cp:coreProperties>
</file>