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￦1,382</t>
        </is>
      </c>
      <c r="J5" s="73" t="n">
        <v>1382.38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11335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11230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10235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11615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13750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11000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7430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4110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26575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14660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11335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14135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21945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11875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30570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26260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11485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11335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14660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18540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8050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132650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14460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6855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13990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191700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10145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11060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10510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249250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249250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19575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348.9500122070312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63.16999816894531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41.06000137329102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310.3399963378906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20300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171900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87.72000122070312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165900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8140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71600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178.3899993896484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208.4799957275391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35.20999908447266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487.3099975585938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182.6199951171875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46.91999816894531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175.8899993896484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68.27999877929688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10.10999965667725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40.75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410.1199951171875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179.4799957275391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177.1399993896484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142.4499969482422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7.190000057220459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107.4899978637695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9.050000190734863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18080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39.68999862670898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15115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177790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30165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21950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203.0899963378906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164.0500030517578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106.4899978637695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6" t="n">
        <v>17</v>
      </c>
      <c r="B36" s="296">
        <f>IFERROR(INDEX('계좌현황'!A:A,INDEX($L$20:$L$95,MATCH(LARGE($N$20:$N$95,17),$N$20:$N$95,0))),"")</f>
        <v/>
      </c>
      <c r="C36" s="296">
        <f>IFERROR(INDEX('계좌현황'!C:C,INDEX($L$20:$L$95,MATCH(LARGE($N$20:$N$95,17),$N$20:$N$95,0))),"")</f>
        <v/>
      </c>
      <c r="D36" s="296">
        <f>IFERROR(INDEX('계좌현황'!D:D,INDEX($L$20:$L$95,MATCH(LARGE($N$20:$N$95,17),$N$20:$N$95,0))),"")</f>
        <v/>
      </c>
      <c r="E36" s="296">
        <f>IFERROR(INDEX('계좌현황'!E:E,INDEX($L$20:$L$95,MATCH(LARGE($N$20:$N$95,17),$N$20:$N$95,0))),"")</f>
        <v/>
      </c>
      <c r="F36" s="320">
        <f>IFERROR(INDEX('계좌현황'!F:F,INDEX($L$20:$L$95,MATCH(LARGE($N$20:$N$95,17),$N$20:$N$95,0))),"")</f>
        <v/>
      </c>
      <c r="G36" s="321">
        <f>IFERROR(INDEX('계좌현황'!K:K,INDEX($L$20:$L$95,MATCH(LARGE($N$20:$N$95,17),$N$20:$N$95,0))),0)</f>
        <v/>
      </c>
      <c r="H36" s="322">
        <f>IF($B$3=0,0,G36/$B$3)</f>
        <v/>
      </c>
      <c r="I36" s="322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0" t="n">
        <v>18</v>
      </c>
      <c r="B37" s="290">
        <f>IFERROR(INDEX('계좌현황'!A:A,INDEX($L$20:$L$95,MATCH(LARGE($N$20:$N$95,18),$N$20:$N$95,0))),"")</f>
        <v/>
      </c>
      <c r="C37" s="290">
        <f>IFERROR(INDEX('계좌현황'!C:C,INDEX($L$20:$L$95,MATCH(LARGE($N$20:$N$95,18),$N$20:$N$95,0))),"")</f>
        <v/>
      </c>
      <c r="D37" s="290">
        <f>IFERROR(INDEX('계좌현황'!D:D,INDEX($L$20:$L$95,MATCH(LARGE($N$20:$N$95,18),$N$20:$N$95,0))),"")</f>
        <v/>
      </c>
      <c r="E37" s="290">
        <f>IFERROR(INDEX('계좌현황'!E:E,INDEX($L$20:$L$95,MATCH(LARGE($N$20:$N$95,18),$N$20:$N$95,0))),"")</f>
        <v/>
      </c>
      <c r="F37" s="317">
        <f>IFERROR(INDEX('계좌현황'!F:F,INDEX($L$20:$L$95,MATCH(LARGE($N$20:$N$95,18),$N$20:$N$95,0))),"")</f>
        <v/>
      </c>
      <c r="G37" s="318">
        <f>IFERROR(INDEX('계좌현황'!K:K,INDEX($L$20:$L$95,MATCH(LARGE($N$20:$N$95,18),$N$20:$N$95,0))),0)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4" t="n">
        <v>20</v>
      </c>
      <c r="B39" s="284">
        <f>IFERROR(INDEX('계좌현황'!A:A,INDEX($L$20:$L$95,MATCH(LARGE($N$20:$N$95,20),$N$20:$N$95,0))),"")</f>
        <v/>
      </c>
      <c r="C39" s="284">
        <f>IFERROR(INDEX('계좌현황'!C:C,INDEX($L$20:$L$95,MATCH(LARGE($N$20:$N$95,20),$N$20:$N$95,0))),"")</f>
        <v/>
      </c>
      <c r="D39" s="284">
        <f>IFERROR(INDEX('계좌현황'!D:D,INDEX($L$20:$L$95,MATCH(LARGE($N$20:$N$95,20),$N$20:$N$95,0))),"")</f>
        <v/>
      </c>
      <c r="E39" s="284">
        <f>IFERROR(INDEX('계좌현황'!E:E,INDEX($L$20:$L$95,MATCH(LARGE($N$20:$N$95,20),$N$20:$N$95,0))),"")</f>
        <v/>
      </c>
      <c r="F39" s="323">
        <f>IFERROR(INDEX('계좌현황'!F:F,INDEX($L$20:$L$95,MATCH(LARGE($N$20:$N$95,20),$N$20:$N$95,0))),"")</f>
        <v/>
      </c>
      <c r="G39" s="324">
        <f>IFERROR(INDEX('계좌현황'!K:K,INDEX($L$20:$L$95,MATCH(LARGE($N$20:$N$95,20),$N$20:$N$95,0))),0)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78" t="n">
        <v>21</v>
      </c>
      <c r="B40" s="278">
        <f>IFERROR(INDEX('계좌현황'!A:A,INDEX($L$20:$L$95,MATCH(LARGE($N$20:$N$95,21),$N$20:$N$95,0))),"")</f>
        <v/>
      </c>
      <c r="C40" s="278">
        <f>IFERROR(INDEX('계좌현황'!C:C,INDEX($L$20:$L$95,MATCH(LARGE($N$20:$N$95,21),$N$20:$N$95,0))),"")</f>
        <v/>
      </c>
      <c r="D40" s="278">
        <f>IFERROR(INDEX('계좌현황'!D:D,INDEX($L$20:$L$95,MATCH(LARGE($N$20:$N$95,21),$N$20:$N$95,0))),"")</f>
        <v/>
      </c>
      <c r="E40" s="278">
        <f>IFERROR(INDEX('계좌현황'!E:E,INDEX($L$20:$L$95,MATCH(LARGE($N$20:$N$95,21),$N$20:$N$95,0))),"")</f>
        <v/>
      </c>
      <c r="F40" s="308">
        <f>IFERROR(INDEX('계좌현황'!F:F,INDEX($L$20:$L$95,MATCH(LARGE($N$20:$N$95,21),$N$20:$N$95,0))),"")</f>
        <v/>
      </c>
      <c r="G40" s="309">
        <f>IFERROR(INDEX('계좌현황'!K:K,INDEX($L$20:$L$95,MATCH(LARGE($N$20:$N$95,21),$N$20:$N$95,0))),0)</f>
        <v/>
      </c>
      <c r="H40" s="310">
        <f>IF($B$3=0,0,G40/$B$3)</f>
        <v/>
      </c>
      <c r="I40" s="31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0" t="n">
        <v>22</v>
      </c>
      <c r="B41" s="290">
        <f>IFERROR(INDEX('계좌현황'!A:A,INDEX($L$20:$L$95,MATCH(LARGE($N$20:$N$95,22),$N$20:$N$95,0))),"")</f>
        <v/>
      </c>
      <c r="C41" s="290">
        <f>IFERROR(INDEX('계좌현황'!C:C,INDEX($L$20:$L$95,MATCH(LARGE($N$20:$N$95,22),$N$20:$N$95,0))),"")</f>
        <v/>
      </c>
      <c r="D41" s="290">
        <f>IFERROR(INDEX('계좌현황'!D:D,INDEX($L$20:$L$95,MATCH(LARGE($N$20:$N$95,22),$N$20:$N$95,0))),"")</f>
        <v/>
      </c>
      <c r="E41" s="290">
        <f>IFERROR(INDEX('계좌현황'!E:E,INDEX($L$20:$L$95,MATCH(LARGE($N$20:$N$95,22),$N$20:$N$95,0))),"")</f>
        <v/>
      </c>
      <c r="F41" s="317">
        <f>IFERROR(INDEX('계좌현황'!F:F,INDEX($L$20:$L$95,MATCH(LARGE($N$20:$N$95,22),$N$20:$N$95,0))),"")</f>
        <v/>
      </c>
      <c r="G41" s="318">
        <f>IFERROR(INDEX('계좌현황'!K:K,INDEX($L$20:$L$95,MATCH(LARGE($N$20:$N$95,22),$N$20:$N$95,0))),0)</f>
        <v/>
      </c>
      <c r="H41" s="319">
        <f>IF($B$3=0,0,G41/$B$3)</f>
        <v/>
      </c>
      <c r="I41" s="319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1,382원/$  | 연간 합계 52,148,913원 · 월평균 4,345,743원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4083503.42</v>
      </c>
      <c r="C7" s="279" t="n">
        <v>0</v>
      </c>
      <c r="D7" s="279" t="n">
        <v>4083503.42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4210417.199999999</v>
      </c>
      <c r="C8" s="279" t="n">
        <v>0</v>
      </c>
      <c r="D8" s="279" t="n">
        <v>4210417.199999999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4588944.984</v>
      </c>
      <c r="C9" s="282" t="n">
        <v>35408</v>
      </c>
      <c r="D9" s="282" t="n">
        <v>4624352.984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4199712.566</v>
      </c>
      <c r="C10" s="282" t="n">
        <v>5104</v>
      </c>
      <c r="D10" s="282" t="n">
        <v>4204816.566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4282890.825999999</v>
      </c>
      <c r="C11" s="279" t="n">
        <v>0</v>
      </c>
      <c r="D11" s="279" t="n">
        <v>4282890.825999999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4315716.066000001</v>
      </c>
      <c r="C12" s="282" t="n">
        <v>35492</v>
      </c>
      <c r="D12" s="282" t="n">
        <v>4351208.066000001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4336024.666</v>
      </c>
      <c r="C13" s="279" t="n">
        <v>0</v>
      </c>
      <c r="D13" s="279" t="n">
        <v>4336024.666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1410784.27</v>
      </c>
      <c r="C14" s="282" t="n">
        <v>2795727.356</v>
      </c>
      <c r="D14" s="282" t="n">
        <v>4206511.625999999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4202478.982</v>
      </c>
      <c r="D15" s="288" t="n">
        <v>4202478.982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4071434.928</v>
      </c>
      <c r="D16" s="288" t="n">
        <v>4071434.928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4359100.272</v>
      </c>
      <c r="D17" s="288" t="n">
        <v>4359100.272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5216173.711399999</v>
      </c>
      <c r="D18" s="288" t="n">
        <v>5216173.711399999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0.09759999999999999</v>
      </c>
      <c r="F24" s="303" t="n">
        <v>174026255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0.1039</v>
      </c>
      <c r="F25" s="303" t="n">
        <v>66849600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0.1629</v>
      </c>
      <c r="F26" s="303" t="n">
        <v>27608855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0.155</v>
      </c>
      <c r="F27" s="303" t="n">
        <v>25565610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0.1142</v>
      </c>
      <c r="F28" s="303" t="n">
        <v>30705000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0.1359</v>
      </c>
      <c r="F29" s="303" t="n">
        <v>22735800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0.0922</v>
      </c>
      <c r="F30" s="303" t="n">
        <v>20550000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0.1526</v>
      </c>
      <c r="F31" s="303" t="n">
        <v>11960325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0.0693</v>
      </c>
      <c r="F32" s="303" t="n">
        <v>22000000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42909830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0.1128</v>
      </c>
      <c r="F34" s="303" t="n">
        <v>10223840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0.131</v>
      </c>
      <c r="F35" s="303" t="n">
        <v>7728000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0.0212</v>
      </c>
      <c r="F36" s="303" t="n">
        <v>27101250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0.0293</v>
      </c>
      <c r="F37" s="303" t="n">
        <v>18799550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0.09949999999999999</v>
      </c>
      <c r="F38" s="303" t="n">
        <v>5046875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1382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19776.42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3233.88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1423.46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1713.68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2459.96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2515.24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19776.42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5638.56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5666.2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1321.192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8524.175999999999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26430.75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19849.666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1382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12368.9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19849.666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3358.26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1713.68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1423.46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2459.96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2515.24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19849.666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5638.56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5666.2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1382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1319.81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12368.9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3624.986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8391.504000000001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19849.666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1382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19849.666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19483.436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3358.26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1713.68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12002.67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1423.46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2459.96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2515.24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4228.92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5320.7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19483.436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1000.568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1366.798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8485.48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11747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11194.2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1243.8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19629.928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3171.69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19556.682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1699.86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1395.82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2307.94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2404.68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5251.599999999999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5597.099999999999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9005.111999999999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1002.641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19556.682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1589.5764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11470.6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2026-08-25T01:04:06Z</dcterms:modified>
  <cp:lastModifiedBy>Hyoyol Park</cp:lastModifiedBy>
</cp:coreProperties>
</file>