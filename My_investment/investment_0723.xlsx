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'월별배당'!$A$43:$H$356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family val="3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1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26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0.1352871319533215</v>
                </pt>
                <pt idx="1">
                  <v>0.05605807630482211</v>
                </pt>
                <pt idx="2">
                  <v>0.03910164395975005</v>
                </pt>
                <pt idx="3">
                  <v>0.03689427303074149</v>
                </pt>
                <pt idx="4">
                  <v>0.03525778483442345</v>
                </pt>
                <pt idx="5">
                  <v>0.02958323014286834</v>
                </pt>
                <pt idx="6">
                  <v>0.02920401653640378</v>
                </pt>
                <pt idx="7">
                  <v>0.02557280512135552</v>
                </pt>
                <pt idx="8">
                  <v>0.01179369545566911</v>
                </pt>
                <pt idx="9">
                  <v>0.06357018616616307</v>
                </pt>
                <pt idx="10">
                  <v>0.05861623251102881</v>
                </pt>
                <pt idx="11">
                  <v>0.02371544530522134</v>
                </pt>
                <pt idx="12">
                  <v>0.02532676681540755</v>
                </pt>
                <pt idx="13">
                  <v>0.006701756528236128</v>
                </pt>
                <pt idx="14">
                  <v>0.01386623488015693</v>
                </pt>
                <pt idx="15">
                  <v>0.007582140004596363</v>
                </pt>
                <pt idx="17">
                  <v>0.02802882240169787</v>
                </pt>
                <pt idx="18">
                  <v>0.02535007423804049</v>
                </pt>
                <pt idx="19">
                  <v>0.01167687279008991</v>
                </pt>
                <pt idx="20">
                  <v>0.01057533848710825</v>
                </pt>
                <pt idx="21">
                  <v>0.006463891366952254</v>
                </pt>
                <pt idx="22">
                  <v>0.005601167721026942</v>
                </pt>
                <pt idx="23">
                  <v>0.003823470682930847</v>
                </pt>
                <pt idx="24">
                  <v>0.00341406466783913</v>
                </pt>
                <pt idx="25">
                  <v>0.003276618772323359</v>
                </pt>
                <pt idx="26">
                  <v>0.002158827018542461</v>
                </pt>
                <pt idx="27">
                  <v>0.0014188782196365</v>
                </pt>
                <pt idx="28">
                  <v>0.001429221562650845</v>
                </pt>
                <pt idx="29">
                  <v>0.01884645935742578</v>
                </pt>
                <pt idx="30">
                  <v>0.01507716748594062</v>
                </pt>
                <pt idx="31">
                  <v>0.01340852608774915</v>
                </pt>
                <pt idx="32">
                  <v>0.01024232228898843</v>
                </pt>
                <pt idx="33">
                  <v>0.006462783372653717</v>
                </pt>
                <pt idx="34">
                  <v>0.005731549365958707</v>
                </pt>
                <pt idx="35">
                  <v>0.005414329928551355</v>
                </pt>
                <pt idx="36">
                  <v>0.004781987645509257</v>
                </pt>
                <pt idx="37">
                  <v>0.004820124756868896</v>
                </pt>
                <pt idx="38">
                  <v>0.004415427540515418</v>
                </pt>
                <pt idx="39">
                  <v>0.002684954169465992</v>
                </pt>
                <pt idx="40">
                  <v>0.002793059237110765</v>
                </pt>
                <pt idx="41">
                  <v>0.008486363934763279</v>
                </pt>
                <pt idx="42">
                  <v>0.002204082634315286</v>
                </pt>
                <pt idx="43">
                  <v>0.002177813081302534</v>
                </pt>
                <pt idx="44">
                  <v>0.002450981404872302</v>
                </pt>
                <pt idx="45">
                  <v>0.001463935392182984</v>
                </pt>
                <pt idx="46">
                  <v>0.001563010589486791</v>
                </pt>
                <pt idx="47">
                  <v>0.001545044463280056</v>
                </pt>
                <pt idx="48">
                  <v>0.001475947093849907</v>
                </pt>
                <pt idx="49">
                  <v>0.001416309480952624</v>
                </pt>
                <pt idx="50">
                  <v>0.001344033851042298</v>
                </pt>
                <pt idx="51">
                  <v>0.001357690737680704</v>
                </pt>
                <pt idx="52">
                  <v>0.0009070901580626706</v>
                </pt>
                <pt idx="53">
                  <v>0.0008774583148249994</v>
                </pt>
                <pt idx="54">
                  <v>0.0007887122590469698</v>
                </pt>
                <pt idx="55">
                  <v>0.000767624117862961</v>
                </pt>
                <pt idx="56">
                  <v>0.0007733074543048399</v>
                </pt>
                <pt idx="57">
                  <v>0.00059592757701536</v>
                </pt>
                <pt idx="58">
                  <v>0.0006281206793157409</v>
                </pt>
                <pt idx="59">
                  <v>0.0004491423435942305</v>
                </pt>
                <pt idx="60">
                  <v>0.0004706885610479011</v>
                </pt>
                <pt idx="61">
                  <v>0.0003838120517998352</v>
                </pt>
                <pt idx="62">
                  <v>0.0003157615793607474</v>
                </pt>
                <pt idx="63">
                  <v>0.0002644215358329738</v>
                </pt>
                <pt idx="64">
                  <v>0.0002388402673874039</v>
                </pt>
                <pt idx="65">
                  <v>2.589389294744499e-05</v>
                </pt>
                <pt idx="66">
                  <v>0</v>
                </pt>
                <pt idx="67">
                  <v>0.1127821281037309</v>
                </pt>
                <pt idx="68">
                  <v>0.01608765498795921</v>
                </pt>
                <pt idx="69">
                  <v>0.01360316495908596</v>
                </pt>
                <pt idx="70">
                  <v>0.01299466545499113</v>
                </pt>
                <pt idx="71">
                  <v>0.01085845418767758</v>
                </pt>
                <pt idx="72">
                  <v>0.003807365526752683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topLeftCell="A18" zoomScale="55" zoomScaleNormal="55" workbookViewId="0">
      <selection activeCell="G50" sqref="G50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￦1,463</t>
        </is>
      </c>
      <c r="J5" s="73" t="n">
        <v>1462.7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11600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11600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10410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11600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13765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11580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7530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4065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26925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14805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11600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14255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22390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12215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0" t="n"/>
      <c r="Q22" s="200" t="n"/>
      <c r="R22" s="200" t="n"/>
    </row>
    <row r="23" ht="12.75" customHeight="1" s="201">
      <c r="A23" s="72" t="inlineStr">
        <is>
          <t>개인연금2</t>
        </is>
      </c>
      <c r="B23" s="200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30900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26830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0" t="n"/>
      <c r="Q24" s="200" t="n"/>
      <c r="R24" s="200" t="n"/>
    </row>
    <row r="25" ht="12.75" customHeight="1" s="201">
      <c r="A25" s="200" t="inlineStr">
        <is>
          <t>ISA</t>
        </is>
      </c>
      <c r="B25" s="200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11495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11600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14805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17000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8695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121600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14160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7002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12540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179000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8355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11440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11135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221000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221000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10" t="n">
        <v>22405</v>
      </c>
      <c r="H40" s="223" t="n"/>
      <c r="I40" s="218" t="n">
        <v>18400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309.2200012207031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65.5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35.91999816894531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336.9100036621094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20350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192300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10" t="n"/>
      <c r="H47" s="223" t="n">
        <v>90.4195</v>
      </c>
      <c r="I47" s="220" t="n"/>
      <c r="J47" s="92" t="n">
        <v>82.48000335693359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164200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7" t="n"/>
      <c r="D49" s="106" t="inlineStr">
        <is>
          <t>현금</t>
        </is>
      </c>
      <c r="E49" s="204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730</v>
      </c>
      <c r="G50" s="210" t="n">
        <v>8610</v>
      </c>
      <c r="H50" s="223" t="n"/>
      <c r="I50" s="218" t="n">
        <v>7705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0" t="n"/>
      <c r="Q50" s="200" t="n"/>
      <c r="R50" s="200" t="n"/>
    </row>
    <row r="51" ht="12.75" customHeight="1" s="201">
      <c r="A51" s="72" t="inlineStr">
        <is>
          <t>일반계좌</t>
        </is>
      </c>
      <c r="B51" s="200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69500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0" t="n"/>
      <c r="Q52" s="200" t="n"/>
      <c r="R52" s="200" t="n"/>
    </row>
    <row r="53">
      <c r="A53" s="72" t="inlineStr">
        <is>
          <t>일반계좌</t>
        </is>
      </c>
      <c r="B53" s="200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1931242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113.5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166.7400054931641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196.5099945068359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33.43000030517578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389.1000061035156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177.2100067138672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49.66999816894531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131.5299987792969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66.94000244140625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8.819999694824219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0" t="n"/>
      <c r="Q63" s="200" t="n"/>
      <c r="R63" s="200" t="n"/>
    </row>
    <row r="64" ht="12.75" customHeight="1" s="201">
      <c r="A64" s="72" t="inlineStr">
        <is>
          <t>일반계좌</t>
        </is>
      </c>
      <c r="B64" s="200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42.13999938964844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399.0899963378906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167.4900054931641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175.9799957275391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119.9000015258789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7.369999885559082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103.6500015258789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8.539999961853027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13660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41.81000137329102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0" t="n"/>
      <c r="Q75" s="200" t="n"/>
      <c r="R75" s="200" t="n"/>
    </row>
    <row r="76" ht="12.75" customHeight="1" s="201">
      <c r="A76" s="200" t="inlineStr">
        <is>
          <t>CMA</t>
        </is>
      </c>
      <c r="B76" s="200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88866273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0" t="n"/>
      <c r="Q76" s="200" t="n"/>
      <c r="R76" s="200" t="n"/>
    </row>
    <row r="77" ht="12.75" customHeight="1" s="201">
      <c r="A77" s="200" t="inlineStr">
        <is>
          <t>IRP</t>
        </is>
      </c>
      <c r="B77" s="200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15595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179782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30305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22380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0" t="n"/>
      <c r="Q80" s="200" t="n"/>
      <c r="R80" s="200" t="n"/>
    </row>
    <row r="81">
      <c r="A81" s="72" t="inlineStr">
        <is>
          <t>은행예금</t>
        </is>
      </c>
      <c r="B81" s="200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0" t="n"/>
      <c r="Q81" s="200" t="n"/>
      <c r="R81" s="200" t="n"/>
    </row>
    <row r="82" ht="12.75" customHeight="1" s="201">
      <c r="A82" s="116" t="inlineStr">
        <is>
          <t>TOSS</t>
        </is>
      </c>
      <c r="B82" s="200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190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154.7700042724609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111.7399978637695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0" t="n"/>
      <c r="Q84" s="200" t="n"/>
      <c r="R84" s="200" t="n"/>
    </row>
    <row r="85" ht="12.75" customHeight="1" s="201">
      <c r="A85" s="200" t="n"/>
      <c r="B85" s="200" t="n"/>
      <c r="C85" s="117" t="n"/>
      <c r="D85" s="117" t="n"/>
      <c r="E85" s="118" t="n"/>
      <c r="F85" s="117" t="n"/>
      <c r="G85" s="117" t="n"/>
      <c r="H85" s="117" t="n"/>
      <c r="I85" s="200" t="n"/>
      <c r="L85" s="200" t="n"/>
      <c r="M85" s="200" t="n"/>
      <c r="N85" s="200" t="n"/>
      <c r="O85" s="127" t="n"/>
      <c r="P85" s="200" t="n"/>
      <c r="Q85" s="200" t="n"/>
      <c r="R85" s="200" t="n"/>
    </row>
    <row r="86" ht="12.75" customHeight="1" s="201">
      <c r="A86" s="200" t="n"/>
      <c r="B86" s="200" t="n"/>
      <c r="C86" s="200" t="n"/>
      <c r="D86" s="200" t="n"/>
      <c r="E86" s="13" t="n"/>
      <c r="F86" s="200" t="n"/>
      <c r="G86" s="200" t="n"/>
      <c r="H86" s="200" t="n"/>
      <c r="I86" s="200" t="n"/>
      <c r="L86" s="200" t="n"/>
      <c r="M86" s="200" t="n"/>
      <c r="N86" s="200" t="n"/>
      <c r="O86" s="200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200" t="n"/>
      <c r="F92" s="200" t="n"/>
      <c r="G92" s="200" t="n"/>
      <c r="H92" s="200" t="n"/>
      <c r="I92" s="200" t="n"/>
      <c r="J92" s="200" t="n"/>
      <c r="K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201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2">
        <f>IFERROR(INDEX('계좌현황'!F:F,INDEX($L$20:$L$95,MATCH(LARGE($N$20:$N$95,8),$N$20:$N$95,0))),"")</f>
        <v/>
      </c>
      <c r="G27" s="313">
        <f>IFERROR(INDEX('계좌현황'!K:K,INDEX($L$20:$L$95,MATCH(LARGE($N$20:$N$95,8),$N$20:$N$95,0))),0)</f>
        <v/>
      </c>
      <c r="H27" s="314">
        <f>IF($B$3=0,0,G27/$B$3)</f>
        <v/>
      </c>
      <c r="I27" s="314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2">
        <f>IFERROR(INDEX('계좌현황'!F:F,INDEX($L$20:$L$95,MATCH(LARGE($N$20:$N$95,11),$N$20:$N$95,0))),"")</f>
        <v/>
      </c>
      <c r="G30" s="313">
        <f>IFERROR(INDEX('계좌현황'!K:K,INDEX($L$20:$L$95,MATCH(LARGE($N$20:$N$95,11),$N$20:$N$95,0))),0)</f>
        <v/>
      </c>
      <c r="H30" s="314">
        <f>IF($B$3=0,0,G30/$B$3)</f>
        <v/>
      </c>
      <c r="I30" s="314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4" t="n">
        <v>16</v>
      </c>
      <c r="B35" s="294">
        <f>IFERROR(INDEX('계좌현황'!A:A,INDEX($L$20:$L$95,MATCH(LARGE($N$20:$N$95,16),$N$20:$N$95,0))),"")</f>
        <v/>
      </c>
      <c r="C35" s="294">
        <f>IFERROR(INDEX('계좌현황'!C:C,INDEX($L$20:$L$95,MATCH(LARGE($N$20:$N$95,16),$N$20:$N$95,0))),"")</f>
        <v/>
      </c>
      <c r="D35" s="294">
        <f>IFERROR(INDEX('계좌현황'!D:D,INDEX($L$20:$L$95,MATCH(LARGE($N$20:$N$95,16),$N$20:$N$95,0))),"")</f>
        <v/>
      </c>
      <c r="E35" s="294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88" t="n">
        <v>17</v>
      </c>
      <c r="B36" s="288">
        <f>IFERROR(INDEX('계좌현황'!A:A,INDEX($L$20:$L$95,MATCH(LARGE($N$20:$N$95,17),$N$20:$N$95,0))),"")</f>
        <v/>
      </c>
      <c r="C36" s="288">
        <f>IFERROR(INDEX('계좌현황'!C:C,INDEX($L$20:$L$95,MATCH(LARGE($N$20:$N$95,17),$N$20:$N$95,0))),"")</f>
        <v/>
      </c>
      <c r="D36" s="288">
        <f>IFERROR(INDEX('계좌현황'!D:D,INDEX($L$20:$L$95,MATCH(LARGE($N$20:$N$95,17),$N$20:$N$95,0))),"")</f>
        <v/>
      </c>
      <c r="E36" s="288">
        <f>IFERROR(INDEX('계좌현황'!E:E,INDEX($L$20:$L$95,MATCH(LARGE($N$20:$N$95,17),$N$20:$N$95,0))),"")</f>
        <v/>
      </c>
      <c r="F36" s="315">
        <f>IFERROR(INDEX('계좌현황'!F:F,INDEX($L$20:$L$95,MATCH(LARGE($N$20:$N$95,17),$N$20:$N$95,0))),"")</f>
        <v/>
      </c>
      <c r="G36" s="316">
        <f>IFERROR(INDEX('계좌현황'!K:K,INDEX($L$20:$L$95,MATCH(LARGE($N$20:$N$95,17),$N$20:$N$95,0))),0)</f>
        <v/>
      </c>
      <c r="H36" s="317">
        <f>IF($B$3=0,0,G36/$B$3)</f>
        <v/>
      </c>
      <c r="I36" s="317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2" t="n">
        <v>18</v>
      </c>
      <c r="B37" s="282">
        <f>IFERROR(INDEX('계좌현황'!A:A,INDEX($L$20:$L$95,MATCH(LARGE($N$20:$N$95,18),$N$20:$N$95,0))),"")</f>
        <v/>
      </c>
      <c r="C37" s="282">
        <f>IFERROR(INDEX('계좌현황'!C:C,INDEX($L$20:$L$95,MATCH(LARGE($N$20:$N$95,18),$N$20:$N$95,0))),"")</f>
        <v/>
      </c>
      <c r="D37" s="282">
        <f>IFERROR(INDEX('계좌현황'!D:D,INDEX($L$20:$L$95,MATCH(LARGE($N$20:$N$95,18),$N$20:$N$95,0))),"")</f>
        <v/>
      </c>
      <c r="E37" s="282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4" t="n">
        <v>19</v>
      </c>
      <c r="B38" s="294">
        <f>IFERROR(INDEX('계좌현황'!A:A,INDEX($L$20:$L$95,MATCH(LARGE($N$20:$N$95,19),$N$20:$N$95,0))),"")</f>
        <v/>
      </c>
      <c r="C38" s="294">
        <f>IFERROR(INDEX('계좌현황'!C:C,INDEX($L$20:$L$95,MATCH(LARGE($N$20:$N$95,19),$N$20:$N$95,0))),"")</f>
        <v/>
      </c>
      <c r="D38" s="294">
        <f>IFERROR(INDEX('계좌현황'!D:D,INDEX($L$20:$L$95,MATCH(LARGE($N$20:$N$95,19),$N$20:$N$95,0))),"")</f>
        <v/>
      </c>
      <c r="E38" s="294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18">
        <f>IFERROR(INDEX('계좌현황'!F:F,INDEX($L$20:$L$95,MATCH(LARGE($N$20:$N$95,20),$N$20:$N$95,0))),"")</f>
        <v/>
      </c>
      <c r="G39" s="319">
        <f>IFERROR(INDEX('계좌현황'!K:K,INDEX($L$20:$L$95,MATCH(LARGE($N$20:$N$95,20),$N$20:$N$95,0))),0)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8" t="n">
        <v>21</v>
      </c>
      <c r="B40" s="288">
        <f>IFERROR(INDEX('계좌현황'!A:A,INDEX($L$20:$L$95,MATCH(LARGE($N$20:$N$95,21),$N$20:$N$95,0))),"")</f>
        <v/>
      </c>
      <c r="C40" s="288">
        <f>IFERROR(INDEX('계좌현황'!C:C,INDEX($L$20:$L$95,MATCH(LARGE($N$20:$N$95,21),$N$20:$N$95,0))),"")</f>
        <v/>
      </c>
      <c r="D40" s="288">
        <f>IFERROR(INDEX('계좌현황'!D:D,INDEX($L$20:$L$95,MATCH(LARGE($N$20:$N$95,21),$N$20:$N$95,0))),"")</f>
        <v/>
      </c>
      <c r="E40" s="288">
        <f>IFERROR(INDEX('계좌현황'!E:E,INDEX($L$20:$L$95,MATCH(LARGE($N$20:$N$95,21),$N$20:$N$95,0))),"")</f>
        <v/>
      </c>
      <c r="F40" s="315">
        <f>IFERROR(INDEX('계좌현황'!F:F,INDEX($L$20:$L$95,MATCH(LARGE($N$20:$N$95,21),$N$20:$N$95,0))),"")</f>
        <v/>
      </c>
      <c r="G40" s="316">
        <f>IFERROR(INDEX('계좌현황'!K:K,INDEX($L$20:$L$95,MATCH(LARGE($N$20:$N$95,21),$N$20:$N$95,0))),0)</f>
        <v/>
      </c>
      <c r="H40" s="317">
        <f>IF($B$3=0,0,G40/$B$3)</f>
        <v/>
      </c>
      <c r="I40" s="317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5">
        <f>IFERROR(INDEX('계좌현황'!F:F,INDEX($L$20:$L$95,MATCH(LARGE($N$20:$N$95,22),$N$20:$N$95,0))),"")</f>
        <v/>
      </c>
      <c r="G41" s="316">
        <f>IFERROR(INDEX('계좌현황'!K:K,INDEX($L$20:$L$95,MATCH(LARGE($N$20:$N$95,22),$N$20:$N$95,0))),0)</f>
        <v/>
      </c>
      <c r="H41" s="317">
        <f>IF($B$3=0,0,G41/$B$3)</f>
        <v/>
      </c>
      <c r="I41" s="317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76" t="n">
        <v>23</v>
      </c>
      <c r="B42" s="276">
        <f>IFERROR(INDEX('계좌현황'!A:A,INDEX($L$20:$L$95,MATCH(LARGE($N$20:$N$95,23),$N$20:$N$95,0))),"")</f>
        <v/>
      </c>
      <c r="C42" s="276">
        <f>IFERROR(INDEX('계좌현황'!C:C,INDEX($L$20:$L$95,MATCH(LARGE($N$20:$N$95,23),$N$20:$N$95,0))),"")</f>
        <v/>
      </c>
      <c r="D42" s="276">
        <f>IFERROR(INDEX('계좌현황'!D:D,INDEX($L$20:$L$95,MATCH(LARGE($N$20:$N$95,23),$N$20:$N$95,0))),"")</f>
        <v/>
      </c>
      <c r="E42" s="276">
        <f>IFERROR(INDEX('계좌현황'!E:E,INDEX($L$20:$L$95,MATCH(LARGE($N$20:$N$95,23),$N$20:$N$95,0))),"")</f>
        <v/>
      </c>
      <c r="F42" s="306">
        <f>IFERROR(INDEX('계좌현황'!F:F,INDEX($L$20:$L$95,MATCH(LARGE($N$20:$N$95,23),$N$20:$N$95,0))),"")</f>
        <v/>
      </c>
      <c r="G42" s="307">
        <f>IFERROR(INDEX('계좌현황'!K:K,INDEX($L$20:$L$95,MATCH(LARGE($N$20:$N$95,23),$N$20:$N$95,0))),0)</f>
        <v/>
      </c>
      <c r="H42" s="308">
        <f>IF($B$3=0,0,G42/$B$3)</f>
        <v/>
      </c>
      <c r="I42" s="308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4" t="n">
        <v>24</v>
      </c>
      <c r="B43" s="294">
        <f>IFERROR(INDEX('계좌현황'!A:A,INDEX($L$20:$L$95,MATCH(LARGE($N$20:$N$95,24),$N$20:$N$95,0))),"")</f>
        <v/>
      </c>
      <c r="C43" s="294">
        <f>IFERROR(INDEX('계좌현황'!C:C,INDEX($L$20:$L$95,MATCH(LARGE($N$20:$N$95,24),$N$20:$N$95,0))),"")</f>
        <v/>
      </c>
      <c r="D43" s="294">
        <f>IFERROR(INDEX('계좌현황'!D:D,INDEX($L$20:$L$95,MATCH(LARGE($N$20:$N$95,24),$N$20:$N$95,0))),"")</f>
        <v/>
      </c>
      <c r="E43" s="294">
        <f>IFERROR(INDEX('계좌현황'!E:E,INDEX($L$20:$L$95,MATCH(LARGE($N$20:$N$95,24),$N$20:$N$95,0))),"")</f>
        <v/>
      </c>
      <c r="F43" s="318">
        <f>IFERROR(INDEX('계좌현황'!F:F,INDEX($L$20:$L$95,MATCH(LARGE($N$20:$N$95,24),$N$20:$N$95,0))),"")</f>
        <v/>
      </c>
      <c r="G43" s="319">
        <f>IFERROR(INDEX('계좌현황'!K:K,INDEX($L$20:$L$95,MATCH(LARGE($N$20:$N$95,24),$N$20:$N$95,0))),0)</f>
        <v/>
      </c>
      <c r="H43" s="320">
        <f>IF($B$3=0,0,G43/$B$3)</f>
        <v/>
      </c>
      <c r="I43" s="320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2">
        <f>IFERROR(INDEX('계좌현황'!F:F,INDEX($L$20:$L$95,MATCH(LARGE($N$20:$N$95,25),$N$20:$N$95,0))),"")</f>
        <v/>
      </c>
      <c r="G44" s="313">
        <f>IFERROR(INDEX('계좌현황'!K:K,INDEX($L$20:$L$95,MATCH(LARGE($N$20:$N$95,25),$N$20:$N$95,0))),0)</f>
        <v/>
      </c>
      <c r="H44" s="314">
        <f>IF($B$3=0,0,G44/$B$3)</f>
        <v/>
      </c>
      <c r="I44" s="314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IFERROR(INDEX('계좌현황'!A:A,INDEX($L$20:$L$95,MATCH(LARGE($N$20:$N$95,26),$N$20:$N$95,0))),"")</f>
        <v/>
      </c>
      <c r="C45" s="285">
        <f>IFERROR(INDEX('계좌현황'!C:C,INDEX($L$20:$L$95,MATCH(LARGE($N$20:$N$95,26),$N$20:$N$95,0))),"")</f>
        <v/>
      </c>
      <c r="D45" s="285">
        <f>IFERROR(INDEX('계좌현황'!D:D,INDEX($L$20:$L$95,MATCH(LARGE($N$20:$N$95,26),$N$20:$N$95,0))),"")</f>
        <v/>
      </c>
      <c r="E45" s="285">
        <f>IFERROR(INDEX('계좌현황'!E:E,INDEX($L$20:$L$95,MATCH(LARGE($N$20:$N$95,26),$N$20:$N$95,0))),"")</f>
        <v/>
      </c>
      <c r="F45" s="312">
        <f>IFERROR(INDEX('계좌현황'!F:F,INDEX($L$20:$L$95,MATCH(LARGE($N$20:$N$95,26),$N$20:$N$95,0))),"")</f>
        <v/>
      </c>
      <c r="G45" s="313">
        <f>IFERROR(INDEX('계좌현황'!K:K,INDEX($L$20:$L$95,MATCH(LARGE($N$20:$N$95,26),$N$20:$N$95,0))),0)</f>
        <v/>
      </c>
      <c r="H45" s="314">
        <f>IF($B$3=0,0,G45/$B$3)</f>
        <v/>
      </c>
      <c r="I45" s="314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2" t="n">
        <v>28</v>
      </c>
      <c r="B47" s="282">
        <f>IFERROR(INDEX('계좌현황'!A:A,INDEX($L$20:$L$95,MATCH(LARGE($N$20:$N$95,28),$N$20:$N$95,0))),"")</f>
        <v/>
      </c>
      <c r="C47" s="282">
        <f>IFERROR(INDEX('계좌현황'!C:C,INDEX($L$20:$L$95,MATCH(LARGE($N$20:$N$95,28),$N$20:$N$95,0))),"")</f>
        <v/>
      </c>
      <c r="D47" s="282">
        <f>IFERROR(INDEX('계좌현황'!D:D,INDEX($L$20:$L$95,MATCH(LARGE($N$20:$N$95,28),$N$20:$N$95,0))),"")</f>
        <v/>
      </c>
      <c r="E47" s="282">
        <f>IFERROR(INDEX('계좌현황'!E:E,INDEX($L$20:$L$95,MATCH(LARGE($N$20:$N$95,28),$N$20:$N$95,0))),"")</f>
        <v/>
      </c>
      <c r="F47" s="321">
        <f>IFERROR(INDEX('계좌현황'!F:F,INDEX($L$20:$L$95,MATCH(LARGE($N$20:$N$95,28),$N$20:$N$95,0))),"")</f>
        <v/>
      </c>
      <c r="G47" s="322">
        <f>IFERROR(INDEX('계좌현황'!K:K,INDEX($L$20:$L$95,MATCH(LARGE($N$20:$N$95,28),$N$20:$N$95,0))),0)</f>
        <v/>
      </c>
      <c r="H47" s="323">
        <f>IF($B$3=0,0,G47/$B$3)</f>
        <v/>
      </c>
      <c r="I47" s="323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79" t="n">
        <v>30</v>
      </c>
      <c r="B49" s="279">
        <f>IFERROR(INDEX('계좌현황'!A:A,INDEX($L$20:$L$95,MATCH(LARGE($N$20:$N$95,30),$N$20:$N$95,0))),"")</f>
        <v/>
      </c>
      <c r="C49" s="279">
        <f>IFERROR(INDEX('계좌현황'!C:C,INDEX($L$20:$L$95,MATCH(LARGE($N$20:$N$95,30),$N$20:$N$95,0))),"")</f>
        <v/>
      </c>
      <c r="D49" s="279">
        <f>IFERROR(INDEX('계좌현황'!D:D,INDEX($L$20:$L$95,MATCH(LARGE($N$20:$N$95,30),$N$20:$N$95,0))),"")</f>
        <v/>
      </c>
      <c r="E49" s="279">
        <f>IFERROR(INDEX('계좌현황'!E:E,INDEX($L$20:$L$95,MATCH(LARGE($N$20:$N$95,30),$N$20:$N$95,0))),"")</f>
        <v/>
      </c>
      <c r="F49" s="309">
        <f>IFERROR(INDEX('계좌현황'!F:F,INDEX($L$20:$L$95,MATCH(LARGE($N$20:$N$95,30),$N$20:$N$95,0))),"")</f>
        <v/>
      </c>
      <c r="G49" s="310">
        <f>IFERROR(INDEX('계좌현황'!K:K,INDEX($L$20:$L$95,MATCH(LARGE($N$20:$N$95,30),$N$20:$N$95,0))),0)</f>
        <v/>
      </c>
      <c r="H49" s="311">
        <f>IF($B$3=0,0,G49/$B$3)</f>
        <v/>
      </c>
      <c r="I49" s="311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5">
        <f>IFERROR(INDEX('계좌현황'!F:F,INDEX($L$20:$L$95,MATCH(LARGE($N$20:$N$95,31),$N$20:$N$95,0))),"")</f>
        <v/>
      </c>
      <c r="G50" s="316">
        <f>IFERROR(INDEX('계좌현황'!K:K,INDEX($L$20:$L$95,MATCH(LARGE($N$20:$N$95,31),$N$20:$N$95,0))),0)</f>
        <v/>
      </c>
      <c r="H50" s="317">
        <f>IF($B$3=0,0,G50/$B$3)</f>
        <v/>
      </c>
      <c r="I50" s="317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IFERROR(INDEX('계좌현황'!A:A,INDEX($L$20:$L$95,MATCH(LARGE($N$20:$N$95,32),$N$20:$N$95,0))),"")</f>
        <v/>
      </c>
      <c r="C51" s="288">
        <f>IFERROR(INDEX('계좌현황'!C:C,INDEX($L$20:$L$95,MATCH(LARGE($N$20:$N$95,32),$N$20:$N$95,0))),"")</f>
        <v/>
      </c>
      <c r="D51" s="288">
        <f>IFERROR(INDEX('계좌현황'!D:D,INDEX($L$20:$L$95,MATCH(LARGE($N$20:$N$95,32),$N$20:$N$95,0))),"")</f>
        <v/>
      </c>
      <c r="E51" s="288">
        <f>IFERROR(INDEX('계좌현황'!E:E,INDEX($L$20:$L$95,MATCH(LARGE($N$20:$N$95,32),$N$20:$N$95,0))),"")</f>
        <v/>
      </c>
      <c r="F51" s="315">
        <f>IFERROR(INDEX('계좌현황'!F:F,INDEX($L$20:$L$95,MATCH(LARGE($N$20:$N$95,32),$N$20:$N$95,0))),"")</f>
        <v/>
      </c>
      <c r="G51" s="316">
        <f>IFERROR(INDEX('계좌현황'!K:K,INDEX($L$20:$L$95,MATCH(LARGE($N$20:$N$95,32),$N$20:$N$95,0))),0)</f>
        <v/>
      </c>
      <c r="H51" s="317">
        <f>IF($B$3=0,0,G51/$B$3)</f>
        <v/>
      </c>
      <c r="I51" s="317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2">
        <f>IFERROR(INDEX('계좌현황'!F:F,INDEX($L$20:$L$95,MATCH(LARGE($N$20:$N$95,34),$N$20:$N$95,0))),"")</f>
        <v/>
      </c>
      <c r="G53" s="313">
        <f>IFERROR(INDEX('계좌현황'!K:K,INDEX($L$20:$L$95,MATCH(LARGE($N$20:$N$95,34),$N$20:$N$95,0))),0)</f>
        <v/>
      </c>
      <c r="H53" s="314">
        <f>IF($B$3=0,0,G53/$B$3)</f>
        <v/>
      </c>
      <c r="I53" s="314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2">
        <f>IFERROR(INDEX('계좌현황'!F:F,INDEX($L$20:$L$95,MATCH(LARGE($N$20:$N$95,35),$N$20:$N$95,0))),"")</f>
        <v/>
      </c>
      <c r="G54" s="313">
        <f>IFERROR(INDEX('계좌현황'!K:K,INDEX($L$20:$L$95,MATCH(LARGE($N$20:$N$95,35),$N$20:$N$95,0))),0)</f>
        <v/>
      </c>
      <c r="H54" s="314">
        <f>IF($B$3=0,0,G54/$B$3)</f>
        <v/>
      </c>
      <c r="I54" s="314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5">
        <f>IFERROR(INDEX('계좌현황'!F:F,INDEX($L$20:$L$95,MATCH(LARGE($N$20:$N$95,36),$N$20:$N$95,0))),"")</f>
        <v/>
      </c>
      <c r="G55" s="316">
        <f>IFERROR(INDEX('계좌현황'!K:K,INDEX($L$20:$L$95,MATCH(LARGE($N$20:$N$95,36),$N$20:$N$95,0))),0)</f>
        <v/>
      </c>
      <c r="H55" s="317">
        <f>IF($B$3=0,0,G55/$B$3)</f>
        <v/>
      </c>
      <c r="I55" s="317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5">
        <f>IFERROR(INDEX('계좌현황'!F:F,INDEX($L$20:$L$95,MATCH(LARGE($N$20:$N$95,37),$N$20:$N$95,0))),"")</f>
        <v/>
      </c>
      <c r="G56" s="316">
        <f>IFERROR(INDEX('계좌현황'!K:K,INDEX($L$20:$L$95,MATCH(LARGE($N$20:$N$95,37),$N$20:$N$95,0))),0)</f>
        <v/>
      </c>
      <c r="H56" s="317">
        <f>IF($B$3=0,0,G56/$B$3)</f>
        <v/>
      </c>
      <c r="I56" s="317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5">
        <f>IFERROR(INDEX('계좌현황'!F:F,INDEX($L$20:$L$95,MATCH(LARGE($N$20:$N$95,38),$N$20:$N$95,0))),"")</f>
        <v/>
      </c>
      <c r="G57" s="316">
        <f>IFERROR(INDEX('계좌현황'!K:K,INDEX($L$20:$L$95,MATCH(LARGE($N$20:$N$95,38),$N$20:$N$95,0))),0)</f>
        <v/>
      </c>
      <c r="H57" s="317">
        <f>IF($B$3=0,0,G57/$B$3)</f>
        <v/>
      </c>
      <c r="I57" s="317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2">
        <f>IFERROR(INDEX('계좌현황'!F:F,INDEX($L$20:$L$95,MATCH(LARGE($N$20:$N$95,39),$N$20:$N$95,0))),"")</f>
        <v/>
      </c>
      <c r="G58" s="313">
        <f>IFERROR(INDEX('계좌현황'!K:K,INDEX($L$20:$L$95,MATCH(LARGE($N$20:$N$95,39),$N$20:$N$95,0))),0)</f>
        <v/>
      </c>
      <c r="H58" s="314">
        <f>IF($B$3=0,0,G58/$B$3)</f>
        <v/>
      </c>
      <c r="I58" s="314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2">
        <f>IFERROR(INDEX('계좌현황'!F:F,INDEX($L$20:$L$95,MATCH(LARGE($N$20:$N$95,40),$N$20:$N$95,0))),"")</f>
        <v/>
      </c>
      <c r="G59" s="313">
        <f>IFERROR(INDEX('계좌현황'!K:K,INDEX($L$20:$L$95,MATCH(LARGE($N$20:$N$95,40),$N$20:$N$95,0))),0)</f>
        <v/>
      </c>
      <c r="H59" s="314">
        <f>IF($B$3=0,0,G59/$B$3)</f>
        <v/>
      </c>
      <c r="I59" s="314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2">
        <f>IFERROR(INDEX('계좌현황'!F:F,INDEX($L$20:$L$95,MATCH(LARGE($N$20:$N$95,41),$N$20:$N$95,0))),"")</f>
        <v/>
      </c>
      <c r="G60" s="313">
        <f>IFERROR(INDEX('계좌현황'!K:K,INDEX($L$20:$L$95,MATCH(LARGE($N$20:$N$95,41),$N$20:$N$95,0))),0)</f>
        <v/>
      </c>
      <c r="H60" s="314">
        <f>IF($B$3=0,0,G60/$B$3)</f>
        <v/>
      </c>
      <c r="I60" s="314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5">
        <f>IFERROR(INDEX('계좌현황'!F:F,INDEX($L$20:$L$95,MATCH(LARGE($N$20:$N$95,42),$N$20:$N$95,0))),"")</f>
        <v/>
      </c>
      <c r="G61" s="316">
        <f>IFERROR(INDEX('계좌현황'!K:K,INDEX($L$20:$L$95,MATCH(LARGE($N$20:$N$95,42),$N$20:$N$95,0))),0)</f>
        <v/>
      </c>
      <c r="H61" s="317">
        <f>IF($B$3=0,0,G61/$B$3)</f>
        <v/>
      </c>
      <c r="I61" s="317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2">
        <f>IFERROR(INDEX('계좌현황'!F:F,INDEX($L$20:$L$95,MATCH(LARGE($N$20:$N$95,44),$N$20:$N$95,0))),"")</f>
        <v/>
      </c>
      <c r="G63" s="313">
        <f>IFERROR(INDEX('계좌현황'!K:K,INDEX($L$20:$L$95,MATCH(LARGE($N$20:$N$95,44),$N$20:$N$95,0))),0)</f>
        <v/>
      </c>
      <c r="H63" s="314">
        <f>IF($B$3=0,0,G63/$B$3)</f>
        <v/>
      </c>
      <c r="I63" s="314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5">
        <f>IFERROR(INDEX('계좌현황'!F:F,INDEX($L$20:$L$95,MATCH(LARGE($N$20:$N$95,45),$N$20:$N$95,0))),"")</f>
        <v/>
      </c>
      <c r="G64" s="316">
        <f>IFERROR(INDEX('계좌현황'!K:K,INDEX($L$20:$L$95,MATCH(LARGE($N$20:$N$95,45),$N$20:$N$95,0))),0)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5">
        <f>IFERROR(INDEX('계좌현황'!F:F,INDEX($L$20:$L$95,MATCH(LARGE($N$20:$N$95,46),$N$20:$N$95,0))),"")</f>
        <v/>
      </c>
      <c r="G65" s="316">
        <f>IFERROR(INDEX('계좌현황'!K:K,INDEX($L$20:$L$95,MATCH(LARGE($N$20:$N$95,46),$N$20:$N$95,0))),0)</f>
        <v/>
      </c>
      <c r="H65" s="317">
        <f>IF($B$3=0,0,G65/$B$3)</f>
        <v/>
      </c>
      <c r="I65" s="317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5">
        <f>IFERROR(INDEX('계좌현황'!F:F,INDEX($L$20:$L$95,MATCH(LARGE($N$20:$N$95,47),$N$20:$N$95,0))),"")</f>
        <v/>
      </c>
      <c r="G66" s="316">
        <f>IFERROR(INDEX('계좌현황'!K:K,INDEX($L$20:$L$95,MATCH(LARGE($N$20:$N$95,47),$N$20:$N$95,0))),0)</f>
        <v/>
      </c>
      <c r="H66" s="317">
        <f>IF($B$3=0,0,G66/$B$3)</f>
        <v/>
      </c>
      <c r="I66" s="317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5">
        <f>IFERROR(INDEX('계좌현황'!F:F,INDEX($L$20:$L$95,MATCH(LARGE($N$20:$N$95,48),$N$20:$N$95,0))),"")</f>
        <v/>
      </c>
      <c r="G67" s="316">
        <f>IFERROR(INDEX('계좌현황'!K:K,INDEX($L$20:$L$95,MATCH(LARGE($N$20:$N$95,48),$N$20:$N$95,0))),0)</f>
        <v/>
      </c>
      <c r="H67" s="317">
        <f>IF($B$3=0,0,G67/$B$3)</f>
        <v/>
      </c>
      <c r="I67" s="317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5" t="n">
        <v>49</v>
      </c>
      <c r="B68" s="285">
        <f>IFERROR(INDEX('계좌현황'!A:A,INDEX($L$20:$L$95,MATCH(LARGE($N$20:$N$95,49),$N$20:$N$95,0))),"")</f>
        <v/>
      </c>
      <c r="C68" s="285">
        <f>IFERROR(INDEX('계좌현황'!C:C,INDEX($L$20:$L$95,MATCH(LARGE($N$20:$N$95,49),$N$20:$N$95,0))),"")</f>
        <v/>
      </c>
      <c r="D68" s="285">
        <f>IFERROR(INDEX('계좌현황'!D:D,INDEX($L$20:$L$95,MATCH(LARGE($N$20:$N$95,49),$N$20:$N$95,0))),"")</f>
        <v/>
      </c>
      <c r="E68" s="285">
        <f>IFERROR(INDEX('계좌현황'!E:E,INDEX($L$20:$L$95,MATCH(LARGE($N$20:$N$95,49),$N$20:$N$95,0))),"")</f>
        <v/>
      </c>
      <c r="F68" s="312">
        <f>IFERROR(INDEX('계좌현황'!F:F,INDEX($L$20:$L$95,MATCH(LARGE($N$20:$N$95,49),$N$20:$N$95,0))),"")</f>
        <v/>
      </c>
      <c r="G68" s="313">
        <f>IFERROR(INDEX('계좌현황'!K:K,INDEX($L$20:$L$95,MATCH(LARGE($N$20:$N$95,49),$N$20:$N$95,0))),0)</f>
        <v/>
      </c>
      <c r="H68" s="314">
        <f>IF($B$3=0,0,G68/$B$3)</f>
        <v/>
      </c>
      <c r="I68" s="314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2">
        <f>IFERROR(INDEX('계좌현황'!F:F,INDEX($L$20:$L$95,MATCH(LARGE($N$20:$N$95,51),$N$20:$N$95,0))),"")</f>
        <v/>
      </c>
      <c r="G70" s="313">
        <f>IFERROR(INDEX('계좌현황'!K:K,INDEX($L$20:$L$95,MATCH(LARGE($N$20:$N$95,51),$N$20:$N$95,0))),0)</f>
        <v/>
      </c>
      <c r="H70" s="314">
        <f>IF($B$3=0,0,G70/$B$3)</f>
        <v/>
      </c>
      <c r="I70" s="314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5">
        <f>IFERROR(INDEX('계좌현황'!F:F,INDEX($L$20:$L$95,MATCH(LARGE($N$20:$N$95,52),$N$20:$N$95,0))),"")</f>
        <v/>
      </c>
      <c r="G71" s="316">
        <f>IFERROR(INDEX('계좌현황'!K:K,INDEX($L$20:$L$95,MATCH(LARGE($N$20:$N$95,52),$N$20:$N$95,0))),0)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5">
        <f>IFERROR(INDEX('계좌현황'!F:F,INDEX($L$20:$L$95,MATCH(LARGE($N$20:$N$95,53),$N$20:$N$95,0))),"")</f>
        <v/>
      </c>
      <c r="G72" s="316">
        <f>IFERROR(INDEX('계좌현황'!K:K,INDEX($L$20:$L$95,MATCH(LARGE($N$20:$N$95,53),$N$20:$N$95,0))),0)</f>
        <v/>
      </c>
      <c r="H72" s="317">
        <f>IF($B$3=0,0,G72/$B$3)</f>
        <v/>
      </c>
      <c r="I72" s="317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5">
        <f>IFERROR(INDEX('계좌현황'!F:F,INDEX($L$20:$L$95,MATCH(LARGE($N$20:$N$95,54),$N$20:$N$95,0))),"")</f>
        <v/>
      </c>
      <c r="G73" s="316">
        <f>IFERROR(INDEX('계좌현황'!K:K,INDEX($L$20:$L$95,MATCH(LARGE($N$20:$N$95,54),$N$20:$N$95,0))),0)</f>
        <v/>
      </c>
      <c r="H73" s="317">
        <f>IF($B$3=0,0,G73/$B$3)</f>
        <v/>
      </c>
      <c r="I73" s="317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5">
        <f>IFERROR(INDEX('계좌현황'!F:F,INDEX($L$20:$L$95,MATCH(LARGE($N$20:$N$95,55),$N$20:$N$95,0))),"")</f>
        <v/>
      </c>
      <c r="G74" s="316">
        <f>IFERROR(INDEX('계좌현황'!K:K,INDEX($L$20:$L$95,MATCH(LARGE($N$20:$N$95,55),$N$20:$N$95,0))),0)</f>
        <v/>
      </c>
      <c r="H74" s="317">
        <f>IF($B$3=0,0,G74/$B$3)</f>
        <v/>
      </c>
      <c r="I74" s="317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5">
        <f>IFERROR(INDEX('계좌현황'!F:F,INDEX($L$20:$L$95,MATCH(LARGE($N$20:$N$95,56),$N$20:$N$95,0))),"")</f>
        <v/>
      </c>
      <c r="G75" s="316">
        <f>IFERROR(INDEX('계좌현황'!K:K,INDEX($L$20:$L$95,MATCH(LARGE($N$20:$N$95,56),$N$20:$N$95,0))),0)</f>
        <v/>
      </c>
      <c r="H75" s="317">
        <f>IF($B$3=0,0,G75/$B$3)</f>
        <v/>
      </c>
      <c r="I75" s="317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5">
        <f>IFERROR(INDEX('계좌현황'!F:F,INDEX($L$20:$L$95,MATCH(LARGE($N$20:$N$95,57),$N$20:$N$95,0))),"")</f>
        <v/>
      </c>
      <c r="G76" s="316">
        <f>IFERROR(INDEX('계좌현황'!K:K,INDEX($L$20:$L$95,MATCH(LARGE($N$20:$N$95,57),$N$20:$N$95,0))),0)</f>
        <v/>
      </c>
      <c r="H76" s="317">
        <f>IF($B$3=0,0,G76/$B$3)</f>
        <v/>
      </c>
      <c r="I76" s="317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5">
        <f>IFERROR(INDEX('계좌현황'!F:F,INDEX($L$20:$L$95,MATCH(LARGE($N$20:$N$95,58),$N$20:$N$95,0))),"")</f>
        <v/>
      </c>
      <c r="G77" s="316">
        <f>IFERROR(INDEX('계좌현황'!K:K,INDEX($L$20:$L$95,MATCH(LARGE($N$20:$N$95,58),$N$20:$N$95,0))),0)</f>
        <v/>
      </c>
      <c r="H77" s="317">
        <f>IF($B$3=0,0,G77/$B$3)</f>
        <v/>
      </c>
      <c r="I77" s="317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5">
        <f>IFERROR(INDEX('계좌현황'!F:F,INDEX($L$20:$L$95,MATCH(LARGE($N$20:$N$95,59),$N$20:$N$95,0))),"")</f>
        <v/>
      </c>
      <c r="G78" s="316">
        <f>IFERROR(INDEX('계좌현황'!K:K,INDEX($L$20:$L$95,MATCH(LARGE($N$20:$N$95,59),$N$20:$N$95,0))),0)</f>
        <v/>
      </c>
      <c r="H78" s="317">
        <f>IF($B$3=0,0,G78/$B$3)</f>
        <v/>
      </c>
      <c r="I78" s="317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5">
        <f>IFERROR(INDEX('계좌현황'!F:F,INDEX($L$20:$L$95,MATCH(LARGE($N$20:$N$95,60),$N$20:$N$95,0))),"")</f>
        <v/>
      </c>
      <c r="G79" s="316">
        <f>IFERROR(INDEX('계좌현황'!K:K,INDEX($L$20:$L$95,MATCH(LARGE($N$20:$N$95,60),$N$20:$N$95,0))),0)</f>
        <v/>
      </c>
      <c r="H79" s="317">
        <f>IF($B$3=0,0,G79/$B$3)</f>
        <v/>
      </c>
      <c r="I79" s="317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5">
        <f>IFERROR(INDEX('계좌현황'!F:F,INDEX($L$20:$L$95,MATCH(LARGE($N$20:$N$95,61),$N$20:$N$95,0))),"")</f>
        <v/>
      </c>
      <c r="G80" s="316">
        <f>IFERROR(INDEX('계좌현황'!K:K,INDEX($L$20:$L$95,MATCH(LARGE($N$20:$N$95,61),$N$20:$N$95,0))),0)</f>
        <v/>
      </c>
      <c r="H80" s="317">
        <f>IF($B$3=0,0,G80/$B$3)</f>
        <v/>
      </c>
      <c r="I80" s="317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5">
        <f>IFERROR(INDEX('계좌현황'!F:F,INDEX($L$20:$L$95,MATCH(LARGE($N$20:$N$95,62),$N$20:$N$95,0))),"")</f>
        <v/>
      </c>
      <c r="G81" s="316">
        <f>IFERROR(INDEX('계좌현황'!K:K,INDEX($L$20:$L$95,MATCH(LARGE($N$20:$N$95,62),$N$20:$N$95,0))),0)</f>
        <v/>
      </c>
      <c r="H81" s="317">
        <f>IF($B$3=0,0,G81/$B$3)</f>
        <v/>
      </c>
      <c r="I81" s="317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5">
        <f>IFERROR(INDEX('계좌현황'!F:F,INDEX($L$20:$L$95,MATCH(LARGE($N$20:$N$95,63),$N$20:$N$95,0))),"")</f>
        <v/>
      </c>
      <c r="G82" s="316">
        <f>IFERROR(INDEX('계좌현황'!K:K,INDEX($L$20:$L$95,MATCH(LARGE($N$20:$N$95,63),$N$20:$N$95,0))),0)</f>
        <v/>
      </c>
      <c r="H82" s="317">
        <f>IF($B$3=0,0,G82/$B$3)</f>
        <v/>
      </c>
      <c r="I82" s="317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24">
        <f>IFERROR(INDEX('계좌현황'!F:F,INDEX($L$20:$L$95,MATCH(LARGE($N$20:$N$95,64),$N$20:$N$95,0))),"")</f>
        <v/>
      </c>
      <c r="G83" s="325">
        <f>IFERROR(INDEX('계좌현황'!K:K,INDEX($L$20:$L$95,MATCH(LARGE($N$20:$N$95,64),$N$20:$N$95,0))),0)</f>
        <v/>
      </c>
      <c r="H83" s="326">
        <f>IF($B$3=0,0,G83/$B$3)</f>
        <v/>
      </c>
      <c r="I83" s="326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5">
        <f>IFERROR(INDEX('계좌현황'!F:F,INDEX($L$20:$L$95,MATCH(LARGE($N$20:$N$95,65),$N$20:$N$95,0))),"")</f>
        <v/>
      </c>
      <c r="G84" s="316">
        <f>IFERROR(INDEX('계좌현황'!K:K,INDEX($L$20:$L$95,MATCH(LARGE($N$20:$N$95,65),$N$20:$N$95,0))),0)</f>
        <v/>
      </c>
      <c r="H84" s="317">
        <f>IF($B$3=0,0,G84/$B$3)</f>
        <v/>
      </c>
      <c r="I84" s="317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24">
        <f>IFERROR(INDEX('계좌현황'!F:F,INDEX($L$20:$L$95,MATCH(LARGE($N$20:$N$95,66),$N$20:$N$95,0))),"")</f>
        <v/>
      </c>
      <c r="G85" s="325">
        <f>IFERROR(INDEX('계좌현황'!K:K,INDEX($L$20:$L$95,MATCH(LARGE($N$20:$N$95,66),$N$20:$N$95,0))),0)</f>
        <v/>
      </c>
      <c r="H85" s="326">
        <f>IF($B$3=0,0,G85/$B$3)</f>
        <v/>
      </c>
      <c r="I85" s="326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5">
        <f>IFERROR(INDEX('계좌현황'!F:F,INDEX($L$20:$L$95,MATCH(LARGE($N$20:$N$95,67),$N$20:$N$95,0))),"")</f>
        <v/>
      </c>
      <c r="G86" s="316">
        <f>IFERROR(INDEX('계좌현황'!K:K,INDEX($L$20:$L$95,MATCH(LARGE($N$20:$N$95,67),$N$20:$N$95,0))),0)</f>
        <v/>
      </c>
      <c r="H86" s="317">
        <f>IF($B$3=0,0,G86/$B$3)</f>
        <v/>
      </c>
      <c r="I86" s="317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5">
        <f>IFERROR(INDEX('계좌현황'!F:F,INDEX($L$20:$L$95,MATCH(LARGE($N$20:$N$95,68),$N$20:$N$95,0))),"")</f>
        <v/>
      </c>
      <c r="G87" s="316">
        <f>IFERROR(INDEX('계좌현황'!K:K,INDEX($L$20:$L$95,MATCH(LARGE($N$20:$N$95,68),$N$20:$N$95,0))),0)</f>
        <v/>
      </c>
      <c r="H87" s="317">
        <f>IF($B$3=0,0,G87/$B$3)</f>
        <v/>
      </c>
      <c r="I87" s="317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24">
        <f>IFERROR(INDEX('계좌현황'!F:F,INDEX($L$20:$L$95,MATCH(LARGE($N$20:$N$95,69),$N$20:$N$95,0))),"")</f>
        <v/>
      </c>
      <c r="G88" s="325">
        <f>IFERROR(INDEX('계좌현황'!K:K,INDEX($L$20:$L$95,MATCH(LARGE($N$20:$N$95,69),$N$20:$N$95,0))),0)</f>
        <v/>
      </c>
      <c r="H88" s="326">
        <f>IF($B$3=0,0,G88/$B$3)</f>
        <v/>
      </c>
      <c r="I88" s="326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5">
        <f>IFERROR(INDEX('계좌현황'!F:F,INDEX($L$20:$L$95,MATCH(LARGE($N$20:$N$95,70),$N$20:$N$95,0))),"")</f>
        <v/>
      </c>
      <c r="G89" s="316">
        <f>IFERROR(INDEX('계좌현황'!K:K,INDEX($L$20:$L$95,MATCH(LARGE($N$20:$N$95,70),$N$20:$N$95,0))),0)</f>
        <v/>
      </c>
      <c r="H89" s="317">
        <f>IF($B$3=0,0,G89/$B$3)</f>
        <v/>
      </c>
      <c r="I89" s="317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5">
        <f>IFERROR(INDEX('계좌현황'!F:F,INDEX($L$20:$L$95,MATCH(LARGE($N$20:$N$95,71),$N$20:$N$95,0))),"")</f>
        <v/>
      </c>
      <c r="G90" s="316">
        <f>IFERROR(INDEX('계좌현황'!K:K,INDEX($L$20:$L$95,MATCH(LARGE($N$20:$N$95,71),$N$20:$N$95,0))),0)</f>
        <v/>
      </c>
      <c r="H90" s="317">
        <f>IF($B$3=0,0,G90/$B$3)</f>
        <v/>
      </c>
      <c r="I90" s="317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5">
        <f>IFERROR(INDEX('계좌현황'!F:F,INDEX($L$20:$L$95,MATCH(LARGE($N$20:$N$95,72),$N$20:$N$95,0))),"")</f>
        <v/>
      </c>
      <c r="G91" s="316">
        <f>IFERROR(INDEX('계좌현황'!K:K,INDEX($L$20:$L$95,MATCH(LARGE($N$20:$N$95,72),$N$20:$N$95,0))),0)</f>
        <v/>
      </c>
      <c r="H91" s="317">
        <f>IF($B$3=0,0,G91/$B$3)</f>
        <v/>
      </c>
      <c r="I91" s="317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5">
        <f>IFERROR(INDEX('계좌현황'!F:F,INDEX($L$20:$L$95,MATCH(LARGE($N$20:$N$95,73),$N$20:$N$95,0))),"")</f>
        <v/>
      </c>
      <c r="G92" s="316">
        <f>IFERROR(INDEX('계좌현황'!K:K,INDEX($L$20:$L$95,MATCH(LARGE($N$20:$N$95,73),$N$20:$N$95,0))),0)</f>
        <v/>
      </c>
      <c r="H92" s="317">
        <f>IF($B$3=0,0,G92/$B$3)</f>
        <v/>
      </c>
      <c r="I92" s="317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5">
        <f>IFERROR(INDEX('계좌현황'!F:F,INDEX($L$20:$L$95,MATCH(LARGE($N$20:$N$95,74),$N$20:$N$95,0))),"")</f>
        <v/>
      </c>
      <c r="G93" s="316">
        <f>IFERROR(INDEX('계좌현황'!K:K,INDEX($L$20:$L$95,MATCH(LARGE($N$20:$N$95,74),$N$20:$N$95,0))),0)</f>
        <v/>
      </c>
      <c r="H93" s="317">
        <f>IF($B$3=0,0,G93/$B$3)</f>
        <v/>
      </c>
      <c r="I93" s="317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7">
        <f>IFERROR(INDEX('계좌현황'!F:F,INDEX($L$20:$L$95,MATCH(LARGE($N$20:$N$95,75),$N$20:$N$95,0))),"")</f>
        <v/>
      </c>
      <c r="G94" s="328">
        <f>IFERROR(INDEX('계좌현황'!K:K,INDEX($L$20:$L$95,MATCH(LARGE($N$20:$N$95,75),$N$20:$N$95,0))),0)</f>
        <v/>
      </c>
      <c r="H94" s="329">
        <f>IF($B$3=0,0,G94/$B$3)</f>
        <v/>
      </c>
      <c r="I94" s="32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30">
        <f>IFERROR(INDEX('계좌현황'!F:F,INDEX($L$20:$L$95,MATCH(LARGE($N$20:$N$95,76),$N$20:$N$95,0))),"")</f>
        <v/>
      </c>
      <c r="G95" s="331">
        <f>IFERROR(INDEX('계좌현황'!K:K,INDEX($L$20:$L$95,MATCH(LARGE($N$20:$N$95,76),$N$20:$N$95,0))),0)</f>
        <v/>
      </c>
      <c r="H95" s="332">
        <f>IF($B$3=0,0,G95/$B$3)</f>
        <v/>
      </c>
      <c r="I95" s="33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8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201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201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201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201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201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201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201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201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201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201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201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201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201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201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201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201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201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201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201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201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201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201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201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201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201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201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201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201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201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201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201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201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201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201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201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201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201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201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201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201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201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201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201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201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201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201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201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201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201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201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201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201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201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201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201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201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201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201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201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201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201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201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201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201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201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201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201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201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201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201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201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201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201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201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201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201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201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201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201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201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201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201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201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201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201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201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201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201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201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201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201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201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201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201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201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201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201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201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201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201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201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201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201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201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201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201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201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201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201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201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201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201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201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201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201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201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201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201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201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201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201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201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201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201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201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201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201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201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201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201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201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201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201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201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201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201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201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201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201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201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201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201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201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201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201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201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201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201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201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201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201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201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201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201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201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201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201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201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201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201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201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201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201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201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201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201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201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201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201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201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201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201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201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201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201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201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201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201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201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201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201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201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201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201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201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201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201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201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201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201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201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201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201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201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201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201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201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201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201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201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201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201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201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201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201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201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201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201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201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201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201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201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201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201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201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201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201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201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201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201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201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201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201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201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201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201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201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201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201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201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201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201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201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201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201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201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201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201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201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201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201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201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201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201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201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201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201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201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201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201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201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201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201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201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201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201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201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201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201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201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201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201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201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201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201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201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201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201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201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201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201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201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201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201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201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201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201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201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201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201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201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201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201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201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201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201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201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201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201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201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201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201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201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201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201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201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201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201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201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201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201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201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201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201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201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201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201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201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201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201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201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201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201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201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201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201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201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201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201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201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201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201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201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201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201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201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201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201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201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201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201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201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201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201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201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201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201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201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201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201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201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201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201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201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201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201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201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201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201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201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201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201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201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201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201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201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201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201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201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201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201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201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201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201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201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201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201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201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201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201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201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201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201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201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201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201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201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201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201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201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201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201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201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201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201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201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201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201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201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201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201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201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201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201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201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201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201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201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201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201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201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201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201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201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201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201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201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201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201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201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201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201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201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201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201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201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201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201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201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201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201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201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201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201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201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201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201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201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201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201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201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201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201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201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201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201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201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201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201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201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201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201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201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6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1,463원/$  | 연간 합계 50,484,012원 · 월평균 4,207,001원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4054484.53</v>
      </c>
      <c r="C7" s="277" t="n">
        <v>0</v>
      </c>
      <c r="D7" s="277" t="n">
        <v>4054484.53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4182265.799999999</v>
      </c>
      <c r="C8" s="277" t="n">
        <v>0</v>
      </c>
      <c r="D8" s="277" t="n">
        <v>4182265.799999999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4561129.656</v>
      </c>
      <c r="C9" s="280" t="n">
        <v>35408</v>
      </c>
      <c r="D9" s="280" t="n">
        <v>4596537.656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4165437.919</v>
      </c>
      <c r="C10" s="280" t="n">
        <v>5104</v>
      </c>
      <c r="D10" s="280" t="n">
        <v>4170541.919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4241875.009000001</v>
      </c>
      <c r="C11" s="277" t="n">
        <v>0</v>
      </c>
      <c r="D11" s="277" t="n">
        <v>4241875.009000001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4236880.524</v>
      </c>
      <c r="C12" s="280" t="n">
        <v>71528</v>
      </c>
      <c r="D12" s="280" t="n">
        <v>4308408.524</v>
      </c>
      <c r="E12" s="279" t="inlineStr">
        <is>
          <t>혼합</t>
        </is>
      </c>
    </row>
    <row r="13">
      <c r="A13" s="279" t="inlineStr">
        <is>
          <t>7월</t>
        </is>
      </c>
      <c r="B13" s="280" t="n">
        <v>1414854</v>
      </c>
      <c r="C13" s="280" t="n">
        <v>2666170.374</v>
      </c>
      <c r="D13" s="280" t="n">
        <v>4081024.374</v>
      </c>
      <c r="E13" s="279" t="inlineStr">
        <is>
          <t>혼합</t>
        </is>
      </c>
    </row>
    <row r="14">
      <c r="A14" s="285" t="inlineStr">
        <is>
          <t>8월</t>
        </is>
      </c>
      <c r="B14" s="286" t="n">
        <v>0</v>
      </c>
      <c r="C14" s="286" t="n">
        <v>3865764.7715</v>
      </c>
      <c r="D14" s="286" t="n">
        <v>3865764.7715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3991514.456</v>
      </c>
      <c r="D15" s="286" t="n">
        <v>3991514.456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3856231.452</v>
      </c>
      <c r="D16" s="286" t="n">
        <v>3856231.452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4144554.848</v>
      </c>
      <c r="D17" s="286" t="n">
        <v>4144554.848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4990809.0645</v>
      </c>
      <c r="D18" s="286" t="n">
        <v>4990809.0645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6" t="inlineStr">
        <is>
          <t>종목코드</t>
        </is>
      </c>
      <c r="B23" s="336" t="inlineStr">
        <is>
          <t>종목명</t>
        </is>
      </c>
      <c r="C23" s="336" t="inlineStr">
        <is>
          <t>주기</t>
        </is>
      </c>
      <c r="D23" s="336" t="inlineStr">
        <is>
          <t>연예상(원)</t>
        </is>
      </c>
      <c r="E23" s="336" t="inlineStr">
        <is>
          <t>배당률</t>
        </is>
      </c>
      <c r="F23" s="336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16965066</v>
      </c>
      <c r="E24" s="326" t="n">
        <v>0.0953</v>
      </c>
      <c r="F24" s="301" t="n">
        <v>178094800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26" t="n">
        <v>0.1015</v>
      </c>
      <c r="F25" s="301" t="n">
        <v>67510800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4518677</v>
      </c>
      <c r="E26" s="326" t="n">
        <v>0.1639</v>
      </c>
      <c r="F26" s="301" t="n">
        <v>27573200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4006800</v>
      </c>
      <c r="E27" s="326" t="n">
        <v>0.1566</v>
      </c>
      <c r="F27" s="301" t="n">
        <v>25587870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26" t="n">
        <v>0.1109</v>
      </c>
      <c r="F28" s="301" t="n">
        <v>31230000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26" t="n">
        <v>0.1372</v>
      </c>
      <c r="F29" s="301" t="n">
        <v>23041800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1842500</v>
      </c>
      <c r="E30" s="326" t="n">
        <v>0.0907</v>
      </c>
      <c r="F30" s="301" t="n">
        <v>20325000</v>
      </c>
    </row>
    <row r="31">
      <c r="A31" s="300" t="inlineStr">
        <is>
          <t>468380</t>
        </is>
      </c>
      <c r="B31" s="300" t="inlineStr">
        <is>
          <t>KODEX iShares미국하이일드액티브</t>
        </is>
      </c>
      <c r="C31" s="300" t="inlineStr">
        <is>
          <t>월배당</t>
        </is>
      </c>
      <c r="D31" s="301" t="n">
        <v>1513000</v>
      </c>
      <c r="E31" s="326" t="n">
        <v>0.0653</v>
      </c>
      <c r="F31" s="301" t="n">
        <v>23160000</v>
      </c>
    </row>
    <row r="32">
      <c r="A32" s="300" t="inlineStr">
        <is>
          <t>498400</t>
        </is>
      </c>
      <c r="B32" s="300" t="inlineStr">
        <is>
          <t>KODEX 200타켓위클리커버드콜</t>
        </is>
      </c>
      <c r="C32" s="300" t="inlineStr">
        <is>
          <t>월배당</t>
        </is>
      </c>
      <c r="D32" s="301" t="n">
        <v>1405440</v>
      </c>
      <c r="E32" s="326" t="n">
        <v>0.1565</v>
      </c>
      <c r="F32" s="301" t="n">
        <v>8979200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26" t="n">
        <v>0.0294</v>
      </c>
      <c r="F33" s="301" t="n">
        <v>44323600</v>
      </c>
    </row>
    <row r="34">
      <c r="A34" s="300" t="inlineStr">
        <is>
          <t>473330</t>
        </is>
      </c>
      <c r="B34" s="300" t="inlineStr">
        <is>
          <t>SOL 미국 30년국채커버드콜(합성)</t>
        </is>
      </c>
      <c r="C34" s="300" t="inlineStr">
        <is>
          <t>월배당</t>
        </is>
      </c>
      <c r="D34" s="301" t="n">
        <v>1063680</v>
      </c>
      <c r="E34" s="326" t="n">
        <v>0.1274</v>
      </c>
      <c r="F34" s="301" t="n">
        <v>8347200</v>
      </c>
    </row>
    <row r="35">
      <c r="A35" s="300" t="inlineStr">
        <is>
          <t>472170</t>
        </is>
      </c>
      <c r="B35" s="300" t="inlineStr">
        <is>
          <t>TIGER 미국테크TOP10채권혼합</t>
        </is>
      </c>
      <c r="C35" s="300" t="inlineStr">
        <is>
          <t>연/반기</t>
        </is>
      </c>
      <c r="D35" s="301" t="n">
        <v>573561</v>
      </c>
      <c r="E35" s="326" t="n">
        <v>0.0211</v>
      </c>
      <c r="F35" s="301" t="n">
        <v>27130815</v>
      </c>
    </row>
    <row r="36">
      <c r="A36" s="300" t="inlineStr">
        <is>
          <t>446720</t>
        </is>
      </c>
      <c r="B36" s="300" t="inlineStr">
        <is>
          <t>SOL 미국배당다우존스</t>
        </is>
      </c>
      <c r="C36" s="300" t="inlineStr">
        <is>
          <t>월배당</t>
        </is>
      </c>
      <c r="D36" s="301" t="n">
        <v>545300</v>
      </c>
      <c r="E36" s="326" t="n">
        <v>0.0288</v>
      </c>
      <c r="F36" s="301" t="n">
        <v>18959150</v>
      </c>
    </row>
    <row r="37">
      <c r="A37" s="300" t="inlineStr">
        <is>
          <t>482730</t>
        </is>
      </c>
      <c r="B37" s="300" t="inlineStr">
        <is>
          <t>미국S&amp;P500타겟데일리커버드콜</t>
        </is>
      </c>
      <c r="C37" s="300" t="inlineStr">
        <is>
          <t>월배당</t>
        </is>
      </c>
      <c r="D37" s="301" t="n">
        <v>497463</v>
      </c>
      <c r="E37" s="326" t="n">
        <v>0.0958</v>
      </c>
      <c r="F37" s="301" t="n">
        <v>5191375</v>
      </c>
    </row>
    <row r="38">
      <c r="A38" s="300" t="inlineStr">
        <is>
          <t>476550</t>
        </is>
      </c>
      <c r="B38" s="300" t="inlineStr">
        <is>
          <t>TIGER 미국30년국채커버드콜액티브(H)</t>
        </is>
      </c>
      <c r="C38" s="300" t="inlineStr">
        <is>
          <t>월배당</t>
        </is>
      </c>
      <c r="D38" s="301" t="n">
        <v>418931</v>
      </c>
      <c r="E38" s="326" t="n">
        <v>0.1388</v>
      </c>
      <c r="F38" s="301" t="n">
        <v>3017862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1463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103944</v>
      </c>
      <c r="F49" s="338" t="n"/>
      <c r="G49" s="277" t="n">
        <v>103944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20935.53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3423.42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119072</v>
      </c>
      <c r="F73" s="338" t="n"/>
      <c r="G73" s="277" t="n">
        <v>119072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1506.89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1814.12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2604.14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2662.66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20935.53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5969.04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5998.299999999999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122976</v>
      </c>
      <c r="F100" s="338" t="n"/>
      <c r="G100" s="277" t="n">
        <v>122976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1398.628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9023.784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27979.875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21013.069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1463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127856</v>
      </c>
      <c r="F128" s="338" t="n"/>
      <c r="G128" s="277" t="n">
        <v>127856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13093.85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22440</v>
      </c>
      <c r="F135" s="338" t="n"/>
      <c r="G135" s="277" t="n">
        <v>22440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21013.069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3555.09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169824</v>
      </c>
      <c r="F155" s="338" t="n"/>
      <c r="G155" s="277" t="n">
        <v>169824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1814.12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1506.89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2604.14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2662.66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21013.069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5969.04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5998.299999999999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1463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1397.165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170800</v>
      </c>
      <c r="F182" s="338" t="n"/>
      <c r="G182" s="277" t="n">
        <v>170800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13093.85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1.708</v>
      </c>
      <c r="G184" s="277" t="n">
        <v>2498.804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8883.335999999999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inlineStr">
        <is>
          <t>005930</t>
        </is>
      </c>
      <c r="D187" s="285" t="inlineStr">
        <is>
          <t>삼성전자</t>
        </is>
      </c>
      <c r="E187" s="286" t="n">
        <v>36036</v>
      </c>
      <c r="F187" s="340" t="n"/>
      <c r="G187" s="286" t="n">
        <v>36036</v>
      </c>
      <c r="H187" s="285" t="inlineStr">
        <is>
          <t>예측</t>
        </is>
      </c>
    </row>
    <row r="188">
      <c r="A188" s="342" t="n">
        <v>46200</v>
      </c>
      <c r="B188" s="285" t="n">
        <v>6</v>
      </c>
      <c r="C188" s="285" t="n">
        <v>105560</v>
      </c>
      <c r="D188" s="285" t="inlineStr">
        <is>
          <t>KB금융</t>
        </is>
      </c>
      <c r="E188" s="286" t="n">
        <v>9492</v>
      </c>
      <c r="F188" s="340" t="n"/>
      <c r="G188" s="286" t="n">
        <v>9492</v>
      </c>
      <c r="H188" s="285" t="inlineStr">
        <is>
          <t>예측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21013.069</v>
      </c>
      <c r="H201" s="276" t="inlineStr">
        <is>
          <t>실적</t>
        </is>
      </c>
    </row>
    <row r="202">
      <c r="A202" s="342" t="n">
        <v>46204</v>
      </c>
      <c r="B202" s="285" t="n">
        <v>7</v>
      </c>
      <c r="C202" s="285" t="inlineStr">
        <is>
          <t>O</t>
        </is>
      </c>
      <c r="D202" s="285" t="inlineStr">
        <is>
          <t>리얼티인컴</t>
        </is>
      </c>
      <c r="E202" s="286" t="n"/>
      <c r="F202" s="340" t="n">
        <v>14.098</v>
      </c>
      <c r="G202" s="286" t="n">
        <v>20625.374</v>
      </c>
      <c r="H202" s="285" t="inlineStr">
        <is>
          <t>예측</t>
        </is>
      </c>
    </row>
    <row r="203">
      <c r="A203" s="341" t="n">
        <v>46213</v>
      </c>
      <c r="B203" s="276" t="n">
        <v>7</v>
      </c>
      <c r="C203" s="276" t="inlineStr">
        <is>
          <t>ORCL</t>
        </is>
      </c>
      <c r="D203" s="276" t="inlineStr">
        <is>
          <t>오라클</t>
        </is>
      </c>
      <c r="E203" s="277" t="n"/>
      <c r="F203" s="338" t="n">
        <v>1</v>
      </c>
      <c r="G203" s="277" t="n">
        <v>1463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0008S0</t>
        </is>
      </c>
      <c r="D204" s="276" t="inlineStr">
        <is>
          <t>TIGER 미국배당다우존스타겟데일리커버드콜</t>
        </is>
      </c>
      <c r="E204" s="277" t="n">
        <v>312000</v>
      </c>
      <c r="F204" s="338" t="n"/>
      <c r="G204" s="277" t="n">
        <v>312000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474220</t>
        </is>
      </c>
      <c r="D205" s="276" t="inlineStr">
        <is>
          <t>TIGER미국테크TOP10커버드콜</t>
        </is>
      </c>
      <c r="E205" s="277" t="n">
        <v>601920</v>
      </c>
      <c r="F205" s="338" t="n"/>
      <c r="G205" s="277" t="n">
        <v>601920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481060</t>
        </is>
      </c>
      <c r="D206" s="276" t="inlineStr">
        <is>
          <t>KODEX 미국30년국채타겟커버드콜(H)</t>
        </is>
      </c>
      <c r="E206" s="277" t="n">
        <v>238680</v>
      </c>
      <c r="F206" s="338" t="n"/>
      <c r="G206" s="277" t="n">
        <v>238680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490490</t>
        </is>
      </c>
      <c r="D207" s="276" t="inlineStr">
        <is>
          <t>SOL미국배당미국채혼합50</t>
        </is>
      </c>
      <c r="E207" s="277" t="n">
        <v>103167</v>
      </c>
      <c r="F207" s="338" t="n"/>
      <c r="G207" s="277" t="n">
        <v>103167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498400</t>
        </is>
      </c>
      <c r="D208" s="276" t="inlineStr">
        <is>
          <t>KODEX 200타켓위클리커버드콜</t>
        </is>
      </c>
      <c r="E208" s="277" t="n">
        <v>157624</v>
      </c>
      <c r="F208" s="338" t="n"/>
      <c r="G208" s="277" t="n">
        <v>157624</v>
      </c>
      <c r="H208" s="276" t="inlineStr">
        <is>
          <t>실적</t>
        </is>
      </c>
    </row>
    <row r="209">
      <c r="A209" s="342" t="n">
        <v>46233</v>
      </c>
      <c r="B209" s="285" t="n">
        <v>7</v>
      </c>
      <c r="C209" s="285" t="inlineStr">
        <is>
          <t>133690</t>
        </is>
      </c>
      <c r="D209" s="285" t="inlineStr">
        <is>
          <t>TIGER 미국나스닥100</t>
        </is>
      </c>
      <c r="E209" s="286" t="n">
        <v>11372</v>
      </c>
      <c r="F209" s="340" t="n"/>
      <c r="G209" s="286" t="n">
        <v>11372</v>
      </c>
      <c r="H209" s="285" t="inlineStr">
        <is>
          <t>예측</t>
        </is>
      </c>
    </row>
    <row r="210">
      <c r="A210" s="342" t="n">
        <v>46233</v>
      </c>
      <c r="B210" s="285" t="n">
        <v>7</v>
      </c>
      <c r="C210" s="285" t="inlineStr">
        <is>
          <t>329200</t>
        </is>
      </c>
      <c r="D210" s="285" t="inlineStr">
        <is>
          <t>TIGER리츠부동산인프라</t>
        </is>
      </c>
      <c r="E210" s="286" t="n">
        <v>112500</v>
      </c>
      <c r="F210" s="340" t="n"/>
      <c r="G210" s="286" t="n">
        <v>112500</v>
      </c>
      <c r="H210" s="285" t="inlineStr">
        <is>
          <t>예측</t>
        </is>
      </c>
    </row>
    <row r="211">
      <c r="A211" s="342" t="n">
        <v>46233</v>
      </c>
      <c r="B211" s="285" t="n">
        <v>7</v>
      </c>
      <c r="C211" s="285" t="inlineStr">
        <is>
          <t>360750</t>
        </is>
      </c>
      <c r="D211" s="285" t="inlineStr">
        <is>
          <t>TIGER미국S&amp;P500</t>
        </is>
      </c>
      <c r="E211" s="286" t="n">
        <v>13250</v>
      </c>
      <c r="F211" s="340" t="n"/>
      <c r="G211" s="286" t="n">
        <v>13250</v>
      </c>
      <c r="H211" s="285" t="inlineStr">
        <is>
          <t>예측</t>
        </is>
      </c>
    </row>
    <row r="212">
      <c r="A212" s="342" t="n">
        <v>46233</v>
      </c>
      <c r="B212" s="285" t="n">
        <v>7</v>
      </c>
      <c r="C212" s="285" t="inlineStr">
        <is>
          <t>367380</t>
        </is>
      </c>
      <c r="D212" s="285" t="inlineStr">
        <is>
          <t>ACE 미국나스닥100</t>
        </is>
      </c>
      <c r="E212" s="286" t="n">
        <v>10985</v>
      </c>
      <c r="F212" s="340" t="n"/>
      <c r="G212" s="286" t="n">
        <v>10985</v>
      </c>
      <c r="H212" s="285" t="inlineStr">
        <is>
          <t>예측</t>
        </is>
      </c>
    </row>
    <row r="213">
      <c r="A213" s="342" t="n">
        <v>46233</v>
      </c>
      <c r="B213" s="285" t="n">
        <v>7</v>
      </c>
      <c r="C213" s="285" t="inlineStr">
        <is>
          <t>379810</t>
        </is>
      </c>
      <c r="D213" s="285" t="inlineStr">
        <is>
          <t>KODEX 미국나스닥100</t>
        </is>
      </c>
      <c r="E213" s="286" t="n">
        <v>19470</v>
      </c>
      <c r="F213" s="340" t="n"/>
      <c r="G213" s="286" t="n">
        <v>19470</v>
      </c>
      <c r="H213" s="285" t="inlineStr">
        <is>
          <t>예측</t>
        </is>
      </c>
    </row>
    <row r="214">
      <c r="A214" s="342" t="n">
        <v>46233</v>
      </c>
      <c r="B214" s="285" t="n">
        <v>7</v>
      </c>
      <c r="C214" s="285" t="inlineStr">
        <is>
          <t>433330</t>
        </is>
      </c>
      <c r="D214" s="285" t="inlineStr">
        <is>
          <t>SOL 미국 S&amp;P500</t>
        </is>
      </c>
      <c r="E214" s="286" t="n">
        <v>13156</v>
      </c>
      <c r="F214" s="340" t="n"/>
      <c r="G214" s="286" t="n">
        <v>13156</v>
      </c>
      <c r="H214" s="285" t="inlineStr">
        <is>
          <t>예측</t>
        </is>
      </c>
    </row>
    <row r="215">
      <c r="A215" s="342" t="n">
        <v>46233</v>
      </c>
      <c r="B215" s="285" t="n">
        <v>7</v>
      </c>
      <c r="C215" s="285" t="inlineStr">
        <is>
          <t>446720</t>
        </is>
      </c>
      <c r="D215" s="285" t="inlineStr">
        <is>
          <t>SOL 미국배당다우존스</t>
        </is>
      </c>
      <c r="E215" s="286" t="n">
        <v>41895</v>
      </c>
      <c r="F215" s="340" t="n"/>
      <c r="G215" s="286" t="n">
        <v>41895</v>
      </c>
      <c r="H215" s="285" t="inlineStr">
        <is>
          <t>예측</t>
        </is>
      </c>
    </row>
    <row r="216">
      <c r="A216" s="342" t="n">
        <v>46233</v>
      </c>
      <c r="B216" s="285" t="n">
        <v>7</v>
      </c>
      <c r="C216" s="285" t="inlineStr">
        <is>
          <t>458760</t>
        </is>
      </c>
      <c r="D216" s="285" t="inlineStr">
        <is>
          <t>TIGER 미배당다우커버드콜2호</t>
        </is>
      </c>
      <c r="E216" s="286" t="n">
        <v>1412476</v>
      </c>
      <c r="F216" s="340" t="n"/>
      <c r="G216" s="286" t="n">
        <v>1412476</v>
      </c>
      <c r="H216" s="285" t="inlineStr">
        <is>
          <t>예측</t>
        </is>
      </c>
    </row>
    <row r="217">
      <c r="A217" s="342" t="n">
        <v>46233</v>
      </c>
      <c r="B217" s="285" t="n">
        <v>7</v>
      </c>
      <c r="C217" s="285" t="inlineStr">
        <is>
          <t>468380</t>
        </is>
      </c>
      <c r="D217" s="285" t="inlineStr">
        <is>
          <t>KODEX iShares미국하이일드액티브</t>
        </is>
      </c>
      <c r="E217" s="286" t="n">
        <v>119000</v>
      </c>
      <c r="F217" s="340" t="n"/>
      <c r="G217" s="286" t="n">
        <v>119000</v>
      </c>
      <c r="H217" s="285" t="inlineStr">
        <is>
          <t>예측</t>
        </is>
      </c>
    </row>
    <row r="218">
      <c r="A218" s="342" t="n">
        <v>46233</v>
      </c>
      <c r="B218" s="285" t="n">
        <v>7</v>
      </c>
      <c r="C218" s="285" t="inlineStr">
        <is>
          <t>473330</t>
        </is>
      </c>
      <c r="D218" s="285" t="inlineStr">
        <is>
          <t>SOL 미국 30년국채커버드콜(합성)</t>
        </is>
      </c>
      <c r="E218" s="286" t="n">
        <v>113760</v>
      </c>
      <c r="F218" s="340" t="n"/>
      <c r="G218" s="286" t="n">
        <v>113760</v>
      </c>
      <c r="H218" s="285" t="inlineStr">
        <is>
          <t>예측</t>
        </is>
      </c>
    </row>
    <row r="219">
      <c r="A219" s="342" t="n">
        <v>46233</v>
      </c>
      <c r="B219" s="285" t="n">
        <v>7</v>
      </c>
      <c r="C219" s="285" t="inlineStr">
        <is>
          <t>475380</t>
        </is>
      </c>
      <c r="D219" s="285" t="inlineStr">
        <is>
          <t>RISE 글로벌리얼티인컴</t>
        </is>
      </c>
      <c r="E219" s="286" t="n">
        <v>3636</v>
      </c>
      <c r="F219" s="340" t="n"/>
      <c r="G219" s="286" t="n">
        <v>3636</v>
      </c>
      <c r="H219" s="285" t="inlineStr">
        <is>
          <t>예측</t>
        </is>
      </c>
    </row>
    <row r="220">
      <c r="A220" s="342" t="n">
        <v>46233</v>
      </c>
      <c r="B220" s="285" t="n">
        <v>7</v>
      </c>
      <c r="C220" s="285" t="inlineStr">
        <is>
          <t>476550</t>
        </is>
      </c>
      <c r="D220" s="285" t="inlineStr">
        <is>
          <t>TIGER 미국30년국채커버드콜액티브(H)</t>
        </is>
      </c>
      <c r="E220" s="286" t="n">
        <v>38574</v>
      </c>
      <c r="F220" s="340" t="n"/>
      <c r="G220" s="286" t="n">
        <v>38574</v>
      </c>
      <c r="H220" s="285" t="inlineStr">
        <is>
          <t>예측</t>
        </is>
      </c>
    </row>
    <row r="221">
      <c r="A221" s="342" t="n">
        <v>46233</v>
      </c>
      <c r="B221" s="285" t="n">
        <v>7</v>
      </c>
      <c r="C221" s="285" t="inlineStr">
        <is>
          <t>476690</t>
        </is>
      </c>
      <c r="D221" s="285" t="inlineStr">
        <is>
          <t>TIGER 글로벌비만치료제 TOP2 Plus</t>
        </is>
      </c>
      <c r="E221" s="286" t="n">
        <v>1200</v>
      </c>
      <c r="F221" s="340" t="n"/>
      <c r="G221" s="286" t="n">
        <v>1200</v>
      </c>
      <c r="H221" s="285" t="inlineStr">
        <is>
          <t>예측</t>
        </is>
      </c>
    </row>
    <row r="222">
      <c r="A222" s="342" t="n">
        <v>46233</v>
      </c>
      <c r="B222" s="285" t="n">
        <v>7</v>
      </c>
      <c r="C222" s="285" t="inlineStr">
        <is>
          <t>482730</t>
        </is>
      </c>
      <c r="D222" s="285" t="inlineStr">
        <is>
          <t>미국S&amp;P500타겟데일리커버드콜</t>
        </is>
      </c>
      <c r="E222" s="286" t="n">
        <v>38888</v>
      </c>
      <c r="F222" s="340" t="n"/>
      <c r="G222" s="286" t="n">
        <v>38888</v>
      </c>
      <c r="H222" s="285" t="inlineStr">
        <is>
          <t>예측</t>
        </is>
      </c>
    </row>
    <row r="223">
      <c r="A223" s="342" t="n">
        <v>46233</v>
      </c>
      <c r="B223" s="285" t="n">
        <v>7</v>
      </c>
      <c r="C223" s="285" t="inlineStr">
        <is>
          <t>483280</t>
        </is>
      </c>
      <c r="D223" s="285" t="inlineStr">
        <is>
          <t>KODEX 미국AI테크TOP10타겟커버드콜</t>
        </is>
      </c>
      <c r="E223" s="286" t="n">
        <v>304962</v>
      </c>
      <c r="F223" s="340" t="n"/>
      <c r="G223" s="286" t="n">
        <v>304962</v>
      </c>
      <c r="H223" s="285" t="inlineStr">
        <is>
          <t>예측</t>
        </is>
      </c>
    </row>
    <row r="224">
      <c r="A224" s="342" t="n">
        <v>46233</v>
      </c>
      <c r="B224" s="285" t="n">
        <v>7</v>
      </c>
      <c r="C224" s="285" t="inlineStr">
        <is>
          <t>498270</t>
        </is>
      </c>
      <c r="D224" s="285" t="inlineStr">
        <is>
          <t>KIWOOM 미국양자컴퓨팅</t>
        </is>
      </c>
      <c r="E224" s="286" t="n">
        <v>2970</v>
      </c>
      <c r="F224" s="340" t="n"/>
      <c r="G224" s="286" t="n">
        <v>2970</v>
      </c>
      <c r="H224" s="285" t="inlineStr">
        <is>
          <t>예측</t>
        </is>
      </c>
    </row>
    <row r="225">
      <c r="A225" s="342" t="n">
        <v>46233</v>
      </c>
      <c r="B225" s="285" t="n">
        <v>7</v>
      </c>
      <c r="C225" s="285" t="inlineStr">
        <is>
          <t>498410</t>
        </is>
      </c>
      <c r="D225" s="285" t="inlineStr">
        <is>
          <t>KODEX금융고배당TOP10타겟위클리커버드콜</t>
        </is>
      </c>
      <c r="E225" s="286" t="n">
        <v>387451</v>
      </c>
      <c r="F225" s="340" t="n"/>
      <c r="G225" s="286" t="n">
        <v>387451</v>
      </c>
      <c r="H225" s="285" t="inlineStr">
        <is>
          <t>예측</t>
        </is>
      </c>
    </row>
    <row r="226">
      <c r="A226" s="342" t="n">
        <v>46235</v>
      </c>
      <c r="B226" s="285" t="n">
        <v>8</v>
      </c>
      <c r="C226" s="285" t="inlineStr">
        <is>
          <t>O</t>
        </is>
      </c>
      <c r="D226" s="285" t="inlineStr">
        <is>
          <t>리얼티인컴</t>
        </is>
      </c>
      <c r="E226" s="286" t="n"/>
      <c r="F226" s="340" t="n">
        <v>14.098</v>
      </c>
      <c r="G226" s="286" t="n">
        <v>20625.374</v>
      </c>
      <c r="H226" s="285" t="inlineStr">
        <is>
          <t>예측</t>
        </is>
      </c>
    </row>
    <row r="227">
      <c r="A227" s="342" t="n">
        <v>46242</v>
      </c>
      <c r="B227" s="285" t="n">
        <v>8</v>
      </c>
      <c r="C227" s="285" t="n">
        <v>105560</v>
      </c>
      <c r="D227" s="285" t="inlineStr">
        <is>
          <t>KB금융</t>
        </is>
      </c>
      <c r="E227" s="286" t="n">
        <v>11040</v>
      </c>
      <c r="F227" s="340" t="n"/>
      <c r="G227" s="286" t="n">
        <v>11040</v>
      </c>
      <c r="H227" s="285" t="inlineStr">
        <is>
          <t>예측</t>
        </is>
      </c>
    </row>
    <row r="228">
      <c r="A228" s="342" t="n">
        <v>46246</v>
      </c>
      <c r="B228" s="285" t="n">
        <v>8</v>
      </c>
      <c r="C228" s="285" t="inlineStr">
        <is>
          <t>AAPL</t>
        </is>
      </c>
      <c r="D228" s="285" t="inlineStr">
        <is>
          <t>애플</t>
        </is>
      </c>
      <c r="E228" s="286" t="n"/>
      <c r="F228" s="340" t="n">
        <v>2.295</v>
      </c>
      <c r="G228" s="286" t="n">
        <v>3357.585</v>
      </c>
      <c r="H228" s="285" t="inlineStr">
        <is>
          <t>예측</t>
        </is>
      </c>
    </row>
    <row r="229">
      <c r="A229" s="342" t="n">
        <v>46247</v>
      </c>
      <c r="B229" s="285" t="n">
        <v>8</v>
      </c>
      <c r="C229" s="285" t="inlineStr">
        <is>
          <t>0008S0</t>
        </is>
      </c>
      <c r="D229" s="285" t="inlineStr">
        <is>
          <t>TIGER 미국배당다우존스타겟데일리커버드콜</t>
        </is>
      </c>
      <c r="E229" s="286" t="n">
        <v>264000</v>
      </c>
      <c r="F229" s="340" t="n"/>
      <c r="G229" s="286" t="n">
        <v>264000</v>
      </c>
      <c r="H229" s="285" t="inlineStr">
        <is>
          <t>예측</t>
        </is>
      </c>
    </row>
    <row r="230">
      <c r="A230" s="342" t="n">
        <v>46247</v>
      </c>
      <c r="B230" s="285" t="n">
        <v>8</v>
      </c>
      <c r="C230" s="285" t="inlineStr">
        <is>
          <t>474220</t>
        </is>
      </c>
      <c r="D230" s="285" t="inlineStr">
        <is>
          <t>TIGER미국테크TOP10커버드콜</t>
        </is>
      </c>
      <c r="E230" s="286" t="n">
        <v>494760</v>
      </c>
      <c r="F230" s="340" t="n"/>
      <c r="G230" s="286" t="n">
        <v>494760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490490</t>
        </is>
      </c>
      <c r="D231" s="285" t="inlineStr">
        <is>
          <t>SOL미국배당미국채혼합50</t>
        </is>
      </c>
      <c r="E231" s="286" t="n">
        <v>91704</v>
      </c>
      <c r="F231" s="340" t="n"/>
      <c r="G231" s="286" t="n">
        <v>91704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498400</t>
        </is>
      </c>
      <c r="D232" s="285" t="inlineStr">
        <is>
          <t>KODEX 200타켓위클리커버드콜</t>
        </is>
      </c>
      <c r="E232" s="286" t="n">
        <v>79544</v>
      </c>
      <c r="F232" s="340" t="n"/>
      <c r="G232" s="286" t="n">
        <v>79544</v>
      </c>
      <c r="H232" s="285" t="inlineStr">
        <is>
          <t>예측</t>
        </is>
      </c>
    </row>
    <row r="233">
      <c r="A233" s="342" t="n">
        <v>46249</v>
      </c>
      <c r="B233" s="285" t="n">
        <v>8</v>
      </c>
      <c r="C233" s="285" t="inlineStr">
        <is>
          <t>XOM</t>
        </is>
      </c>
      <c r="D233" s="285" t="inlineStr">
        <is>
          <t>엑슨모빌</t>
        </is>
      </c>
      <c r="E233" s="286" t="n"/>
      <c r="F233" s="340" t="n">
        <v>0.97</v>
      </c>
      <c r="G233" s="286" t="n">
        <v>1419.11</v>
      </c>
      <c r="H233" s="285" t="inlineStr">
        <is>
          <t>예측</t>
        </is>
      </c>
    </row>
    <row r="234">
      <c r="A234" s="342" t="n">
        <v>46250</v>
      </c>
      <c r="B234" s="285" t="n">
        <v>8</v>
      </c>
      <c r="C234" s="285" t="inlineStr">
        <is>
          <t>SBUX</t>
        </is>
      </c>
      <c r="D234" s="285" t="inlineStr">
        <is>
          <t>스타벅스</t>
        </is>
      </c>
      <c r="E234" s="286" t="n"/>
      <c r="F234" s="340" t="n">
        <v>1.18</v>
      </c>
      <c r="G234" s="286" t="n">
        <v>1726.34</v>
      </c>
      <c r="H234" s="285" t="inlineStr">
        <is>
          <t>예측</t>
        </is>
      </c>
    </row>
    <row r="235">
      <c r="A235" s="342" t="n">
        <v>46251</v>
      </c>
      <c r="B235" s="285" t="n">
        <v>8</v>
      </c>
      <c r="C235" s="285" t="inlineStr">
        <is>
          <t>NVO</t>
        </is>
      </c>
      <c r="D235" s="285" t="inlineStr">
        <is>
          <t>노보 노디스크</t>
        </is>
      </c>
      <c r="E235" s="286" t="n"/>
      <c r="F235" s="340" t="n">
        <v>8.227499999999999</v>
      </c>
      <c r="G235" s="286" t="n">
        <v>12036.8325</v>
      </c>
      <c r="H235" s="285" t="inlineStr">
        <is>
          <t>예측</t>
        </is>
      </c>
    </row>
    <row r="236">
      <c r="A236" s="342" t="n">
        <v>46252</v>
      </c>
      <c r="B236" s="285" t="n">
        <v>8</v>
      </c>
      <c r="C236" s="285" t="inlineStr">
        <is>
          <t>MSFT</t>
        </is>
      </c>
      <c r="D236" s="285" t="inlineStr">
        <is>
          <t>마이크로소프트</t>
        </is>
      </c>
      <c r="E236" s="286" t="n"/>
      <c r="F236" s="340" t="n">
        <v>1.58</v>
      </c>
      <c r="G236" s="286" t="n">
        <v>2311.54</v>
      </c>
      <c r="H236" s="285" t="inlineStr">
        <is>
          <t>예측</t>
        </is>
      </c>
    </row>
    <row r="237">
      <c r="A237" s="342" t="n">
        <v>46253</v>
      </c>
      <c r="B237" s="285" t="n">
        <v>8</v>
      </c>
      <c r="C237" s="285" t="inlineStr">
        <is>
          <t>CVX</t>
        </is>
      </c>
      <c r="D237" s="285" t="inlineStr">
        <is>
          <t>셰브론</t>
        </is>
      </c>
      <c r="E237" s="286" t="n"/>
      <c r="F237" s="340" t="n">
        <v>1.67</v>
      </c>
      <c r="G237" s="286" t="n">
        <v>2443.21</v>
      </c>
      <c r="H237" s="285" t="inlineStr">
        <is>
          <t>예측</t>
        </is>
      </c>
    </row>
    <row r="238">
      <c r="A238" s="342" t="n">
        <v>46255</v>
      </c>
      <c r="B238" s="285" t="n">
        <v>8</v>
      </c>
      <c r="C238" s="285" t="inlineStr">
        <is>
          <t>481060</t>
        </is>
      </c>
      <c r="D238" s="285" t="inlineStr">
        <is>
          <t>KODEX 미국30년국채타겟커버드콜(H)</t>
        </is>
      </c>
      <c r="E238" s="286" t="n">
        <v>296820</v>
      </c>
      <c r="F238" s="340" t="n"/>
      <c r="G238" s="286" t="n">
        <v>296820</v>
      </c>
      <c r="H238" s="285" t="inlineStr">
        <is>
          <t>예측</t>
        </is>
      </c>
    </row>
    <row r="239">
      <c r="A239" s="342" t="n">
        <v>46262</v>
      </c>
      <c r="B239" s="285" t="n">
        <v>8</v>
      </c>
      <c r="C239" s="285" t="inlineStr">
        <is>
          <t>005389</t>
        </is>
      </c>
      <c r="D239" s="285" t="inlineStr">
        <is>
          <t>현대차3우B</t>
        </is>
      </c>
      <c r="E239" s="286" t="n">
        <v>32500</v>
      </c>
      <c r="F239" s="340" t="n"/>
      <c r="G239" s="286" t="n">
        <v>32500</v>
      </c>
      <c r="H239" s="285" t="inlineStr">
        <is>
          <t>예측</t>
        </is>
      </c>
    </row>
    <row r="240">
      <c r="A240" s="342" t="n">
        <v>46262</v>
      </c>
      <c r="B240" s="285" t="n">
        <v>8</v>
      </c>
      <c r="C240" s="285" t="inlineStr">
        <is>
          <t>329200</t>
        </is>
      </c>
      <c r="D240" s="285" t="inlineStr">
        <is>
          <t>TIGER리츠부동산인프라</t>
        </is>
      </c>
      <c r="E240" s="286" t="n">
        <v>162500</v>
      </c>
      <c r="F240" s="340" t="n"/>
      <c r="G240" s="286" t="n">
        <v>162500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433330</t>
        </is>
      </c>
      <c r="D241" s="285" t="inlineStr">
        <is>
          <t>SOL 미국 S&amp;P500</t>
        </is>
      </c>
      <c r="E241" s="286" t="n">
        <v>20674</v>
      </c>
      <c r="F241" s="340" t="n"/>
      <c r="G241" s="286" t="n">
        <v>20674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446720</t>
        </is>
      </c>
      <c r="D242" s="285" t="inlineStr">
        <is>
          <t>SOL 미국배당다우존스</t>
        </is>
      </c>
      <c r="E242" s="286" t="n">
        <v>44555</v>
      </c>
      <c r="F242" s="340" t="n"/>
      <c r="G242" s="286" t="n">
        <v>44555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458760</t>
        </is>
      </c>
      <c r="D243" s="285" t="inlineStr">
        <is>
          <t>TIGER 미배당다우커버드콜2호</t>
        </is>
      </c>
      <c r="E243" s="286" t="n">
        <v>1381770</v>
      </c>
      <c r="F243" s="340" t="n"/>
      <c r="G243" s="286" t="n">
        <v>1381770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468380</t>
        </is>
      </c>
      <c r="D244" s="285" t="inlineStr">
        <is>
          <t>KODEX iShares미국하이일드액티브</t>
        </is>
      </c>
      <c r="E244" s="286" t="n">
        <v>112000</v>
      </c>
      <c r="F244" s="340" t="n"/>
      <c r="G244" s="286" t="n">
        <v>112000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473330</t>
        </is>
      </c>
      <c r="D245" s="285" t="inlineStr">
        <is>
          <t>SOL 미국 30년국채커버드콜(합성)</t>
        </is>
      </c>
      <c r="E245" s="286" t="n">
        <v>81600</v>
      </c>
      <c r="F245" s="340" t="n"/>
      <c r="G245" s="286" t="n">
        <v>81600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475380</t>
        </is>
      </c>
      <c r="D246" s="285" t="inlineStr">
        <is>
          <t>RISE 글로벌리얼티인컴</t>
        </is>
      </c>
      <c r="E246" s="286" t="n">
        <v>3636</v>
      </c>
      <c r="F246" s="340" t="n"/>
      <c r="G246" s="286" t="n">
        <v>3636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476550</t>
        </is>
      </c>
      <c r="D247" s="285" t="inlineStr">
        <is>
          <t>TIGER 미국30년국채커버드콜액티브(H)</t>
        </is>
      </c>
      <c r="E247" s="286" t="n">
        <v>38574</v>
      </c>
      <c r="F247" s="340" t="n"/>
      <c r="G247" s="286" t="n">
        <v>38574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476690</t>
        </is>
      </c>
      <c r="D248" s="285" t="inlineStr">
        <is>
          <t>TIGER 글로벌비만치료제 TOP2 Plus</t>
        </is>
      </c>
      <c r="E248" s="286" t="n">
        <v>1750</v>
      </c>
      <c r="F248" s="340" t="n"/>
      <c r="G248" s="286" t="n">
        <v>1750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482730</t>
        </is>
      </c>
      <c r="D249" s="285" t="inlineStr">
        <is>
          <t>미국S&amp;P500타겟데일리커버드콜</t>
        </is>
      </c>
      <c r="E249" s="286" t="n">
        <v>37825</v>
      </c>
      <c r="F249" s="340" t="n"/>
      <c r="G249" s="286" t="n">
        <v>37825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483280</t>
        </is>
      </c>
      <c r="D250" s="285" t="inlineStr">
        <is>
          <t>KODEX 미국AI테크TOP10타겟커버드콜</t>
        </is>
      </c>
      <c r="E250" s="286" t="n">
        <v>296058</v>
      </c>
      <c r="F250" s="340" t="n"/>
      <c r="G250" s="286" t="n">
        <v>296058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498410</t>
        </is>
      </c>
      <c r="D251" s="285" t="inlineStr">
        <is>
          <t>KODEX금융고배당TOP10타겟위클리커버드콜</t>
        </is>
      </c>
      <c r="E251" s="286" t="n">
        <v>366058</v>
      </c>
      <c r="F251" s="340" t="n"/>
      <c r="G251" s="286" t="n">
        <v>366058</v>
      </c>
      <c r="H251" s="285" t="inlineStr">
        <is>
          <t>예측</t>
        </is>
      </c>
    </row>
    <row r="252">
      <c r="A252" s="342" t="n">
        <v>46264</v>
      </c>
      <c r="B252" s="285" t="n">
        <v>8</v>
      </c>
      <c r="C252" s="285" t="inlineStr">
        <is>
          <t>TMUS</t>
        </is>
      </c>
      <c r="D252" s="285" t="inlineStr">
        <is>
          <t>T-모바일</t>
        </is>
      </c>
      <c r="E252" s="286" t="n"/>
      <c r="F252" s="340" t="n">
        <v>3.06</v>
      </c>
      <c r="G252" s="286" t="n">
        <v>4476.78</v>
      </c>
      <c r="H252" s="285" t="inlineStr">
        <is>
          <t>예측</t>
        </is>
      </c>
    </row>
    <row r="253">
      <c r="A253" s="342" t="n">
        <v>46267</v>
      </c>
      <c r="B253" s="285" t="n">
        <v>9</v>
      </c>
      <c r="C253" s="285" t="inlineStr">
        <is>
          <t>NKE</t>
        </is>
      </c>
      <c r="D253" s="285" t="inlineStr">
        <is>
          <t>나이키</t>
        </is>
      </c>
      <c r="E253" s="286" t="n"/>
      <c r="F253" s="340" t="n">
        <v>3.85</v>
      </c>
      <c r="G253" s="286" t="n">
        <v>5632.55</v>
      </c>
      <c r="H253" s="285" t="inlineStr">
        <is>
          <t>예측</t>
        </is>
      </c>
    </row>
    <row r="254">
      <c r="A254" s="342" t="n">
        <v>46267</v>
      </c>
      <c r="B254" s="285" t="n">
        <v>9</v>
      </c>
      <c r="C254" s="285" t="inlineStr">
        <is>
          <t>O</t>
        </is>
      </c>
      <c r="D254" s="285" t="inlineStr">
        <is>
          <t>리얼티인컴</t>
        </is>
      </c>
      <c r="E254" s="286" t="n"/>
      <c r="F254" s="340" t="n">
        <v>14.098</v>
      </c>
      <c r="G254" s="286" t="n">
        <v>20625.374</v>
      </c>
      <c r="H254" s="285" t="inlineStr">
        <is>
          <t>예측</t>
        </is>
      </c>
    </row>
    <row r="255">
      <c r="A255" s="342" t="n">
        <v>46277</v>
      </c>
      <c r="B255" s="285" t="n">
        <v>9</v>
      </c>
      <c r="C255" s="285" t="inlineStr">
        <is>
          <t>0008S0</t>
        </is>
      </c>
      <c r="D255" s="285" t="inlineStr">
        <is>
          <t>TIGER 미국배당다우존스타겟데일리커버드콜</t>
        </is>
      </c>
      <c r="E255" s="286" t="n">
        <v>264000</v>
      </c>
      <c r="F255" s="340" t="n"/>
      <c r="G255" s="286" t="n">
        <v>264000</v>
      </c>
      <c r="H255" s="285" t="inlineStr">
        <is>
          <t>예측</t>
        </is>
      </c>
    </row>
    <row r="256">
      <c r="A256" s="342" t="n">
        <v>46277</v>
      </c>
      <c r="B256" s="285" t="n">
        <v>9</v>
      </c>
      <c r="C256" s="285" t="inlineStr">
        <is>
          <t>474220</t>
        </is>
      </c>
      <c r="D256" s="285" t="inlineStr">
        <is>
          <t>TIGER미국테크TOP10커버드콜</t>
        </is>
      </c>
      <c r="E256" s="286" t="n">
        <v>494760</v>
      </c>
      <c r="F256" s="340" t="n"/>
      <c r="G256" s="286" t="n">
        <v>494760</v>
      </c>
      <c r="H256" s="285" t="inlineStr">
        <is>
          <t>예측</t>
        </is>
      </c>
    </row>
    <row r="257">
      <c r="A257" s="342" t="n">
        <v>46277</v>
      </c>
      <c r="B257" s="285" t="n">
        <v>9</v>
      </c>
      <c r="C257" s="285" t="inlineStr">
        <is>
          <t>490490</t>
        </is>
      </c>
      <c r="D257" s="285" t="inlineStr">
        <is>
          <t>SOL미국배당미국채혼합50</t>
        </is>
      </c>
      <c r="E257" s="286" t="n">
        <v>137556</v>
      </c>
      <c r="F257" s="340" t="n"/>
      <c r="G257" s="286" t="n">
        <v>137556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498400</t>
        </is>
      </c>
      <c r="D258" s="285" t="inlineStr">
        <is>
          <t>KODEX 200타켓위클리커버드콜</t>
        </is>
      </c>
      <c r="E258" s="286" t="n">
        <v>78568</v>
      </c>
      <c r="F258" s="340" t="n"/>
      <c r="G258" s="286" t="n">
        <v>78568</v>
      </c>
      <c r="H258" s="285" t="inlineStr">
        <is>
          <t>예측</t>
        </is>
      </c>
    </row>
    <row r="259">
      <c r="A259" s="342" t="n">
        <v>46279</v>
      </c>
      <c r="B259" s="285" t="n">
        <v>9</v>
      </c>
      <c r="C259" s="285" t="inlineStr">
        <is>
          <t>TSM</t>
        </is>
      </c>
      <c r="D259" s="285" t="inlineStr">
        <is>
          <t>TSMC</t>
        </is>
      </c>
      <c r="E259" s="286" t="n"/>
      <c r="F259" s="340" t="n">
        <v>0.724</v>
      </c>
      <c r="G259" s="286" t="n">
        <v>1059.212</v>
      </c>
      <c r="H259" s="285" t="inlineStr">
        <is>
          <t>예측</t>
        </is>
      </c>
    </row>
    <row r="260">
      <c r="A260" s="342" t="n">
        <v>46285</v>
      </c>
      <c r="B260" s="285" t="n">
        <v>9</v>
      </c>
      <c r="C260" s="285" t="inlineStr">
        <is>
          <t>481060</t>
        </is>
      </c>
      <c r="D260" s="285" t="inlineStr">
        <is>
          <t>KODEX 미국30년국채타겟커버드콜(H)</t>
        </is>
      </c>
      <c r="E260" s="286" t="n">
        <v>296820</v>
      </c>
      <c r="F260" s="340" t="n"/>
      <c r="G260" s="286" t="n">
        <v>296820</v>
      </c>
      <c r="H260" s="285" t="inlineStr">
        <is>
          <t>예측</t>
        </is>
      </c>
    </row>
    <row r="261">
      <c r="A261" s="342" t="n">
        <v>46289</v>
      </c>
      <c r="B261" s="285" t="n">
        <v>9</v>
      </c>
      <c r="C261" s="285" t="inlineStr">
        <is>
          <t>SCHD</t>
        </is>
      </c>
      <c r="D261" s="285" t="inlineStr">
        <is>
          <t>SCHD</t>
        </is>
      </c>
      <c r="E261" s="286" t="n"/>
      <c r="F261" s="340" t="n">
        <v>6.14</v>
      </c>
      <c r="G261" s="286" t="n">
        <v>8982.82</v>
      </c>
      <c r="H261" s="285" t="inlineStr">
        <is>
          <t>예측</t>
        </is>
      </c>
    </row>
    <row r="262">
      <c r="A262" s="342" t="n">
        <v>46292</v>
      </c>
      <c r="B262" s="285" t="n">
        <v>9</v>
      </c>
      <c r="C262" s="285" t="inlineStr">
        <is>
          <t>005389</t>
        </is>
      </c>
      <c r="D262" s="285" t="inlineStr">
        <is>
          <t>현대차3우B</t>
        </is>
      </c>
      <c r="E262" s="286" t="n">
        <v>26000</v>
      </c>
      <c r="F262" s="340" t="n"/>
      <c r="G262" s="286" t="n">
        <v>26000</v>
      </c>
      <c r="H262" s="285" t="inlineStr">
        <is>
          <t>예측</t>
        </is>
      </c>
    </row>
    <row r="263">
      <c r="A263" s="342" t="n">
        <v>46292</v>
      </c>
      <c r="B263" s="285" t="n">
        <v>9</v>
      </c>
      <c r="C263" s="285" t="n">
        <v>105560</v>
      </c>
      <c r="D263" s="285" t="inlineStr">
        <is>
          <t>KB금융</t>
        </is>
      </c>
      <c r="E263" s="286" t="n">
        <v>9540</v>
      </c>
      <c r="F263" s="340" t="n"/>
      <c r="G263" s="286" t="n">
        <v>9540</v>
      </c>
      <c r="H263" s="285" t="inlineStr">
        <is>
          <t>예측</t>
        </is>
      </c>
    </row>
    <row r="264">
      <c r="A264" s="342" t="n">
        <v>46293</v>
      </c>
      <c r="B264" s="285" t="n">
        <v>9</v>
      </c>
      <c r="C264" s="285" t="inlineStr">
        <is>
          <t>005930</t>
        </is>
      </c>
      <c r="D264" s="285" t="inlineStr">
        <is>
          <t>삼성전자</t>
        </is>
      </c>
      <c r="E264" s="286" t="n">
        <v>36184</v>
      </c>
      <c r="F264" s="340" t="n"/>
      <c r="G264" s="286" t="n">
        <v>36184</v>
      </c>
      <c r="H264" s="285" t="inlineStr">
        <is>
          <t>예측</t>
        </is>
      </c>
    </row>
    <row r="265">
      <c r="A265" s="342" t="n">
        <v>46293</v>
      </c>
      <c r="B265" s="285" t="n">
        <v>9</v>
      </c>
      <c r="C265" s="285" t="inlineStr">
        <is>
          <t>329200</t>
        </is>
      </c>
      <c r="D265" s="285" t="inlineStr">
        <is>
          <t>TIGER리츠부동산인프라</t>
        </is>
      </c>
      <c r="E265" s="286" t="n">
        <v>195000</v>
      </c>
      <c r="F265" s="340" t="n"/>
      <c r="G265" s="286" t="n">
        <v>195000</v>
      </c>
      <c r="H265" s="285" t="inlineStr">
        <is>
          <t>예측</t>
        </is>
      </c>
    </row>
    <row r="266">
      <c r="A266" s="342" t="n">
        <v>46293</v>
      </c>
      <c r="B266" s="285" t="n">
        <v>9</v>
      </c>
      <c r="C266" s="285" t="inlineStr">
        <is>
          <t>433330</t>
        </is>
      </c>
      <c r="D266" s="285" t="inlineStr">
        <is>
          <t>SOL 미국 S&amp;P500</t>
        </is>
      </c>
      <c r="E266" s="286" t="n">
        <v>19422</v>
      </c>
      <c r="F266" s="340" t="n"/>
      <c r="G266" s="286" t="n">
        <v>19422</v>
      </c>
      <c r="H266" s="285" t="inlineStr">
        <is>
          <t>예측</t>
        </is>
      </c>
    </row>
    <row r="267">
      <c r="A267" s="342" t="n">
        <v>46293</v>
      </c>
      <c r="B267" s="285" t="n">
        <v>9</v>
      </c>
      <c r="C267" s="285" t="inlineStr">
        <is>
          <t>446720</t>
        </is>
      </c>
      <c r="D267" s="285" t="inlineStr">
        <is>
          <t>SOL 미국배당다우존스</t>
        </is>
      </c>
      <c r="E267" s="286" t="n">
        <v>43225</v>
      </c>
      <c r="F267" s="340" t="n"/>
      <c r="G267" s="286" t="n">
        <v>43225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458760</t>
        </is>
      </c>
      <c r="D268" s="285" t="inlineStr">
        <is>
          <t>TIGER 미배당다우커버드콜2호</t>
        </is>
      </c>
      <c r="E268" s="286" t="n">
        <v>1366417</v>
      </c>
      <c r="F268" s="340" t="n"/>
      <c r="G268" s="286" t="n">
        <v>1366417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468380</t>
        </is>
      </c>
      <c r="D269" s="285" t="inlineStr">
        <is>
          <t>KODEX iShares미국하이일드액티브</t>
        </is>
      </c>
      <c r="E269" s="286" t="n">
        <v>119000</v>
      </c>
      <c r="F269" s="340" t="n"/>
      <c r="G269" s="286" t="n">
        <v>119000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473330</t>
        </is>
      </c>
      <c r="D270" s="285" t="inlineStr">
        <is>
          <t>SOL 미국 30년국채커버드콜(합성)</t>
        </is>
      </c>
      <c r="E270" s="286" t="n">
        <v>89280</v>
      </c>
      <c r="F270" s="340" t="n"/>
      <c r="G270" s="286" t="n">
        <v>89280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475380</t>
        </is>
      </c>
      <c r="D271" s="285" t="inlineStr">
        <is>
          <t>RISE 글로벌리얼티인컴</t>
        </is>
      </c>
      <c r="E271" s="286" t="n">
        <v>3737</v>
      </c>
      <c r="F271" s="340" t="n"/>
      <c r="G271" s="286" t="n">
        <v>3737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476550</t>
        </is>
      </c>
      <c r="D272" s="285" t="inlineStr">
        <is>
          <t>TIGER 미국30년국채커버드콜액티브(H)</t>
        </is>
      </c>
      <c r="E272" s="286" t="n">
        <v>38790</v>
      </c>
      <c r="F272" s="340" t="n"/>
      <c r="G272" s="286" t="n">
        <v>38790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476690</t>
        </is>
      </c>
      <c r="D273" s="285" t="inlineStr">
        <is>
          <t>TIGER 글로벌비만치료제 TOP2 Plus</t>
        </is>
      </c>
      <c r="E273" s="286" t="n">
        <v>1250</v>
      </c>
      <c r="F273" s="340" t="n"/>
      <c r="G273" s="286" t="n">
        <v>1250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482730</t>
        </is>
      </c>
      <c r="D274" s="285" t="inlineStr">
        <is>
          <t>미국S&amp;P500타겟데일리커버드콜</t>
        </is>
      </c>
      <c r="E274" s="286" t="n">
        <v>38250</v>
      </c>
      <c r="F274" s="340" t="n"/>
      <c r="G274" s="286" t="n">
        <v>38250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483280</t>
        </is>
      </c>
      <c r="D275" s="285" t="inlineStr">
        <is>
          <t>KODEX 미국AI테크TOP10타겟커버드콜</t>
        </is>
      </c>
      <c r="E275" s="286" t="n">
        <v>309414</v>
      </c>
      <c r="F275" s="340" t="n"/>
      <c r="G275" s="286" t="n">
        <v>309414</v>
      </c>
      <c r="H275" s="285" t="inlineStr">
        <is>
          <t>예측</t>
        </is>
      </c>
    </row>
    <row r="276">
      <c r="A276" s="342" t="n">
        <v>46294</v>
      </c>
      <c r="B276" s="285" t="n">
        <v>9</v>
      </c>
      <c r="C276" s="285" t="inlineStr">
        <is>
          <t>498410</t>
        </is>
      </c>
      <c r="D276" s="285" t="inlineStr">
        <is>
          <t>KODEX금융고배당TOP10타겟위클리커버드콜</t>
        </is>
      </c>
      <c r="E276" s="286" t="n">
        <v>375566</v>
      </c>
      <c r="F276" s="340" t="n"/>
      <c r="G276" s="286" t="n">
        <v>375566</v>
      </c>
      <c r="H276" s="285" t="inlineStr">
        <is>
          <t>예측</t>
        </is>
      </c>
    </row>
    <row r="277">
      <c r="A277" s="342" t="n">
        <v>46295</v>
      </c>
      <c r="B277" s="285" t="n">
        <v>9</v>
      </c>
      <c r="C277" s="285" t="inlineStr">
        <is>
          <t>AMT</t>
        </is>
      </c>
      <c r="D277" s="285" t="inlineStr">
        <is>
          <t>아메리칸타워</t>
        </is>
      </c>
      <c r="E277" s="286" t="n"/>
      <c r="F277" s="340" t="n">
        <v>8.5</v>
      </c>
      <c r="G277" s="286" t="n">
        <v>12435.5</v>
      </c>
      <c r="H277" s="285" t="inlineStr">
        <is>
          <t>예측</t>
        </is>
      </c>
    </row>
    <row r="278">
      <c r="A278" s="342" t="n">
        <v>46304</v>
      </c>
      <c r="B278" s="285" t="n">
        <v>10</v>
      </c>
      <c r="C278" s="285" t="inlineStr">
        <is>
          <t>AMT</t>
        </is>
      </c>
      <c r="D278" s="285" t="inlineStr">
        <is>
          <t>아메리칸타워</t>
        </is>
      </c>
      <c r="E278" s="286" t="n"/>
      <c r="F278" s="340" t="n">
        <v>8.1</v>
      </c>
      <c r="G278" s="286" t="n">
        <v>11850.3</v>
      </c>
      <c r="H278" s="285" t="inlineStr">
        <is>
          <t>예측</t>
        </is>
      </c>
    </row>
    <row r="279">
      <c r="A279" s="342" t="n">
        <v>46305</v>
      </c>
      <c r="B279" s="285" t="n">
        <v>10</v>
      </c>
      <c r="C279" s="285" t="inlineStr">
        <is>
          <t>ORCL</t>
        </is>
      </c>
      <c r="D279" s="285" t="inlineStr">
        <is>
          <t>오라클</t>
        </is>
      </c>
      <c r="E279" s="286" t="n"/>
      <c r="F279" s="340" t="n">
        <v>0.9</v>
      </c>
      <c r="G279" s="286" t="n">
        <v>1316.7</v>
      </c>
      <c r="H279" s="285" t="inlineStr">
        <is>
          <t>예측</t>
        </is>
      </c>
    </row>
    <row r="280">
      <c r="A280" s="342" t="n">
        <v>46306</v>
      </c>
      <c r="B280" s="285" t="n">
        <v>10</v>
      </c>
      <c r="C280" s="285" t="inlineStr">
        <is>
          <t>O</t>
        </is>
      </c>
      <c r="D280" s="285" t="inlineStr">
        <is>
          <t>리얼티인컴</t>
        </is>
      </c>
      <c r="E280" s="286" t="n"/>
      <c r="F280" s="340" t="n">
        <v>14.204</v>
      </c>
      <c r="G280" s="286" t="n">
        <v>20780.452</v>
      </c>
      <c r="H280" s="285" t="inlineStr">
        <is>
          <t>예측</t>
        </is>
      </c>
    </row>
    <row r="281">
      <c r="A281" s="342" t="n">
        <v>46309</v>
      </c>
      <c r="B281" s="285" t="n">
        <v>10</v>
      </c>
      <c r="C281" s="285" t="inlineStr">
        <is>
          <t>0008S0</t>
        </is>
      </c>
      <c r="D281" s="285" t="inlineStr">
        <is>
          <t>TIGER 미국배당다우존스타겟데일리커버드콜</t>
        </is>
      </c>
      <c r="E281" s="286" t="n">
        <v>261000</v>
      </c>
      <c r="F281" s="340" t="n"/>
      <c r="G281" s="286" t="n">
        <v>261000</v>
      </c>
      <c r="H281" s="285" t="inlineStr">
        <is>
          <t>예측</t>
        </is>
      </c>
    </row>
    <row r="282">
      <c r="A282" s="342" t="n">
        <v>46309</v>
      </c>
      <c r="B282" s="285" t="n">
        <v>10</v>
      </c>
      <c r="C282" s="285" t="inlineStr">
        <is>
          <t>474220</t>
        </is>
      </c>
      <c r="D282" s="285" t="inlineStr">
        <is>
          <t>TIGER미국테크TOP10커버드콜</t>
        </is>
      </c>
      <c r="E282" s="286" t="n">
        <v>522120</v>
      </c>
      <c r="F282" s="340" t="n"/>
      <c r="G282" s="286" t="n">
        <v>522120</v>
      </c>
      <c r="H282" s="285" t="inlineStr">
        <is>
          <t>예측</t>
        </is>
      </c>
    </row>
    <row r="283">
      <c r="A283" s="342" t="n">
        <v>46309</v>
      </c>
      <c r="B283" s="285" t="n">
        <v>10</v>
      </c>
      <c r="C283" s="285" t="inlineStr">
        <is>
          <t>481060</t>
        </is>
      </c>
      <c r="D283" s="285" t="inlineStr">
        <is>
          <t>KODEX 미국30년국채타겟커버드콜(H)</t>
        </is>
      </c>
      <c r="E283" s="286" t="n">
        <v>287640</v>
      </c>
      <c r="F283" s="340" t="n"/>
      <c r="G283" s="286" t="n">
        <v>287640</v>
      </c>
      <c r="H283" s="285" t="inlineStr">
        <is>
          <t>예측</t>
        </is>
      </c>
    </row>
    <row r="284">
      <c r="A284" s="342" t="n">
        <v>46309</v>
      </c>
      <c r="B284" s="285" t="n">
        <v>10</v>
      </c>
      <c r="C284" s="285" t="inlineStr">
        <is>
          <t>490490</t>
        </is>
      </c>
      <c r="D284" s="285" t="inlineStr">
        <is>
          <t>SOL미국배당미국채혼합50</t>
        </is>
      </c>
      <c r="E284" s="286" t="n">
        <v>80241</v>
      </c>
      <c r="F284" s="340" t="n"/>
      <c r="G284" s="286" t="n">
        <v>80241</v>
      </c>
      <c r="H284" s="285" t="inlineStr">
        <is>
          <t>예측</t>
        </is>
      </c>
    </row>
    <row r="285">
      <c r="A285" s="342" t="n">
        <v>46309</v>
      </c>
      <c r="B285" s="285" t="n">
        <v>10</v>
      </c>
      <c r="C285" s="285" t="inlineStr">
        <is>
          <t>498400</t>
        </is>
      </c>
      <c r="D285" s="285" t="inlineStr">
        <is>
          <t>KODEX 200타켓위클리커버드콜</t>
        </is>
      </c>
      <c r="E285" s="286" t="n">
        <v>83936</v>
      </c>
      <c r="F285" s="340" t="n"/>
      <c r="G285" s="286" t="n">
        <v>83936</v>
      </c>
      <c r="H285" s="285" t="inlineStr">
        <is>
          <t>예측</t>
        </is>
      </c>
    </row>
    <row r="286">
      <c r="A286" s="342" t="n">
        <v>46325</v>
      </c>
      <c r="B286" s="285" t="n">
        <v>10</v>
      </c>
      <c r="C286" s="285" t="inlineStr">
        <is>
          <t>133690</t>
        </is>
      </c>
      <c r="D286" s="285" t="inlineStr">
        <is>
          <t>TIGER 미국나스닥100</t>
        </is>
      </c>
      <c r="E286" s="286" t="n">
        <v>11457</v>
      </c>
      <c r="F286" s="340" t="n"/>
      <c r="G286" s="286" t="n">
        <v>11457</v>
      </c>
      <c r="H286" s="285" t="inlineStr">
        <is>
          <t>예측</t>
        </is>
      </c>
    </row>
    <row r="287">
      <c r="A287" s="342" t="n">
        <v>46325</v>
      </c>
      <c r="B287" s="285" t="n">
        <v>10</v>
      </c>
      <c r="C287" s="285" t="inlineStr">
        <is>
          <t>329200</t>
        </is>
      </c>
      <c r="D287" s="285" t="inlineStr">
        <is>
          <t>TIGER리츠부동산인프라</t>
        </is>
      </c>
      <c r="E287" s="286" t="n">
        <v>155000</v>
      </c>
      <c r="F287" s="340" t="n"/>
      <c r="G287" s="286" t="n">
        <v>155000</v>
      </c>
      <c r="H287" s="285" t="inlineStr">
        <is>
          <t>예측</t>
        </is>
      </c>
    </row>
    <row r="288">
      <c r="A288" s="342" t="n">
        <v>46325</v>
      </c>
      <c r="B288" s="285" t="n">
        <v>10</v>
      </c>
      <c r="C288" s="285" t="inlineStr">
        <is>
          <t>360750</t>
        </is>
      </c>
      <c r="D288" s="285" t="inlineStr">
        <is>
          <t>TIGER미국S&amp;P500</t>
        </is>
      </c>
      <c r="E288" s="286" t="n">
        <v>13688</v>
      </c>
      <c r="F288" s="340" t="n"/>
      <c r="G288" s="286" t="n">
        <v>13688</v>
      </c>
      <c r="H288" s="285" t="inlineStr">
        <is>
          <t>예측</t>
        </is>
      </c>
    </row>
    <row r="289">
      <c r="A289" s="342" t="n">
        <v>46325</v>
      </c>
      <c r="B289" s="285" t="n">
        <v>10</v>
      </c>
      <c r="C289" s="285" t="inlineStr">
        <is>
          <t>367380</t>
        </is>
      </c>
      <c r="D289" s="285" t="inlineStr">
        <is>
          <t>ACE 미국나스닥100</t>
        </is>
      </c>
      <c r="E289" s="286" t="n">
        <v>12337</v>
      </c>
      <c r="F289" s="340" t="n"/>
      <c r="G289" s="286" t="n">
        <v>12337</v>
      </c>
      <c r="H289" s="285" t="inlineStr">
        <is>
          <t>예측</t>
        </is>
      </c>
    </row>
    <row r="290">
      <c r="A290" s="342" t="n">
        <v>46325</v>
      </c>
      <c r="B290" s="285" t="n">
        <v>10</v>
      </c>
      <c r="C290" s="285" t="inlineStr">
        <is>
          <t>379810</t>
        </is>
      </c>
      <c r="D290" s="285" t="inlineStr">
        <is>
          <t>KODEX 미국나스닥100</t>
        </is>
      </c>
      <c r="E290" s="286" t="n">
        <v>20790</v>
      </c>
      <c r="F290" s="340" t="n"/>
      <c r="G290" s="286" t="n">
        <v>20790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433330</t>
        </is>
      </c>
      <c r="D291" s="285" t="inlineStr">
        <is>
          <t>SOL 미국 S&amp;P500</t>
        </is>
      </c>
      <c r="E291" s="286" t="n">
        <v>13783</v>
      </c>
      <c r="F291" s="340" t="n"/>
      <c r="G291" s="286" t="n">
        <v>13783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446720</t>
        </is>
      </c>
      <c r="D292" s="285" t="inlineStr">
        <is>
          <t>SOL 미국배당다우존스</t>
        </is>
      </c>
      <c r="E292" s="286" t="n">
        <v>43890</v>
      </c>
      <c r="F292" s="340" t="n"/>
      <c r="G292" s="286" t="n">
        <v>43890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458760</t>
        </is>
      </c>
      <c r="D293" s="285" t="inlineStr">
        <is>
          <t>TIGER 미배당다우커버드콜2호</t>
        </is>
      </c>
      <c r="E293" s="286" t="n">
        <v>1343388</v>
      </c>
      <c r="F293" s="340" t="n"/>
      <c r="G293" s="286" t="n">
        <v>1343388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468380</t>
        </is>
      </c>
      <c r="D294" s="285" t="inlineStr">
        <is>
          <t>KODEX iShares미국하이일드액티브</t>
        </is>
      </c>
      <c r="E294" s="286" t="n">
        <v>120000</v>
      </c>
      <c r="F294" s="340" t="n"/>
      <c r="G294" s="286" t="n">
        <v>120000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473330</t>
        </is>
      </c>
      <c r="D295" s="285" t="inlineStr">
        <is>
          <t>SOL 미국 30년국채커버드콜(합성)</t>
        </is>
      </c>
      <c r="E295" s="286" t="n">
        <v>78720</v>
      </c>
      <c r="F295" s="340" t="n"/>
      <c r="G295" s="286" t="n">
        <v>78720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475380</t>
        </is>
      </c>
      <c r="D296" s="285" t="inlineStr">
        <is>
          <t>RISE 글로벌리얼티인컴</t>
        </is>
      </c>
      <c r="E296" s="286" t="n">
        <v>3737</v>
      </c>
      <c r="F296" s="340" t="n"/>
      <c r="G296" s="286" t="n">
        <v>3737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476550</t>
        </is>
      </c>
      <c r="D297" s="285" t="inlineStr">
        <is>
          <t>TIGER 미국30년국채커버드콜액티브(H)</t>
        </is>
      </c>
      <c r="E297" s="286" t="n">
        <v>37928</v>
      </c>
      <c r="F297" s="340" t="n"/>
      <c r="G297" s="286" t="n">
        <v>37928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476690</t>
        </is>
      </c>
      <c r="D298" s="285" t="inlineStr">
        <is>
          <t>TIGER 글로벌비만치료제 TOP2 Plus</t>
        </is>
      </c>
      <c r="E298" s="286" t="n">
        <v>1200</v>
      </c>
      <c r="F298" s="340" t="n"/>
      <c r="G298" s="286" t="n">
        <v>1200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482730</t>
        </is>
      </c>
      <c r="D299" s="285" t="inlineStr">
        <is>
          <t>미국S&amp;P500타겟데일리커버드콜</t>
        </is>
      </c>
      <c r="E299" s="286" t="n">
        <v>40375</v>
      </c>
      <c r="F299" s="340" t="n"/>
      <c r="G299" s="286" t="n">
        <v>40375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483280</t>
        </is>
      </c>
      <c r="D300" s="285" t="inlineStr">
        <is>
          <t>KODEX 미국AI테크TOP10타겟커버드콜</t>
        </is>
      </c>
      <c r="E300" s="286" t="n">
        <v>324996</v>
      </c>
      <c r="F300" s="340" t="n"/>
      <c r="G300" s="286" t="n">
        <v>324996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498410</t>
        </is>
      </c>
      <c r="D301" s="285" t="inlineStr">
        <is>
          <t>KODEX금융고배당TOP10타겟위클리커버드콜</t>
        </is>
      </c>
      <c r="E301" s="286" t="n">
        <v>366058</v>
      </c>
      <c r="F301" s="340" t="n"/>
      <c r="G301" s="286" t="n">
        <v>366058</v>
      </c>
      <c r="H301" s="285" t="inlineStr">
        <is>
          <t>예측</t>
        </is>
      </c>
    </row>
    <row r="302">
      <c r="A302" s="342" t="n">
        <v>46335</v>
      </c>
      <c r="B302" s="285" t="n">
        <v>11</v>
      </c>
      <c r="C302" s="285" t="inlineStr">
        <is>
          <t>AAPL</t>
        </is>
      </c>
      <c r="D302" s="285" t="inlineStr">
        <is>
          <t>애플</t>
        </is>
      </c>
      <c r="E302" s="286" t="n"/>
      <c r="F302" s="340" t="n">
        <v>2.295</v>
      </c>
      <c r="G302" s="286" t="n">
        <v>3357.585</v>
      </c>
      <c r="H302" s="285" t="inlineStr">
        <is>
          <t>예측</t>
        </is>
      </c>
    </row>
    <row r="303">
      <c r="A303" s="342" t="n">
        <v>46339</v>
      </c>
      <c r="B303" s="285" t="n">
        <v>11</v>
      </c>
      <c r="C303" s="285" t="inlineStr">
        <is>
          <t>0008S0</t>
        </is>
      </c>
      <c r="D303" s="285" t="inlineStr">
        <is>
          <t>TIGER 미국배당다우존스타겟데일리커버드콜</t>
        </is>
      </c>
      <c r="E303" s="286" t="n">
        <v>267000</v>
      </c>
      <c r="F303" s="340" t="n"/>
      <c r="G303" s="286" t="n">
        <v>267000</v>
      </c>
      <c r="H303" s="285" t="inlineStr">
        <is>
          <t>예측</t>
        </is>
      </c>
    </row>
    <row r="304">
      <c r="A304" s="342" t="n">
        <v>46339</v>
      </c>
      <c r="B304" s="285" t="n">
        <v>11</v>
      </c>
      <c r="C304" s="285" t="n">
        <v>105560</v>
      </c>
      <c r="D304" s="285" t="inlineStr">
        <is>
          <t>KB금융</t>
        </is>
      </c>
      <c r="E304" s="286" t="n">
        <v>11160</v>
      </c>
      <c r="F304" s="340" t="n"/>
      <c r="G304" s="286" t="n">
        <v>11160</v>
      </c>
      <c r="H304" s="285" t="inlineStr">
        <is>
          <t>예측</t>
        </is>
      </c>
    </row>
    <row r="305">
      <c r="A305" s="342" t="n">
        <v>46339</v>
      </c>
      <c r="B305" s="285" t="n">
        <v>11</v>
      </c>
      <c r="C305" s="285" t="inlineStr">
        <is>
          <t>498400</t>
        </is>
      </c>
      <c r="D305" s="285" t="inlineStr">
        <is>
          <t>KODEX 200타켓위클리커버드콜</t>
        </is>
      </c>
      <c r="E305" s="286" t="n">
        <v>95648</v>
      </c>
      <c r="F305" s="340" t="n"/>
      <c r="G305" s="286" t="n">
        <v>95648</v>
      </c>
      <c r="H305" s="285" t="inlineStr">
        <is>
          <t>예측</t>
        </is>
      </c>
    </row>
    <row r="306">
      <c r="A306" s="342" t="n">
        <v>46340</v>
      </c>
      <c r="B306" s="285" t="n">
        <v>11</v>
      </c>
      <c r="C306" s="285" t="inlineStr">
        <is>
          <t>474220</t>
        </is>
      </c>
      <c r="D306" s="285" t="inlineStr">
        <is>
          <t>TIGER미국테크TOP10커버드콜</t>
        </is>
      </c>
      <c r="E306" s="286" t="n">
        <v>570000</v>
      </c>
      <c r="F306" s="340" t="n"/>
      <c r="G306" s="286" t="n">
        <v>570000</v>
      </c>
      <c r="H306" s="285" t="inlineStr">
        <is>
          <t>예측</t>
        </is>
      </c>
    </row>
    <row r="307">
      <c r="A307" s="342" t="n">
        <v>46340</v>
      </c>
      <c r="B307" s="285" t="n">
        <v>11</v>
      </c>
      <c r="C307" s="285" t="inlineStr">
        <is>
          <t>481060</t>
        </is>
      </c>
      <c r="D307" s="285" t="inlineStr">
        <is>
          <t>KODEX 미국30년국채타겟커버드콜(H)</t>
        </is>
      </c>
      <c r="E307" s="286" t="n">
        <v>278460</v>
      </c>
      <c r="F307" s="340" t="n"/>
      <c r="G307" s="286" t="n">
        <v>278460</v>
      </c>
      <c r="H307" s="285" t="inlineStr">
        <is>
          <t>예측</t>
        </is>
      </c>
    </row>
    <row r="308">
      <c r="A308" s="342" t="n">
        <v>46340</v>
      </c>
      <c r="B308" s="285" t="n">
        <v>11</v>
      </c>
      <c r="C308" s="285" t="inlineStr">
        <is>
          <t>490490</t>
        </is>
      </c>
      <c r="D308" s="285" t="inlineStr">
        <is>
          <t>SOL미국배당미국채혼합50</t>
        </is>
      </c>
      <c r="E308" s="286" t="n">
        <v>122272</v>
      </c>
      <c r="F308" s="340" t="n"/>
      <c r="G308" s="286" t="n">
        <v>122272</v>
      </c>
      <c r="H308" s="285" t="inlineStr">
        <is>
          <t>예측</t>
        </is>
      </c>
    </row>
    <row r="309">
      <c r="A309" s="342" t="n">
        <v>46340</v>
      </c>
      <c r="B309" s="285" t="n">
        <v>11</v>
      </c>
      <c r="C309" s="285" t="inlineStr">
        <is>
          <t>O</t>
        </is>
      </c>
      <c r="D309" s="285" t="inlineStr">
        <is>
          <t>리얼티인컴</t>
        </is>
      </c>
      <c r="E309" s="286" t="n"/>
      <c r="F309" s="340" t="n">
        <v>14.151</v>
      </c>
      <c r="G309" s="286" t="n">
        <v>20702.913</v>
      </c>
      <c r="H309" s="285" t="inlineStr">
        <is>
          <t>예측</t>
        </is>
      </c>
    </row>
    <row r="310">
      <c r="A310" s="342" t="n">
        <v>46340</v>
      </c>
      <c r="B310" s="285" t="n">
        <v>11</v>
      </c>
      <c r="C310" s="285" t="inlineStr">
        <is>
          <t>SBUX</t>
        </is>
      </c>
      <c r="D310" s="285" t="inlineStr">
        <is>
          <t>스타벅스</t>
        </is>
      </c>
      <c r="E310" s="286" t="n"/>
      <c r="F310" s="340" t="n">
        <v>1.23</v>
      </c>
      <c r="G310" s="286" t="n">
        <v>1799.49</v>
      </c>
      <c r="H310" s="285" t="inlineStr">
        <is>
          <t>예측</t>
        </is>
      </c>
    </row>
    <row r="311">
      <c r="A311" s="342" t="n">
        <v>46340</v>
      </c>
      <c r="B311" s="285" t="n">
        <v>11</v>
      </c>
      <c r="C311" s="285" t="inlineStr">
        <is>
          <t>XOM</t>
        </is>
      </c>
      <c r="D311" s="285" t="inlineStr">
        <is>
          <t>엑슨모빌</t>
        </is>
      </c>
      <c r="E311" s="286" t="n"/>
      <c r="F311" s="340" t="n">
        <v>1.01</v>
      </c>
      <c r="G311" s="286" t="n">
        <v>1477.63</v>
      </c>
      <c r="H311" s="285" t="inlineStr">
        <is>
          <t>예측</t>
        </is>
      </c>
    </row>
    <row r="312">
      <c r="A312" s="342" t="n">
        <v>46344</v>
      </c>
      <c r="B312" s="285" t="n">
        <v>11</v>
      </c>
      <c r="C312" s="285" t="inlineStr">
        <is>
          <t>CVX</t>
        </is>
      </c>
      <c r="D312" s="285" t="inlineStr">
        <is>
          <t>셰브론</t>
        </is>
      </c>
      <c r="E312" s="286" t="n"/>
      <c r="F312" s="340" t="n">
        <v>1.67</v>
      </c>
      <c r="G312" s="286" t="n">
        <v>2443.21</v>
      </c>
      <c r="H312" s="285" t="inlineStr">
        <is>
          <t>예측</t>
        </is>
      </c>
    </row>
    <row r="313">
      <c r="A313" s="342" t="n">
        <v>46346</v>
      </c>
      <c r="B313" s="285" t="n">
        <v>11</v>
      </c>
      <c r="C313" s="285" t="inlineStr">
        <is>
          <t>MSFT</t>
        </is>
      </c>
      <c r="D313" s="285" t="inlineStr">
        <is>
          <t>마이크로소프트</t>
        </is>
      </c>
      <c r="E313" s="286" t="n"/>
      <c r="F313" s="340" t="n">
        <v>1.74</v>
      </c>
      <c r="G313" s="286" t="n">
        <v>2545.62</v>
      </c>
      <c r="H313" s="285" t="inlineStr">
        <is>
          <t>예측</t>
        </is>
      </c>
    </row>
    <row r="314">
      <c r="A314" s="342" t="n">
        <v>46352</v>
      </c>
      <c r="B314" s="285" t="n">
        <v>11</v>
      </c>
      <c r="C314" s="285" t="inlineStr">
        <is>
          <t>TMUS</t>
        </is>
      </c>
      <c r="D314" s="285" t="inlineStr">
        <is>
          <t>T-모바일</t>
        </is>
      </c>
      <c r="E314" s="286" t="n"/>
      <c r="F314" s="340" t="n">
        <v>3.8</v>
      </c>
      <c r="G314" s="286" t="n">
        <v>5559.4</v>
      </c>
      <c r="H314" s="285" t="inlineStr">
        <is>
          <t>예측</t>
        </is>
      </c>
    </row>
    <row r="315">
      <c r="A315" s="342" t="n">
        <v>46353</v>
      </c>
      <c r="B315" s="285" t="n">
        <v>11</v>
      </c>
      <c r="C315" s="285" t="inlineStr">
        <is>
          <t>005389</t>
        </is>
      </c>
      <c r="D315" s="285" t="inlineStr">
        <is>
          <t>현대차3우B</t>
        </is>
      </c>
      <c r="E315" s="286" t="n">
        <v>32500</v>
      </c>
      <c r="F315" s="340" t="n"/>
      <c r="G315" s="286" t="n">
        <v>32500</v>
      </c>
      <c r="H315" s="285" t="inlineStr">
        <is>
          <t>예측</t>
        </is>
      </c>
    </row>
    <row r="316">
      <c r="A316" s="342" t="n">
        <v>46353</v>
      </c>
      <c r="B316" s="285" t="n">
        <v>11</v>
      </c>
      <c r="C316" s="285" t="inlineStr">
        <is>
          <t>472170</t>
        </is>
      </c>
      <c r="D316" s="285" t="inlineStr">
        <is>
          <t>TIGER 미국테크TOP10채권혼합</t>
        </is>
      </c>
      <c r="E316" s="286" t="n">
        <v>100521</v>
      </c>
      <c r="F316" s="340" t="n"/>
      <c r="G316" s="286" t="n">
        <v>100521</v>
      </c>
      <c r="H316" s="285" t="inlineStr">
        <is>
          <t>예측</t>
        </is>
      </c>
    </row>
    <row r="317">
      <c r="A317" s="342" t="n">
        <v>46353</v>
      </c>
      <c r="B317" s="285" t="n">
        <v>11</v>
      </c>
      <c r="C317" s="285" t="inlineStr">
        <is>
          <t>498410</t>
        </is>
      </c>
      <c r="D317" s="285" t="inlineStr">
        <is>
          <t>KODEX금융고배당TOP10타겟위클리커버드콜</t>
        </is>
      </c>
      <c r="E317" s="286" t="n">
        <v>366058</v>
      </c>
      <c r="F317" s="340" t="n"/>
      <c r="G317" s="286" t="n">
        <v>366058</v>
      </c>
      <c r="H317" s="285" t="inlineStr">
        <is>
          <t>예측</t>
        </is>
      </c>
    </row>
    <row r="318">
      <c r="A318" s="342" t="n">
        <v>46354</v>
      </c>
      <c r="B318" s="285" t="n">
        <v>11</v>
      </c>
      <c r="C318" s="285" t="inlineStr">
        <is>
          <t>329200</t>
        </is>
      </c>
      <c r="D318" s="285" t="inlineStr">
        <is>
          <t>TIGER리츠부동산인프라</t>
        </is>
      </c>
      <c r="E318" s="286" t="n">
        <v>107500</v>
      </c>
      <c r="F318" s="340" t="n"/>
      <c r="G318" s="286" t="n">
        <v>107500</v>
      </c>
      <c r="H318" s="285" t="inlineStr">
        <is>
          <t>예측</t>
        </is>
      </c>
    </row>
    <row r="319">
      <c r="A319" s="342" t="n">
        <v>46354</v>
      </c>
      <c r="B319" s="285" t="n">
        <v>11</v>
      </c>
      <c r="C319" s="285" t="inlineStr">
        <is>
          <t>433330</t>
        </is>
      </c>
      <c r="D319" s="285" t="inlineStr">
        <is>
          <t>SOL 미국 S&amp;P500</t>
        </is>
      </c>
      <c r="E319" s="286" t="n">
        <v>21928</v>
      </c>
      <c r="F319" s="340" t="n"/>
      <c r="G319" s="286" t="n">
        <v>21928</v>
      </c>
      <c r="H319" s="285" t="inlineStr">
        <is>
          <t>예측</t>
        </is>
      </c>
    </row>
    <row r="320">
      <c r="A320" s="342" t="n">
        <v>46354</v>
      </c>
      <c r="B320" s="285" t="n">
        <v>11</v>
      </c>
      <c r="C320" s="285" t="inlineStr">
        <is>
          <t>446720</t>
        </is>
      </c>
      <c r="D320" s="285" t="inlineStr">
        <is>
          <t>SOL 미국배당다우존스</t>
        </is>
      </c>
      <c r="E320" s="286" t="n">
        <v>53865</v>
      </c>
      <c r="F320" s="340" t="n"/>
      <c r="G320" s="286" t="n">
        <v>53865</v>
      </c>
      <c r="H320" s="285" t="inlineStr">
        <is>
          <t>예측</t>
        </is>
      </c>
    </row>
    <row r="321">
      <c r="A321" s="342" t="n">
        <v>46354</v>
      </c>
      <c r="B321" s="285" t="n">
        <v>11</v>
      </c>
      <c r="C321" s="285" t="inlineStr">
        <is>
          <t>458760</t>
        </is>
      </c>
      <c r="D321" s="285" t="inlineStr">
        <is>
          <t>TIGER 미배당다우커버드콜2호</t>
        </is>
      </c>
      <c r="E321" s="286" t="n">
        <v>1435506</v>
      </c>
      <c r="F321" s="340" t="n"/>
      <c r="G321" s="286" t="n">
        <v>1435506</v>
      </c>
      <c r="H321" s="285" t="inlineStr">
        <is>
          <t>예측</t>
        </is>
      </c>
    </row>
    <row r="322">
      <c r="A322" s="342" t="n">
        <v>46354</v>
      </c>
      <c r="B322" s="285" t="n">
        <v>11</v>
      </c>
      <c r="C322" s="285" t="inlineStr">
        <is>
          <t>468380</t>
        </is>
      </c>
      <c r="D322" s="285" t="inlineStr">
        <is>
          <t>KODEX iShares미국하이일드액티브</t>
        </is>
      </c>
      <c r="E322" s="286" t="n">
        <v>124000</v>
      </c>
      <c r="F322" s="340" t="n"/>
      <c r="G322" s="286" t="n">
        <v>124000</v>
      </c>
      <c r="H322" s="285" t="inlineStr">
        <is>
          <t>예측</t>
        </is>
      </c>
    </row>
    <row r="323">
      <c r="A323" s="342" t="n">
        <v>46354</v>
      </c>
      <c r="B323" s="285" t="n">
        <v>11</v>
      </c>
      <c r="C323" s="285" t="inlineStr">
        <is>
          <t>473330</t>
        </is>
      </c>
      <c r="D323" s="285" t="inlineStr">
        <is>
          <t>SOL 미국 30년국채커버드콜(합성)</t>
        </is>
      </c>
      <c r="E323" s="286" t="n">
        <v>108000</v>
      </c>
      <c r="F323" s="340" t="n"/>
      <c r="G323" s="286" t="n">
        <v>108000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475380</t>
        </is>
      </c>
      <c r="D324" s="285" t="inlineStr">
        <is>
          <t>RISE 글로벌리얼티인컴</t>
        </is>
      </c>
      <c r="E324" s="286" t="n">
        <v>3737</v>
      </c>
      <c r="F324" s="340" t="n"/>
      <c r="G324" s="286" t="n">
        <v>3737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476550</t>
        </is>
      </c>
      <c r="D325" s="285" t="inlineStr">
        <is>
          <t>TIGER 미국30년국채커버드콜액티브(H)</t>
        </is>
      </c>
      <c r="E325" s="286" t="n">
        <v>37066</v>
      </c>
      <c r="F325" s="340" t="n"/>
      <c r="G325" s="286" t="n">
        <v>37066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476690</t>
        </is>
      </c>
      <c r="D326" s="285" t="inlineStr">
        <is>
          <t>TIGER 글로벌비만치료제 TOP2 Plus</t>
        </is>
      </c>
      <c r="E326" s="286" t="n">
        <v>1200</v>
      </c>
      <c r="F326" s="340" t="n"/>
      <c r="G326" s="286" t="n">
        <v>1200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482730</t>
        </is>
      </c>
      <c r="D327" s="285" t="inlineStr">
        <is>
          <t>미국S&amp;P500타겟데일리커버드콜</t>
        </is>
      </c>
      <c r="E327" s="286" t="n">
        <v>40800</v>
      </c>
      <c r="F327" s="340" t="n"/>
      <c r="G327" s="286" t="n">
        <v>40800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483280</t>
        </is>
      </c>
      <c r="D328" s="285" t="inlineStr">
        <is>
          <t>KODEX 미국AI테크TOP10타겟커버드콜</t>
        </is>
      </c>
      <c r="E328" s="286" t="n">
        <v>329448</v>
      </c>
      <c r="F328" s="340" t="n"/>
      <c r="G328" s="286" t="n">
        <v>329448</v>
      </c>
      <c r="H328" s="285" t="inlineStr">
        <is>
          <t>예측</t>
        </is>
      </c>
    </row>
    <row r="329">
      <c r="A329" s="342" t="n">
        <v>46358</v>
      </c>
      <c r="B329" s="285" t="n">
        <v>12</v>
      </c>
      <c r="C329" s="285" t="inlineStr">
        <is>
          <t>NKE</t>
        </is>
      </c>
      <c r="D329" s="285" t="inlineStr">
        <is>
          <t>나이키</t>
        </is>
      </c>
      <c r="E329" s="286" t="n"/>
      <c r="F329" s="340" t="n">
        <v>4.05</v>
      </c>
      <c r="G329" s="286" t="n">
        <v>5925.15</v>
      </c>
      <c r="H329" s="285" t="inlineStr">
        <is>
          <t>예측</t>
        </is>
      </c>
    </row>
    <row r="330">
      <c r="A330" s="342" t="n">
        <v>46366</v>
      </c>
      <c r="B330" s="285" t="n">
        <v>12</v>
      </c>
      <c r="C330" s="285" t="inlineStr">
        <is>
          <t>SCHD</t>
        </is>
      </c>
      <c r="D330" s="285" t="inlineStr">
        <is>
          <t>SCHD</t>
        </is>
      </c>
      <c r="E330" s="286" t="n"/>
      <c r="F330" s="340" t="n">
        <v>6.516</v>
      </c>
      <c r="G330" s="286" t="n">
        <v>9532.907999999999</v>
      </c>
      <c r="H330" s="285" t="inlineStr">
        <is>
          <t>예측</t>
        </is>
      </c>
    </row>
    <row r="331">
      <c r="A331" s="342" t="n">
        <v>46368</v>
      </c>
      <c r="B331" s="285" t="n">
        <v>12</v>
      </c>
      <c r="C331" s="285" t="inlineStr">
        <is>
          <t>0008S0</t>
        </is>
      </c>
      <c r="D331" s="285" t="inlineStr">
        <is>
          <t>TIGER 미국배당다우존스타겟데일리커버드콜</t>
        </is>
      </c>
      <c r="E331" s="286" t="n">
        <v>273000</v>
      </c>
      <c r="F331" s="340" t="n"/>
      <c r="G331" s="286" t="n">
        <v>273000</v>
      </c>
      <c r="H331" s="285" t="inlineStr">
        <is>
          <t>예측</t>
        </is>
      </c>
    </row>
    <row r="332">
      <c r="A332" s="342" t="n">
        <v>46368</v>
      </c>
      <c r="B332" s="285" t="n">
        <v>12</v>
      </c>
      <c r="C332" s="285" t="inlineStr">
        <is>
          <t>474220</t>
        </is>
      </c>
      <c r="D332" s="285" t="inlineStr">
        <is>
          <t>TIGER미국테크TOP10커버드콜</t>
        </is>
      </c>
      <c r="E332" s="286" t="n">
        <v>581400</v>
      </c>
      <c r="F332" s="340" t="n"/>
      <c r="G332" s="286" t="n">
        <v>581400</v>
      </c>
      <c r="H332" s="285" t="inlineStr">
        <is>
          <t>예측</t>
        </is>
      </c>
    </row>
    <row r="333">
      <c r="A333" s="342" t="n">
        <v>46368</v>
      </c>
      <c r="B333" s="285" t="n">
        <v>12</v>
      </c>
      <c r="C333" s="285" t="inlineStr">
        <is>
          <t>481060</t>
        </is>
      </c>
      <c r="D333" s="285" t="inlineStr">
        <is>
          <t>KODEX 미국30년국채타겟커버드콜(H)</t>
        </is>
      </c>
      <c r="E333" s="286" t="n">
        <v>278460</v>
      </c>
      <c r="F333" s="340" t="n"/>
      <c r="G333" s="286" t="n">
        <v>278460</v>
      </c>
      <c r="H333" s="285" t="inlineStr">
        <is>
          <t>예측</t>
        </is>
      </c>
    </row>
    <row r="334">
      <c r="A334" s="342" t="n">
        <v>46368</v>
      </c>
      <c r="B334" s="285" t="n">
        <v>12</v>
      </c>
      <c r="C334" s="285" t="inlineStr">
        <is>
          <t>490490</t>
        </is>
      </c>
      <c r="D334" s="285" t="inlineStr">
        <is>
          <t>SOL미국배당미국채혼합50</t>
        </is>
      </c>
      <c r="E334" s="286" t="n">
        <v>114630</v>
      </c>
      <c r="F334" s="340" t="n"/>
      <c r="G334" s="286" t="n">
        <v>114630</v>
      </c>
      <c r="H334" s="285" t="inlineStr">
        <is>
          <t>예측</t>
        </is>
      </c>
    </row>
    <row r="335">
      <c r="A335" s="342" t="n">
        <v>46368</v>
      </c>
      <c r="B335" s="285" t="n">
        <v>12</v>
      </c>
      <c r="C335" s="285" t="inlineStr">
        <is>
          <t>498400</t>
        </is>
      </c>
      <c r="D335" s="285" t="inlineStr">
        <is>
          <t>KODEX 200타켓위클리커버드콜</t>
        </is>
      </c>
      <c r="E335" s="286" t="n">
        <v>95648</v>
      </c>
      <c r="F335" s="340" t="n"/>
      <c r="G335" s="286" t="n">
        <v>95648</v>
      </c>
      <c r="H335" s="285" t="inlineStr">
        <is>
          <t>예측</t>
        </is>
      </c>
    </row>
    <row r="336">
      <c r="A336" s="342" t="n">
        <v>46368</v>
      </c>
      <c r="B336" s="285" t="n">
        <v>12</v>
      </c>
      <c r="C336" s="285" t="inlineStr">
        <is>
          <t>TSM</t>
        </is>
      </c>
      <c r="D336" s="285" t="inlineStr">
        <is>
          <t>TSMC</t>
        </is>
      </c>
      <c r="E336" s="286" t="n"/>
      <c r="F336" s="340" t="n">
        <v>0.7255</v>
      </c>
      <c r="G336" s="286" t="n">
        <v>1061.4065</v>
      </c>
      <c r="H336" s="285" t="inlineStr">
        <is>
          <t>예측</t>
        </is>
      </c>
    </row>
    <row r="337">
      <c r="A337" s="342" t="n">
        <v>46372</v>
      </c>
      <c r="B337" s="285" t="n">
        <v>12</v>
      </c>
      <c r="C337" s="285" t="inlineStr">
        <is>
          <t>O</t>
        </is>
      </c>
      <c r="D337" s="285" t="inlineStr">
        <is>
          <t>리얼티인컴</t>
        </is>
      </c>
      <c r="E337" s="286" t="n"/>
      <c r="F337" s="340" t="n">
        <v>14.151</v>
      </c>
      <c r="G337" s="286" t="n">
        <v>20702.913</v>
      </c>
      <c r="H337" s="285" t="inlineStr">
        <is>
          <t>예측</t>
        </is>
      </c>
    </row>
    <row r="338">
      <c r="A338" s="342" t="n">
        <v>46380</v>
      </c>
      <c r="B338" s="285" t="n">
        <v>12</v>
      </c>
      <c r="C338" s="285" t="inlineStr">
        <is>
          <t>QLD</t>
        </is>
      </c>
      <c r="D338" s="285" t="inlineStr">
        <is>
          <t>QLD</t>
        </is>
      </c>
      <c r="E338" s="286" t="n"/>
      <c r="F338" s="340" t="n">
        <v>0.749</v>
      </c>
      <c r="G338" s="286" t="n">
        <v>1095.787</v>
      </c>
      <c r="H338" s="285" t="inlineStr">
        <is>
          <t>예측</t>
        </is>
      </c>
    </row>
    <row r="339">
      <c r="A339" s="342" t="n">
        <v>46383</v>
      </c>
      <c r="B339" s="285" t="n">
        <v>12</v>
      </c>
      <c r="C339" s="285" t="inlineStr">
        <is>
          <t>472170</t>
        </is>
      </c>
      <c r="D339" s="285" t="inlineStr">
        <is>
          <t>TIGER 미국테크TOP10채권혼합</t>
        </is>
      </c>
      <c r="E339" s="286" t="n">
        <v>473040</v>
      </c>
      <c r="F339" s="340" t="n"/>
      <c r="G339" s="286" t="n">
        <v>473040</v>
      </c>
      <c r="H339" s="285" t="inlineStr">
        <is>
          <t>예측</t>
        </is>
      </c>
    </row>
    <row r="340">
      <c r="A340" s="342" t="n">
        <v>46384</v>
      </c>
      <c r="B340" s="285" t="n">
        <v>12</v>
      </c>
      <c r="C340" s="285" t="inlineStr">
        <is>
          <t>005930</t>
        </is>
      </c>
      <c r="D340" s="285" t="inlineStr">
        <is>
          <t>삼성전자</t>
        </is>
      </c>
      <c r="E340" s="286" t="n">
        <v>45986</v>
      </c>
      <c r="F340" s="340" t="n"/>
      <c r="G340" s="286" t="n">
        <v>45986</v>
      </c>
      <c r="H340" s="285" t="inlineStr">
        <is>
          <t>예측</t>
        </is>
      </c>
    </row>
    <row r="341">
      <c r="A341" s="342" t="n">
        <v>46384</v>
      </c>
      <c r="B341" s="285" t="n">
        <v>12</v>
      </c>
      <c r="C341" s="285" t="inlineStr">
        <is>
          <t>329200</t>
        </is>
      </c>
      <c r="D341" s="285" t="inlineStr">
        <is>
          <t>TIGER리츠부동산인프라</t>
        </is>
      </c>
      <c r="E341" s="286" t="n">
        <v>120000</v>
      </c>
      <c r="F341" s="340" t="n"/>
      <c r="G341" s="286" t="n">
        <v>120000</v>
      </c>
      <c r="H341" s="285" t="inlineStr">
        <is>
          <t>예측</t>
        </is>
      </c>
    </row>
    <row r="342">
      <c r="A342" s="342" t="n">
        <v>46384</v>
      </c>
      <c r="B342" s="285" t="n">
        <v>12</v>
      </c>
      <c r="C342" s="285" t="inlineStr">
        <is>
          <t>433330</t>
        </is>
      </c>
      <c r="D342" s="285" t="inlineStr">
        <is>
          <t>SOL 미국 S&amp;P500</t>
        </is>
      </c>
      <c r="E342" s="286" t="n">
        <v>22554</v>
      </c>
      <c r="F342" s="340" t="n"/>
      <c r="G342" s="286" t="n">
        <v>22554</v>
      </c>
      <c r="H342" s="285" t="inlineStr">
        <is>
          <t>예측</t>
        </is>
      </c>
    </row>
    <row r="343">
      <c r="A343" s="342" t="n">
        <v>46384</v>
      </c>
      <c r="B343" s="285" t="n">
        <v>12</v>
      </c>
      <c r="C343" s="285" t="inlineStr">
        <is>
          <t>446720</t>
        </is>
      </c>
      <c r="D343" s="285" t="inlineStr">
        <is>
          <t>SOL 미국배당다우존스</t>
        </is>
      </c>
      <c r="E343" s="286" t="n">
        <v>47880</v>
      </c>
      <c r="F343" s="340" t="n"/>
      <c r="G343" s="286" t="n">
        <v>47880</v>
      </c>
      <c r="H343" s="285" t="inlineStr">
        <is>
          <t>예측</t>
        </is>
      </c>
    </row>
    <row r="344">
      <c r="A344" s="342" t="n">
        <v>46384</v>
      </c>
      <c r="B344" s="285" t="n">
        <v>12</v>
      </c>
      <c r="C344" s="285" t="inlineStr">
        <is>
          <t>458760</t>
        </is>
      </c>
      <c r="D344" s="285" t="inlineStr">
        <is>
          <t>TIGER 미배당다우커버드콜2호</t>
        </is>
      </c>
      <c r="E344" s="286" t="n">
        <v>1412476</v>
      </c>
      <c r="F344" s="340" t="n"/>
      <c r="G344" s="286" t="n">
        <v>1412476</v>
      </c>
      <c r="H344" s="285" t="inlineStr">
        <is>
          <t>예측</t>
        </is>
      </c>
    </row>
    <row r="345">
      <c r="A345" s="342" t="n">
        <v>46384</v>
      </c>
      <c r="B345" s="285" t="n">
        <v>12</v>
      </c>
      <c r="C345" s="285" t="inlineStr">
        <is>
          <t>468380</t>
        </is>
      </c>
      <c r="D345" s="285" t="inlineStr">
        <is>
          <t>KODEX iShares미국하이일드액티브</t>
        </is>
      </c>
      <c r="E345" s="286" t="n">
        <v>133000</v>
      </c>
      <c r="F345" s="340" t="n"/>
      <c r="G345" s="286" t="n">
        <v>133000</v>
      </c>
      <c r="H345" s="285" t="inlineStr">
        <is>
          <t>예측</t>
        </is>
      </c>
    </row>
    <row r="346">
      <c r="A346" s="342" t="n">
        <v>46384</v>
      </c>
      <c r="B346" s="285" t="n">
        <v>12</v>
      </c>
      <c r="C346" s="285" t="inlineStr">
        <is>
          <t>473330</t>
        </is>
      </c>
      <c r="D346" s="285" t="inlineStr">
        <is>
          <t>SOL 미국 30년국채커버드콜(합성)</t>
        </is>
      </c>
      <c r="E346" s="286" t="n">
        <v>129600</v>
      </c>
      <c r="F346" s="340" t="n"/>
      <c r="G346" s="286" t="n">
        <v>129600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475380</t>
        </is>
      </c>
      <c r="D347" s="285" t="inlineStr">
        <is>
          <t>RISE 글로벌리얼티인컴</t>
        </is>
      </c>
      <c r="E347" s="286" t="n">
        <v>3737</v>
      </c>
      <c r="F347" s="340" t="n"/>
      <c r="G347" s="286" t="n">
        <v>3737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476550</t>
        </is>
      </c>
      <c r="D348" s="285" t="inlineStr">
        <is>
          <t>TIGER 미국30년국채커버드콜액티브(H)</t>
        </is>
      </c>
      <c r="E348" s="286" t="n">
        <v>34911</v>
      </c>
      <c r="F348" s="340" t="n"/>
      <c r="G348" s="286" t="n">
        <v>34911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476690</t>
        </is>
      </c>
      <c r="D349" s="285" t="inlineStr">
        <is>
          <t>TIGER 글로벌비만치료제 TOP2 Plus</t>
        </is>
      </c>
      <c r="E349" s="286" t="n">
        <v>1350</v>
      </c>
      <c r="F349" s="340" t="n"/>
      <c r="G349" s="286" t="n">
        <v>1350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482730</t>
        </is>
      </c>
      <c r="D350" s="285" t="inlineStr">
        <is>
          <t>미국S&amp;P500타겟데일리커버드콜</t>
        </is>
      </c>
      <c r="E350" s="286" t="n">
        <v>41650</v>
      </c>
      <c r="F350" s="340" t="n"/>
      <c r="G350" s="286" t="n">
        <v>41650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483280</t>
        </is>
      </c>
      <c r="D351" s="285" t="inlineStr">
        <is>
          <t>KODEX 미국AI테크TOP10타겟커버드콜</t>
        </is>
      </c>
      <c r="E351" s="286" t="n">
        <v>342804</v>
      </c>
      <c r="F351" s="340" t="n"/>
      <c r="G351" s="286" t="n">
        <v>342804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AMT</t>
        </is>
      </c>
      <c r="D352" s="285" t="inlineStr">
        <is>
          <t>아메리칸타워</t>
        </is>
      </c>
      <c r="E352" s="286" t="n"/>
      <c r="F352" s="340" t="n">
        <v>8.300000000000001</v>
      </c>
      <c r="G352" s="286" t="n">
        <v>12142.9</v>
      </c>
      <c r="H352" s="285" t="inlineStr">
        <is>
          <t>예측</t>
        </is>
      </c>
    </row>
    <row r="353">
      <c r="A353" s="342" t="n">
        <v>46385</v>
      </c>
      <c r="B353" s="285" t="n">
        <v>12</v>
      </c>
      <c r="C353" s="285" t="inlineStr">
        <is>
          <t>381170</t>
        </is>
      </c>
      <c r="D353" s="285" t="inlineStr">
        <is>
          <t>TIGER 미국테크TOP10 INDXX</t>
        </is>
      </c>
      <c r="E353" s="286" t="n">
        <v>24871</v>
      </c>
      <c r="F353" s="340" t="n"/>
      <c r="G353" s="286" t="n">
        <v>24871</v>
      </c>
      <c r="H353" s="285" t="inlineStr">
        <is>
          <t>예측</t>
        </is>
      </c>
    </row>
    <row r="354">
      <c r="A354" s="342" t="n">
        <v>46385</v>
      </c>
      <c r="B354" s="285" t="n">
        <v>12</v>
      </c>
      <c r="C354" s="285" t="inlineStr">
        <is>
          <t>438100</t>
        </is>
      </c>
      <c r="D354" s="285" t="inlineStr">
        <is>
          <t>ACE미국나스닥100미국채혼합50액티브</t>
        </is>
      </c>
      <c r="E354" s="286" t="n">
        <v>228672</v>
      </c>
      <c r="F354" s="340" t="n"/>
      <c r="G354" s="286" t="n">
        <v>228672</v>
      </c>
      <c r="H354" s="285" t="inlineStr">
        <is>
          <t>예측</t>
        </is>
      </c>
    </row>
    <row r="355">
      <c r="A355" s="342" t="n">
        <v>46385</v>
      </c>
      <c r="B355" s="285" t="n">
        <v>12</v>
      </c>
      <c r="C355" s="285" t="inlineStr">
        <is>
          <t>457480</t>
        </is>
      </c>
      <c r="D355" s="285" t="inlineStr">
        <is>
          <t>ACE테슬라밸류체인액티브</t>
        </is>
      </c>
      <c r="E355" s="286" t="n">
        <v>173375</v>
      </c>
      <c r="F355" s="340" t="n"/>
      <c r="G355" s="286" t="n">
        <v>173375</v>
      </c>
      <c r="H355" s="285" t="inlineStr">
        <is>
          <t>예측</t>
        </is>
      </c>
    </row>
    <row r="356">
      <c r="A356" s="342" t="n">
        <v>46385</v>
      </c>
      <c r="B356" s="285" t="n">
        <v>12</v>
      </c>
      <c r="C356" s="285" t="inlineStr">
        <is>
          <t>498410</t>
        </is>
      </c>
      <c r="D356" s="285" t="inlineStr">
        <is>
          <t>KODEX금융고배당TOP10타겟위클리커버드콜</t>
        </is>
      </c>
      <c r="E356" s="286" t="n">
        <v>361304</v>
      </c>
      <c r="F356" s="340" t="n"/>
      <c r="G356" s="286" t="n">
        <v>361304</v>
      </c>
      <c r="H356" s="285" t="inlineStr">
        <is>
          <t>예측</t>
        </is>
      </c>
    </row>
  </sheetData>
  <autoFilter ref="A43:H35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2026-07-28T06:04:33Z</dcterms:modified>
  <cp:lastModifiedBy>조효진 (상담심리)</cp:lastModifiedBy>
</cp:coreProperties>
</file>