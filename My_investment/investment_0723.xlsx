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￦1,466</t>
        </is>
      </c>
      <c r="J5" s="73" t="n">
        <v>1466.38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11390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11545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10250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12095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13880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11615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7505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4072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27745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15045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11390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11935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14025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22545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12305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31855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27020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11390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15045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18305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8650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142100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14545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6967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12640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193900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9385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11305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11120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259500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259500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21055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319.6900024414062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64.72000122070312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34.06999969482422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321.6600036621094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21300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210500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85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167600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208500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8870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71500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118.2399978637695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164.6499938964844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208.7599945068359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32.79999923706055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381.5799865722656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170.4199981689453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48.18000030517578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123.370002746582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69.98999786376953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8.149999618530273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40.9900016784668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415.5799865722656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161.1600036621094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170.7799987792969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120.0400009155273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7.539999961853027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103.2099990844727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8.810000419616699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13990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44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15845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185280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31000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22545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194.4199981689453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156.8899993896484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108.4000015258789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8" t="n">
        <v>2</v>
      </c>
      <c r="B21" s="278">
        <f>IFERROR(INDEX('계좌현황'!A:A,INDEX($L$20:$L$96,MATCH(LARGE($N$20:$N$96,2),$N$20:$N$96,0))),"")</f>
        <v/>
      </c>
      <c r="C21" s="278">
        <f>IFERROR(INDEX('계좌현황'!C:C,INDEX($L$20:$L$96,MATCH(LARGE($N$20:$N$96,2),$N$20:$N$96,0))),"")</f>
        <v/>
      </c>
      <c r="D21" s="278">
        <f>IFERROR(INDEX('계좌현황'!D:D,INDEX($L$20:$L$96,MATCH(LARGE($N$20:$N$96,2),$N$20:$N$96,0))),"")</f>
        <v/>
      </c>
      <c r="E21" s="278">
        <f>IFERROR(INDEX('계좌현황'!E:E,INDEX($L$20:$L$96,MATCH(LARGE($N$20:$N$96,2),$N$20:$N$96,0))),"")</f>
        <v/>
      </c>
      <c r="F21" s="308">
        <f>IFERROR(INDEX('계좌현황'!F:F,INDEX($L$20:$L$96,MATCH(LARGE($N$20:$N$96,2),$N$20:$N$96,0))),"")</f>
        <v/>
      </c>
      <c r="G21" s="309">
        <f>IFERROR(INDEX('계좌현황'!K:K,INDEX($L$20:$L$96,MATCH(LARGE($N$20:$N$96,2),$N$20:$N$96,0))),0)</f>
        <v/>
      </c>
      <c r="H21" s="310">
        <f>IF($B$3=0,0,G21/$B$3)</f>
        <v/>
      </c>
      <c r="I21" s="310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8" t="n">
        <v>3</v>
      </c>
      <c r="B22" s="278">
        <f>IFERROR(INDEX('계좌현황'!A:A,INDEX($L$20:$L$96,MATCH(LARGE($N$20:$N$96,3),$N$20:$N$96,0))),"")</f>
        <v/>
      </c>
      <c r="C22" s="278">
        <f>IFERROR(INDEX('계좌현황'!C:C,INDEX($L$20:$L$96,MATCH(LARGE($N$20:$N$96,3),$N$20:$N$96,0))),"")</f>
        <v/>
      </c>
      <c r="D22" s="278">
        <f>IFERROR(INDEX('계좌현황'!D:D,INDEX($L$20:$L$96,MATCH(LARGE($N$20:$N$96,3),$N$20:$N$96,0))),"")</f>
        <v/>
      </c>
      <c r="E22" s="278">
        <f>IFERROR(INDEX('계좌현황'!E:E,INDEX($L$20:$L$96,MATCH(LARGE($N$20:$N$96,3),$N$20:$N$96,0))),"")</f>
        <v/>
      </c>
      <c r="F22" s="308">
        <f>IFERROR(INDEX('계좌현황'!F:F,INDEX($L$20:$L$96,MATCH(LARGE($N$20:$N$96,3),$N$20:$N$96,0))),"")</f>
        <v/>
      </c>
      <c r="G22" s="309">
        <f>IFERROR(INDEX('계좌현황'!K:K,INDEX($L$20:$L$96,MATCH(LARGE($N$20:$N$96,3),$N$20:$N$96,0))),0)</f>
        <v/>
      </c>
      <c r="H22" s="310">
        <f>IF($B$3=0,0,G22/$B$3)</f>
        <v/>
      </c>
      <c r="I22" s="310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IFERROR(INDEX('계좌현황'!A:A,INDEX($L$20:$L$96,MATCH(LARGE($N$20:$N$96,7),$N$20:$N$96,0))),"")</f>
        <v/>
      </c>
      <c r="C26" s="278">
        <f>IFERROR(INDEX('계좌현황'!C:C,INDEX($L$20:$L$96,MATCH(LARGE($N$20:$N$96,7),$N$20:$N$96,0))),"")</f>
        <v/>
      </c>
      <c r="D26" s="278">
        <f>IFERROR(INDEX('계좌현황'!D:D,INDEX($L$20:$L$96,MATCH(LARGE($N$20:$N$96,7),$N$20:$N$96,0))),"")</f>
        <v/>
      </c>
      <c r="E26" s="278">
        <f>IFERROR(INDEX('계좌현황'!E:E,INDEX($L$20:$L$96,MATCH(LARGE($N$20:$N$96,7),$N$20:$N$96,0))),"")</f>
        <v/>
      </c>
      <c r="F26" s="308">
        <f>IFERROR(INDEX('계좌현황'!F:F,INDEX($L$20:$L$96,MATCH(LARGE($N$20:$N$96,7),$N$20:$N$96,0))),"")</f>
        <v/>
      </c>
      <c r="G26" s="309">
        <f>IFERROR(INDEX('계좌현황'!K:K,INDEX($L$20:$L$96,MATCH(LARGE($N$20:$N$96,7),$N$20:$N$96,0))),0)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5" t="n">
        <v>10</v>
      </c>
      <c r="B29" s="275">
        <f>IFERROR(INDEX('계좌현황'!A:A,INDEX($L$20:$L$96,MATCH(LARGE($N$20:$N$96,10),$N$20:$N$96,0))),"")</f>
        <v/>
      </c>
      <c r="C29" s="275">
        <f>IFERROR(INDEX('계좌현황'!C:C,INDEX($L$20:$L$96,MATCH(LARGE($N$20:$N$96,10),$N$20:$N$96,0))),"")</f>
        <v/>
      </c>
      <c r="D29" s="275">
        <f>IFERROR(INDEX('계좌현황'!D:D,INDEX($L$20:$L$96,MATCH(LARGE($N$20:$N$96,10),$N$20:$N$96,0))),"")</f>
        <v/>
      </c>
      <c r="E29" s="275">
        <f>IFERROR(INDEX('계좌현황'!E:E,INDEX($L$20:$L$96,MATCH(LARGE($N$20:$N$96,10),$N$20:$N$96,0))),"")</f>
        <v/>
      </c>
      <c r="F29" s="305">
        <f>IFERROR(INDEX('계좌현황'!F:F,INDEX($L$20:$L$96,MATCH(LARGE($N$20:$N$96,10),$N$20:$N$96,0))),"")</f>
        <v/>
      </c>
      <c r="G29" s="306">
        <f>IFERROR(INDEX('계좌현황'!K:K,INDEX($L$20:$L$96,MATCH(LARGE($N$20:$N$96,10),$N$20:$N$96,0))),0)</f>
        <v/>
      </c>
      <c r="H29" s="307">
        <f>IF($B$3=0,0,G29/$B$3)</f>
        <v/>
      </c>
      <c r="I29" s="307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4" t="n">
        <v>11</v>
      </c>
      <c r="B30" s="284">
        <f>IFERROR(INDEX('계좌현황'!A:A,INDEX($L$20:$L$96,MATCH(LARGE($N$20:$N$96,11),$N$20:$N$96,0))),"")</f>
        <v/>
      </c>
      <c r="C30" s="284">
        <f>IFERROR(INDEX('계좌현황'!C:C,INDEX($L$20:$L$96,MATCH(LARGE($N$20:$N$96,11),$N$20:$N$96,0))),"")</f>
        <v/>
      </c>
      <c r="D30" s="284">
        <f>IFERROR(INDEX('계좌현황'!D:D,INDEX($L$20:$L$96,MATCH(LARGE($N$20:$N$96,11),$N$20:$N$96,0))),"")</f>
        <v/>
      </c>
      <c r="E30" s="284">
        <f>IFERROR(INDEX('계좌현황'!E:E,INDEX($L$20:$L$96,MATCH(LARGE($N$20:$N$96,11),$N$20:$N$96,0))),"")</f>
        <v/>
      </c>
      <c r="F30" s="314">
        <f>IFERROR(INDEX('계좌현황'!F:F,INDEX($L$20:$L$96,MATCH(LARGE($N$20:$N$96,11),$N$20:$N$96,0))),"")</f>
        <v/>
      </c>
      <c r="G30" s="315">
        <f>IFERROR(INDEX('계좌현황'!K:K,INDEX($L$20:$L$96,MATCH(LARGE($N$20:$N$96,11),$N$20:$N$96,0))),0)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5" t="n">
        <v>12</v>
      </c>
      <c r="B31" s="275">
        <f>IFERROR(INDEX('계좌현황'!A:A,INDEX($L$20:$L$96,MATCH(LARGE($N$20:$N$96,12),$N$20:$N$96,0))),"")</f>
        <v/>
      </c>
      <c r="C31" s="275">
        <f>IFERROR(INDEX('계좌현황'!C:C,INDEX($L$20:$L$96,MATCH(LARGE($N$20:$N$96,12),$N$20:$N$96,0))),"")</f>
        <v/>
      </c>
      <c r="D31" s="275">
        <f>IFERROR(INDEX('계좌현황'!D:D,INDEX($L$20:$L$96,MATCH(LARGE($N$20:$N$96,12),$N$20:$N$96,0))),"")</f>
        <v/>
      </c>
      <c r="E31" s="275">
        <f>IFERROR(INDEX('계좌현황'!E:E,INDEX($L$20:$L$96,MATCH(LARGE($N$20:$N$96,12),$N$20:$N$96,0))),"")</f>
        <v/>
      </c>
      <c r="F31" s="305">
        <f>IFERROR(INDEX('계좌현황'!F:F,INDEX($L$20:$L$96,MATCH(LARGE($N$20:$N$96,12),$N$20:$N$96,0))),"")</f>
        <v/>
      </c>
      <c r="G31" s="306">
        <f>IFERROR(INDEX('계좌현황'!K:K,INDEX($L$20:$L$96,MATCH(LARGE($N$20:$N$96,12),$N$20:$N$96,0))),0)</f>
        <v/>
      </c>
      <c r="H31" s="307">
        <f>IF($B$3=0,0,G31/$B$3)</f>
        <v/>
      </c>
      <c r="I31" s="30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4" t="n">
        <v>13</v>
      </c>
      <c r="B32" s="284">
        <f>IFERROR(INDEX('계좌현황'!A:A,INDEX($L$20:$L$96,MATCH(LARGE($N$20:$N$96,13),$N$20:$N$96,0))),"")</f>
        <v/>
      </c>
      <c r="C32" s="284">
        <f>IFERROR(INDEX('계좌현황'!C:C,INDEX($L$20:$L$96,MATCH(LARGE($N$20:$N$96,13),$N$20:$N$96,0))),"")</f>
        <v/>
      </c>
      <c r="D32" s="284">
        <f>IFERROR(INDEX('계좌현황'!D:D,INDEX($L$20:$L$96,MATCH(LARGE($N$20:$N$96,13),$N$20:$N$96,0))),"")</f>
        <v/>
      </c>
      <c r="E32" s="284">
        <f>IFERROR(INDEX('계좌현황'!E:E,INDEX($L$20:$L$96,MATCH(LARGE($N$20:$N$96,13),$N$20:$N$96,0))),"")</f>
        <v/>
      </c>
      <c r="F32" s="314">
        <f>IFERROR(INDEX('계좌현황'!F:F,INDEX($L$20:$L$96,MATCH(LARGE($N$20:$N$96,13),$N$20:$N$96,0))),"")</f>
        <v/>
      </c>
      <c r="G32" s="315">
        <f>IFERROR(INDEX('계좌현황'!K:K,INDEX($L$20:$L$96,MATCH(LARGE($N$20:$N$96,13),$N$20:$N$96,0))),0)</f>
        <v/>
      </c>
      <c r="H32" s="316">
        <f>IF($B$3=0,0,G32/$B$3)</f>
        <v/>
      </c>
      <c r="I32" s="316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7" t="n">
        <v>16</v>
      </c>
      <c r="B35" s="287">
        <f>IFERROR(INDEX('계좌현황'!A:A,INDEX($L$20:$L$96,MATCH(LARGE($N$20:$N$96,16),$N$20:$N$96,0))),"")</f>
        <v/>
      </c>
      <c r="C35" s="287">
        <f>IFERROR(INDEX('계좌현황'!C:C,INDEX($L$20:$L$96,MATCH(LARGE($N$20:$N$96,16),$N$20:$N$96,0))),"")</f>
        <v/>
      </c>
      <c r="D35" s="287">
        <f>IFERROR(INDEX('계좌현황'!D:D,INDEX($L$20:$L$96,MATCH(LARGE($N$20:$N$96,16),$N$20:$N$96,0))),"")</f>
        <v/>
      </c>
      <c r="E35" s="287">
        <f>IFERROR(INDEX('계좌현황'!E:E,INDEX($L$20:$L$96,MATCH(LARGE($N$20:$N$96,16),$N$20:$N$96,0))),"")</f>
        <v/>
      </c>
      <c r="F35" s="317">
        <f>IFERROR(INDEX('계좌현황'!F:F,INDEX($L$20:$L$96,MATCH(LARGE($N$20:$N$96,16),$N$20:$N$96,0))),"")</f>
        <v/>
      </c>
      <c r="G35" s="318">
        <f>IFERROR(INDEX('계좌현황'!K:K,INDEX($L$20:$L$96,MATCH(LARGE($N$20:$N$96,16),$N$20:$N$96,0))),0)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3" t="n">
        <v>17</v>
      </c>
      <c r="B36" s="293">
        <f>IFERROR(INDEX('계좌현황'!A:A,INDEX($L$20:$L$96,MATCH(LARGE($N$20:$N$96,17),$N$20:$N$96,0))),"")</f>
        <v/>
      </c>
      <c r="C36" s="293">
        <f>IFERROR(INDEX('계좌현황'!C:C,INDEX($L$20:$L$96,MATCH(LARGE($N$20:$N$96,17),$N$20:$N$96,0))),"")</f>
        <v/>
      </c>
      <c r="D36" s="293">
        <f>IFERROR(INDEX('계좌현황'!D:D,INDEX($L$20:$L$96,MATCH(LARGE($N$20:$N$96,17),$N$20:$N$96,0))),"")</f>
        <v/>
      </c>
      <c r="E36" s="293">
        <f>IFERROR(INDEX('계좌현황'!E:E,INDEX($L$20:$L$96,MATCH(LARGE($N$20:$N$96,17),$N$20:$N$96,0))),"")</f>
        <v/>
      </c>
      <c r="F36" s="323">
        <f>IFERROR(INDEX('계좌현황'!F:F,INDEX($L$20:$L$96,MATCH(LARGE($N$20:$N$96,17),$N$20:$N$96,0))),"")</f>
        <v/>
      </c>
      <c r="G36" s="324">
        <f>IFERROR(INDEX('계좌현황'!K:K,INDEX($L$20:$L$96,MATCH(LARGE($N$20:$N$96,17),$N$20:$N$96,0))),0)</f>
        <v/>
      </c>
      <c r="H36" s="325">
        <f>IF($B$3=0,0,G36/$B$3)</f>
        <v/>
      </c>
      <c r="I36" s="325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7" t="n">
        <v>18</v>
      </c>
      <c r="B37" s="287">
        <f>IFERROR(INDEX('계좌현황'!A:A,INDEX($L$20:$L$96,MATCH(LARGE($N$20:$N$96,18),$N$20:$N$96,0))),"")</f>
        <v/>
      </c>
      <c r="C37" s="287">
        <f>IFERROR(INDEX('계좌현황'!C:C,INDEX($L$20:$L$96,MATCH(LARGE($N$20:$N$96,18),$N$20:$N$96,0))),"")</f>
        <v/>
      </c>
      <c r="D37" s="287">
        <f>IFERROR(INDEX('계좌현황'!D:D,INDEX($L$20:$L$96,MATCH(LARGE($N$20:$N$96,18),$N$20:$N$96,0))),"")</f>
        <v/>
      </c>
      <c r="E37" s="287">
        <f>IFERROR(INDEX('계좌현황'!E:E,INDEX($L$20:$L$96,MATCH(LARGE($N$20:$N$96,18),$N$20:$N$96,0))),"")</f>
        <v/>
      </c>
      <c r="F37" s="317">
        <f>IFERROR(INDEX('계좌현황'!F:F,INDEX($L$20:$L$96,MATCH(LARGE($N$20:$N$96,18),$N$20:$N$96,0))),"")</f>
        <v/>
      </c>
      <c r="G37" s="318">
        <f>IFERROR(INDEX('계좌현황'!K:K,INDEX($L$20:$L$96,MATCH(LARGE($N$20:$N$96,18),$N$20:$N$96,0))),0)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1" t="n">
        <v>19</v>
      </c>
      <c r="B38" s="281">
        <f>IFERROR(INDEX('계좌현황'!A:A,INDEX($L$20:$L$96,MATCH(LARGE($N$20:$N$96,19),$N$20:$N$96,0))),"")</f>
        <v/>
      </c>
      <c r="C38" s="281">
        <f>IFERROR(INDEX('계좌현황'!C:C,INDEX($L$20:$L$96,MATCH(LARGE($N$20:$N$96,19),$N$20:$N$96,0))),"")</f>
        <v/>
      </c>
      <c r="D38" s="281">
        <f>IFERROR(INDEX('계좌현황'!D:D,INDEX($L$20:$L$96,MATCH(LARGE($N$20:$N$96,19),$N$20:$N$96,0))),"")</f>
        <v/>
      </c>
      <c r="E38" s="281">
        <f>IFERROR(INDEX('계좌현황'!E:E,INDEX($L$20:$L$96,MATCH(LARGE($N$20:$N$96,19),$N$20:$N$96,0))),"")</f>
        <v/>
      </c>
      <c r="F38" s="311">
        <f>IFERROR(INDEX('계좌현황'!F:F,INDEX($L$20:$L$96,MATCH(LARGE($N$20:$N$96,19),$N$20:$N$96,0))),"")</f>
        <v/>
      </c>
      <c r="G38" s="312">
        <f>IFERROR(INDEX('계좌현황'!K:K,INDEX($L$20:$L$96,MATCH(LARGE($N$20:$N$96,19),$N$20:$N$96,0))),0)</f>
        <v/>
      </c>
      <c r="H38" s="313">
        <f>IF($B$3=0,0,G38/$B$3)</f>
        <v/>
      </c>
      <c r="I38" s="31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3" t="n">
        <v>20</v>
      </c>
      <c r="B39" s="293">
        <f>IFERROR(INDEX('계좌현황'!A:A,INDEX($L$20:$L$96,MATCH(LARGE($N$20:$N$96,20),$N$20:$N$96,0))),"")</f>
        <v/>
      </c>
      <c r="C39" s="293">
        <f>IFERROR(INDEX('계좌현황'!C:C,INDEX($L$20:$L$96,MATCH(LARGE($N$20:$N$96,20),$N$20:$N$96,0))),"")</f>
        <v/>
      </c>
      <c r="D39" s="293">
        <f>IFERROR(INDEX('계좌현황'!D:D,INDEX($L$20:$L$96,MATCH(LARGE($N$20:$N$96,20),$N$20:$N$96,0))),"")</f>
        <v/>
      </c>
      <c r="E39" s="293">
        <f>IFERROR(INDEX('계좌현황'!E:E,INDEX($L$20:$L$96,MATCH(LARGE($N$20:$N$96,20),$N$20:$N$96,0))),"")</f>
        <v/>
      </c>
      <c r="F39" s="323">
        <f>IFERROR(INDEX('계좌현황'!F:F,INDEX($L$20:$L$96,MATCH(LARGE($N$20:$N$96,20),$N$20:$N$96,0))),"")</f>
        <v/>
      </c>
      <c r="G39" s="324">
        <f>IFERROR(INDEX('계좌현황'!K:K,INDEX($L$20:$L$96,MATCH(LARGE($N$20:$N$96,20),$N$20:$N$96,0))),0)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7" t="n">
        <v>21</v>
      </c>
      <c r="B40" s="287">
        <f>IFERROR(INDEX('계좌현황'!A:A,INDEX($L$20:$L$96,MATCH(LARGE($N$20:$N$96,21),$N$20:$N$96,0))),"")</f>
        <v/>
      </c>
      <c r="C40" s="287">
        <f>IFERROR(INDEX('계좌현황'!C:C,INDEX($L$20:$L$96,MATCH(LARGE($N$20:$N$96,21),$N$20:$N$96,0))),"")</f>
        <v/>
      </c>
      <c r="D40" s="287">
        <f>IFERROR(INDEX('계좌현황'!D:D,INDEX($L$20:$L$96,MATCH(LARGE($N$20:$N$96,21),$N$20:$N$96,0))),"")</f>
        <v/>
      </c>
      <c r="E40" s="287">
        <f>IFERROR(INDEX('계좌현황'!E:E,INDEX($L$20:$L$96,MATCH(LARGE($N$20:$N$96,21),$N$20:$N$96,0))),"")</f>
        <v/>
      </c>
      <c r="F40" s="317">
        <f>IFERROR(INDEX('계좌현황'!F:F,INDEX($L$20:$L$96,MATCH(LARGE($N$20:$N$96,21),$N$20:$N$96,0))),"")</f>
        <v/>
      </c>
      <c r="G40" s="318">
        <f>IFERROR(INDEX('계좌현황'!K:K,INDEX($L$20:$L$96,MATCH(LARGE($N$20:$N$96,21),$N$20:$N$96,0))),0)</f>
        <v/>
      </c>
      <c r="H40" s="319">
        <f>IF($B$3=0,0,G40/$B$3)</f>
        <v/>
      </c>
      <c r="I40" s="319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3" t="n">
        <v>22</v>
      </c>
      <c r="B41" s="293">
        <f>IFERROR(INDEX('계좌현황'!A:A,INDEX($L$20:$L$96,MATCH(LARGE($N$20:$N$96,22),$N$20:$N$96,0))),"")</f>
        <v/>
      </c>
      <c r="C41" s="293">
        <f>IFERROR(INDEX('계좌현황'!C:C,INDEX($L$20:$L$96,MATCH(LARGE($N$20:$N$96,22),$N$20:$N$96,0))),"")</f>
        <v/>
      </c>
      <c r="D41" s="293">
        <f>IFERROR(INDEX('계좌현황'!D:D,INDEX($L$20:$L$96,MATCH(LARGE($N$20:$N$96,22),$N$20:$N$96,0))),"")</f>
        <v/>
      </c>
      <c r="E41" s="293">
        <f>IFERROR(INDEX('계좌현황'!E:E,INDEX($L$20:$L$96,MATCH(LARGE($N$20:$N$96,22),$N$20:$N$96,0))),"")</f>
        <v/>
      </c>
      <c r="F41" s="323">
        <f>IFERROR(INDEX('계좌현황'!F:F,INDEX($L$20:$L$96,MATCH(LARGE($N$20:$N$96,22),$N$20:$N$96,0))),"")</f>
        <v/>
      </c>
      <c r="G41" s="324">
        <f>IFERROR(INDEX('계좌현황'!K:K,INDEX($L$20:$L$96,MATCH(LARGE($N$20:$N$96,22),$N$20:$N$96,0))),0)</f>
        <v/>
      </c>
      <c r="H41" s="325">
        <f>IF($B$3=0,0,G41/$B$3)</f>
        <v/>
      </c>
      <c r="I41" s="325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5" t="n">
        <v>23</v>
      </c>
      <c r="B42" s="275">
        <f>IFERROR(INDEX('계좌현황'!A:A,INDEX($L$20:$L$96,MATCH(LARGE($N$20:$N$96,23),$N$20:$N$96,0))),"")</f>
        <v/>
      </c>
      <c r="C42" s="275">
        <f>IFERROR(INDEX('계좌현황'!C:C,INDEX($L$20:$L$96,MATCH(LARGE($N$20:$N$96,23),$N$20:$N$96,0))),"")</f>
        <v/>
      </c>
      <c r="D42" s="275">
        <f>IFERROR(INDEX('계좌현황'!D:D,INDEX($L$20:$L$96,MATCH(LARGE($N$20:$N$96,23),$N$20:$N$96,0))),"")</f>
        <v/>
      </c>
      <c r="E42" s="275">
        <f>IFERROR(INDEX('계좌현황'!E:E,INDEX($L$20:$L$96,MATCH(LARGE($N$20:$N$96,23),$N$20:$N$96,0))),"")</f>
        <v/>
      </c>
      <c r="F42" s="305">
        <f>IFERROR(INDEX('계좌현황'!F:F,INDEX($L$20:$L$96,MATCH(LARGE($N$20:$N$96,23),$N$20:$N$96,0))),"")</f>
        <v/>
      </c>
      <c r="G42" s="306">
        <f>IFERROR(INDEX('계좌현황'!K:K,INDEX($L$20:$L$96,MATCH(LARGE($N$20:$N$96,23),$N$20:$N$96,0))),0)</f>
        <v/>
      </c>
      <c r="H42" s="307">
        <f>IF($B$3=0,0,G42/$B$3)</f>
        <v/>
      </c>
      <c r="I42" s="307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4" t="n">
        <v>24</v>
      </c>
      <c r="B43" s="284">
        <f>IFERROR(INDEX('계좌현황'!A:A,INDEX($L$20:$L$96,MATCH(LARGE($N$20:$N$96,24),$N$20:$N$96,0))),"")</f>
        <v/>
      </c>
      <c r="C43" s="284">
        <f>IFERROR(INDEX('계좌현황'!C:C,INDEX($L$20:$L$96,MATCH(LARGE($N$20:$N$96,24),$N$20:$N$96,0))),"")</f>
        <v/>
      </c>
      <c r="D43" s="284">
        <f>IFERROR(INDEX('계좌현황'!D:D,INDEX($L$20:$L$96,MATCH(LARGE($N$20:$N$96,24),$N$20:$N$96,0))),"")</f>
        <v/>
      </c>
      <c r="E43" s="284">
        <f>IFERROR(INDEX('계좌현황'!E:E,INDEX($L$20:$L$96,MATCH(LARGE($N$20:$N$96,24),$N$20:$N$96,0))),"")</f>
        <v/>
      </c>
      <c r="F43" s="314">
        <f>IFERROR(INDEX('계좌현황'!F:F,INDEX($L$20:$L$96,MATCH(LARGE($N$20:$N$96,24),$N$20:$N$96,0))),"")</f>
        <v/>
      </c>
      <c r="G43" s="315">
        <f>IFERROR(INDEX('계좌현황'!K:K,INDEX($L$20:$L$96,MATCH(LARGE($N$20:$N$96,24),$N$20:$N$96,0))),0)</f>
        <v/>
      </c>
      <c r="H43" s="316">
        <f>IF($B$3=0,0,G43/$B$3)</f>
        <v/>
      </c>
      <c r="I43" s="316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3" t="n">
        <v>25</v>
      </c>
      <c r="B44" s="293">
        <f>IFERROR(INDEX('계좌현황'!A:A,INDEX($L$20:$L$96,MATCH(LARGE($N$20:$N$96,25),$N$20:$N$96,0))),"")</f>
        <v/>
      </c>
      <c r="C44" s="293">
        <f>IFERROR(INDEX('계좌현황'!C:C,INDEX($L$20:$L$96,MATCH(LARGE($N$20:$N$96,25),$N$20:$N$96,0))),"")</f>
        <v/>
      </c>
      <c r="D44" s="293">
        <f>IFERROR(INDEX('계좌현황'!D:D,INDEX($L$20:$L$96,MATCH(LARGE($N$20:$N$96,25),$N$20:$N$96,0))),"")</f>
        <v/>
      </c>
      <c r="E44" s="293">
        <f>IFERROR(INDEX('계좌현황'!E:E,INDEX($L$20:$L$96,MATCH(LARGE($N$20:$N$96,25),$N$20:$N$96,0))),"")</f>
        <v/>
      </c>
      <c r="F44" s="323">
        <f>IFERROR(INDEX('계좌현황'!F:F,INDEX($L$20:$L$96,MATCH(LARGE($N$20:$N$96,25),$N$20:$N$96,0))),"")</f>
        <v/>
      </c>
      <c r="G44" s="324">
        <f>IFERROR(INDEX('계좌현황'!K:K,INDEX($L$20:$L$96,MATCH(LARGE($N$20:$N$96,25),$N$20:$N$96,0))),0)</f>
        <v/>
      </c>
      <c r="H44" s="325">
        <f>IF($B$3=0,0,G44/$B$3)</f>
        <v/>
      </c>
      <c r="I44" s="325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1" t="n">
        <v>27</v>
      </c>
      <c r="B46" s="281">
        <f>IFERROR(INDEX('계좌현황'!A:A,INDEX($L$20:$L$96,MATCH(LARGE($N$20:$N$96,27),$N$20:$N$96,0))),"")</f>
        <v/>
      </c>
      <c r="C46" s="281">
        <f>IFERROR(INDEX('계좌현황'!C:C,INDEX($L$20:$L$96,MATCH(LARGE($N$20:$N$96,27),$N$20:$N$96,0))),"")</f>
        <v/>
      </c>
      <c r="D46" s="281">
        <f>IFERROR(INDEX('계좌현황'!D:D,INDEX($L$20:$L$96,MATCH(LARGE($N$20:$N$96,27),$N$20:$N$96,0))),"")</f>
        <v/>
      </c>
      <c r="E46" s="281">
        <f>IFERROR(INDEX('계좌현황'!E:E,INDEX($L$20:$L$96,MATCH(LARGE($N$20:$N$96,27),$N$20:$N$96,0))),"")</f>
        <v/>
      </c>
      <c r="F46" s="311">
        <f>IFERROR(INDEX('계좌현황'!F:F,INDEX($L$20:$L$96,MATCH(LARGE($N$20:$N$96,27),$N$20:$N$96,0))),"")</f>
        <v/>
      </c>
      <c r="G46" s="312">
        <f>IFERROR(INDEX('계좌현황'!K:K,INDEX($L$20:$L$96,MATCH(LARGE($N$20:$N$96,27),$N$20:$N$96,0))),0)</f>
        <v/>
      </c>
      <c r="H46" s="313">
        <f>IF($B$3=0,0,G46/$B$3)</f>
        <v/>
      </c>
      <c r="I46" s="31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IFERROR(INDEX('계좌현황'!A:A,INDEX($L$20:$L$96,MATCH(LARGE($N$20:$N$96,28),$N$20:$N$96,0))),"")</f>
        <v/>
      </c>
      <c r="C47" s="287">
        <f>IFERROR(INDEX('계좌현황'!C:C,INDEX($L$20:$L$96,MATCH(LARGE($N$20:$N$96,28),$N$20:$N$96,0))),"")</f>
        <v/>
      </c>
      <c r="D47" s="287">
        <f>IFERROR(INDEX('계좌현황'!D:D,INDEX($L$20:$L$96,MATCH(LARGE($N$20:$N$96,28),$N$20:$N$96,0))),"")</f>
        <v/>
      </c>
      <c r="E47" s="287">
        <f>IFERROR(INDEX('계좌현황'!E:E,INDEX($L$20:$L$96,MATCH(LARGE($N$20:$N$96,28),$N$20:$N$96,0))),"")</f>
        <v/>
      </c>
      <c r="F47" s="317">
        <f>IFERROR(INDEX('계좌현황'!F:F,INDEX($L$20:$L$96,MATCH(LARGE($N$20:$N$96,28),$N$20:$N$96,0))),"")</f>
        <v/>
      </c>
      <c r="G47" s="318">
        <f>IFERROR(INDEX('계좌현황'!K:K,INDEX($L$20:$L$96,MATCH(LARGE($N$20:$N$96,28),$N$20:$N$96,0))),0)</f>
        <v/>
      </c>
      <c r="H47" s="319">
        <f>IF($B$3=0,0,G47/$B$3)</f>
        <v/>
      </c>
      <c r="I47" s="319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78" t="n">
        <v>29</v>
      </c>
      <c r="B48" s="278">
        <f>IFERROR(INDEX('계좌현황'!A:A,INDEX($L$20:$L$96,MATCH(LARGE($N$20:$N$96,29),$N$20:$N$96,0))),"")</f>
        <v/>
      </c>
      <c r="C48" s="278">
        <f>IFERROR(INDEX('계좌현황'!C:C,INDEX($L$20:$L$96,MATCH(LARGE($N$20:$N$96,29),$N$20:$N$96,0))),"")</f>
        <v/>
      </c>
      <c r="D48" s="278">
        <f>IFERROR(INDEX('계좌현황'!D:D,INDEX($L$20:$L$96,MATCH(LARGE($N$20:$N$96,29),$N$20:$N$96,0))),"")</f>
        <v/>
      </c>
      <c r="E48" s="278">
        <f>IFERROR(INDEX('계좌현황'!E:E,INDEX($L$20:$L$96,MATCH(LARGE($N$20:$N$96,29),$N$20:$N$96,0))),"")</f>
        <v/>
      </c>
      <c r="F48" s="308">
        <f>IFERROR(INDEX('계좌현황'!F:F,INDEX($L$20:$L$96,MATCH(LARGE($N$20:$N$96,29),$N$20:$N$96,0))),"")</f>
        <v/>
      </c>
      <c r="G48" s="309">
        <f>IFERROR(INDEX('계좌현황'!K:K,INDEX($L$20:$L$96,MATCH(LARGE($N$20:$N$96,29),$N$20:$N$96,0))),0)</f>
        <v/>
      </c>
      <c r="H48" s="310">
        <f>IF($B$3=0,0,G48/$B$3)</f>
        <v/>
      </c>
      <c r="I48" s="31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7" t="n">
        <v>30</v>
      </c>
      <c r="B49" s="287">
        <f>IFERROR(INDEX('계좌현황'!A:A,INDEX($L$20:$L$96,MATCH(LARGE($N$20:$N$96,30),$N$20:$N$96,0))),"")</f>
        <v/>
      </c>
      <c r="C49" s="287">
        <f>IFERROR(INDEX('계좌현황'!C:C,INDEX($L$20:$L$96,MATCH(LARGE($N$20:$N$96,30),$N$20:$N$96,0))),"")</f>
        <v/>
      </c>
      <c r="D49" s="287">
        <f>IFERROR(INDEX('계좌현황'!D:D,INDEX($L$20:$L$96,MATCH(LARGE($N$20:$N$96,30),$N$20:$N$96,0))),"")</f>
        <v/>
      </c>
      <c r="E49" s="287">
        <f>IFERROR(INDEX('계좌현황'!E:E,INDEX($L$20:$L$96,MATCH(LARGE($N$20:$N$96,30),$N$20:$N$96,0))),"")</f>
        <v/>
      </c>
      <c r="F49" s="317">
        <f>IFERROR(INDEX('계좌현황'!F:F,INDEX($L$20:$L$96,MATCH(LARGE($N$20:$N$96,30),$N$20:$N$96,0))),"")</f>
        <v/>
      </c>
      <c r="G49" s="318">
        <f>IFERROR(INDEX('계좌현황'!K:K,INDEX($L$20:$L$96,MATCH(LARGE($N$20:$N$96,30),$N$20:$N$96,0))),0)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4" t="n">
        <v>31</v>
      </c>
      <c r="B50" s="284">
        <f>IFERROR(INDEX('계좌현황'!A:A,INDEX($L$20:$L$96,MATCH(LARGE($N$20:$N$96,31),$N$20:$N$96,0))),"")</f>
        <v/>
      </c>
      <c r="C50" s="284">
        <f>IFERROR(INDEX('계좌현황'!C:C,INDEX($L$20:$L$96,MATCH(LARGE($N$20:$N$96,31),$N$20:$N$96,0))),"")</f>
        <v/>
      </c>
      <c r="D50" s="284">
        <f>IFERROR(INDEX('계좌현황'!D:D,INDEX($L$20:$L$96,MATCH(LARGE($N$20:$N$96,31),$N$20:$N$96,0))),"")</f>
        <v/>
      </c>
      <c r="E50" s="284">
        <f>IFERROR(INDEX('계좌현황'!E:E,INDEX($L$20:$L$96,MATCH(LARGE($N$20:$N$96,31),$N$20:$N$96,0))),"")</f>
        <v/>
      </c>
      <c r="F50" s="314">
        <f>IFERROR(INDEX('계좌현황'!F:F,INDEX($L$20:$L$96,MATCH(LARGE($N$20:$N$96,31),$N$20:$N$96,0))),"")</f>
        <v/>
      </c>
      <c r="G50" s="315">
        <f>IFERROR(INDEX('계좌현황'!K:K,INDEX($L$20:$L$96,MATCH(LARGE($N$20:$N$96,31),$N$20:$N$96,0))),0)</f>
        <v/>
      </c>
      <c r="H50" s="316">
        <f>IF($B$3=0,0,G50/$B$3)</f>
        <v/>
      </c>
      <c r="I50" s="316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7" t="n">
        <v>32</v>
      </c>
      <c r="B51" s="287">
        <f>IFERROR(INDEX('계좌현황'!A:A,INDEX($L$20:$L$96,MATCH(LARGE($N$20:$N$96,32),$N$20:$N$96,0))),"")</f>
        <v/>
      </c>
      <c r="C51" s="287">
        <f>IFERROR(INDEX('계좌현황'!C:C,INDEX($L$20:$L$96,MATCH(LARGE($N$20:$N$96,32),$N$20:$N$96,0))),"")</f>
        <v/>
      </c>
      <c r="D51" s="287">
        <f>IFERROR(INDEX('계좌현황'!D:D,INDEX($L$20:$L$96,MATCH(LARGE($N$20:$N$96,32),$N$20:$N$96,0))),"")</f>
        <v/>
      </c>
      <c r="E51" s="287">
        <f>IFERROR(INDEX('계좌현황'!E:E,INDEX($L$20:$L$96,MATCH(LARGE($N$20:$N$96,32),$N$20:$N$96,0))),"")</f>
        <v/>
      </c>
      <c r="F51" s="317">
        <f>IFERROR(INDEX('계좌현황'!F:F,INDEX($L$20:$L$96,MATCH(LARGE($N$20:$N$96,32),$N$20:$N$96,0))),"")</f>
        <v/>
      </c>
      <c r="G51" s="318">
        <f>IFERROR(INDEX('계좌현황'!K:K,INDEX($L$20:$L$96,MATCH(LARGE($N$20:$N$96,32),$N$20:$N$96,0))),0)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4" t="n">
        <v>33</v>
      </c>
      <c r="B52" s="284">
        <f>IFERROR(INDEX('계좌현황'!A:A,INDEX($L$20:$L$96,MATCH(LARGE($N$20:$N$96,33),$N$20:$N$96,0))),"")</f>
        <v/>
      </c>
      <c r="C52" s="284">
        <f>IFERROR(INDEX('계좌현황'!C:C,INDEX($L$20:$L$96,MATCH(LARGE($N$20:$N$96,33),$N$20:$N$96,0))),"")</f>
        <v/>
      </c>
      <c r="D52" s="284">
        <f>IFERROR(INDEX('계좌현황'!D:D,INDEX($L$20:$L$96,MATCH(LARGE($N$20:$N$96,33),$N$20:$N$96,0))),"")</f>
        <v/>
      </c>
      <c r="E52" s="284">
        <f>IFERROR(INDEX('계좌현황'!E:E,INDEX($L$20:$L$96,MATCH(LARGE($N$20:$N$96,33),$N$20:$N$96,0))),"")</f>
        <v/>
      </c>
      <c r="F52" s="314">
        <f>IFERROR(INDEX('계좌현황'!F:F,INDEX($L$20:$L$96,MATCH(LARGE($N$20:$N$96,33),$N$20:$N$96,0))),"")</f>
        <v/>
      </c>
      <c r="G52" s="315">
        <f>IFERROR(INDEX('계좌현황'!K:K,INDEX($L$20:$L$96,MATCH(LARGE($N$20:$N$96,33),$N$20:$N$96,0))),0)</f>
        <v/>
      </c>
      <c r="H52" s="316">
        <f>IF($B$3=0,0,G52/$B$3)</f>
        <v/>
      </c>
      <c r="I52" s="316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IFERROR(INDEX('계좌현황'!A:A,INDEX($L$20:$L$96,MATCH(LARGE($N$20:$N$96,34),$N$20:$N$96,0))),"")</f>
        <v/>
      </c>
      <c r="C53" s="287">
        <f>IFERROR(INDEX('계좌현황'!C:C,INDEX($L$20:$L$96,MATCH(LARGE($N$20:$N$96,34),$N$20:$N$96,0))),"")</f>
        <v/>
      </c>
      <c r="D53" s="287">
        <f>IFERROR(INDEX('계좌현황'!D:D,INDEX($L$20:$L$96,MATCH(LARGE($N$20:$N$96,34),$N$20:$N$96,0))),"")</f>
        <v/>
      </c>
      <c r="E53" s="287">
        <f>IFERROR(INDEX('계좌현황'!E:E,INDEX($L$20:$L$96,MATCH(LARGE($N$20:$N$96,34),$N$20:$N$96,0))),"")</f>
        <v/>
      </c>
      <c r="F53" s="317">
        <f>IFERROR(INDEX('계좌현황'!F:F,INDEX($L$20:$L$96,MATCH(LARGE($N$20:$N$96,34),$N$20:$N$96,0))),"")</f>
        <v/>
      </c>
      <c r="G53" s="318">
        <f>IFERROR(INDEX('계좌현황'!K:K,INDEX($L$20:$L$96,MATCH(LARGE($N$20:$N$96,34),$N$20:$N$96,0))),0)</f>
        <v/>
      </c>
      <c r="H53" s="319">
        <f>IF($B$3=0,0,G53/$B$3)</f>
        <v/>
      </c>
      <c r="I53" s="319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4" t="n">
        <v>38</v>
      </c>
      <c r="B57" s="284">
        <f>IFERROR(INDEX('계좌현황'!A:A,INDEX($L$20:$L$96,MATCH(LARGE($N$20:$N$96,38),$N$20:$N$96,0))),"")</f>
        <v/>
      </c>
      <c r="C57" s="284">
        <f>IFERROR(INDEX('계좌현황'!C:C,INDEX($L$20:$L$96,MATCH(LARGE($N$20:$N$96,38),$N$20:$N$96,0))),"")</f>
        <v/>
      </c>
      <c r="D57" s="284">
        <f>IFERROR(INDEX('계좌현황'!D:D,INDEX($L$20:$L$96,MATCH(LARGE($N$20:$N$96,38),$N$20:$N$96,0))),"")</f>
        <v/>
      </c>
      <c r="E57" s="284">
        <f>IFERROR(INDEX('계좌현황'!E:E,INDEX($L$20:$L$96,MATCH(LARGE($N$20:$N$96,38),$N$20:$N$96,0))),"")</f>
        <v/>
      </c>
      <c r="F57" s="314">
        <f>IFERROR(INDEX('계좌현황'!F:F,INDEX($L$20:$L$96,MATCH(LARGE($N$20:$N$96,38),$N$20:$N$96,0))),"")</f>
        <v/>
      </c>
      <c r="G57" s="315">
        <f>IFERROR(INDEX('계좌현황'!K:K,INDEX($L$20:$L$96,MATCH(LARGE($N$20:$N$96,38),$N$20:$N$96,0))),0)</f>
        <v/>
      </c>
      <c r="H57" s="316">
        <f>IF($B$3=0,0,G57/$B$3)</f>
        <v/>
      </c>
      <c r="I57" s="316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4" t="n">
        <v>39</v>
      </c>
      <c r="B58" s="284">
        <f>IFERROR(INDEX('계좌현황'!A:A,INDEX($L$20:$L$96,MATCH(LARGE($N$20:$N$96,39),$N$20:$N$96,0))),"")</f>
        <v/>
      </c>
      <c r="C58" s="284">
        <f>IFERROR(INDEX('계좌현황'!C:C,INDEX($L$20:$L$96,MATCH(LARGE($N$20:$N$96,39),$N$20:$N$96,0))),"")</f>
        <v/>
      </c>
      <c r="D58" s="284">
        <f>IFERROR(INDEX('계좌현황'!D:D,INDEX($L$20:$L$96,MATCH(LARGE($N$20:$N$96,39),$N$20:$N$96,0))),"")</f>
        <v/>
      </c>
      <c r="E58" s="284">
        <f>IFERROR(INDEX('계좌현황'!E:E,INDEX($L$20:$L$96,MATCH(LARGE($N$20:$N$96,39),$N$20:$N$96,0))),"")</f>
        <v/>
      </c>
      <c r="F58" s="314">
        <f>IFERROR(INDEX('계좌현황'!F:F,INDEX($L$20:$L$96,MATCH(LARGE($N$20:$N$96,39),$N$20:$N$96,0))),"")</f>
        <v/>
      </c>
      <c r="G58" s="315">
        <f>IFERROR(INDEX('계좌현황'!K:K,INDEX($L$20:$L$96,MATCH(LARGE($N$20:$N$96,39),$N$20:$N$96,0))),0)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4" t="n">
        <v>40</v>
      </c>
      <c r="B59" s="284">
        <f>IFERROR(INDEX('계좌현황'!A:A,INDEX($L$20:$L$96,MATCH(LARGE($N$20:$N$96,40),$N$20:$N$96,0))),"")</f>
        <v/>
      </c>
      <c r="C59" s="284">
        <f>IFERROR(INDEX('계좌현황'!C:C,INDEX($L$20:$L$96,MATCH(LARGE($N$20:$N$96,40),$N$20:$N$96,0))),"")</f>
        <v/>
      </c>
      <c r="D59" s="284">
        <f>IFERROR(INDEX('계좌현황'!D:D,INDEX($L$20:$L$96,MATCH(LARGE($N$20:$N$96,40),$N$20:$N$96,0))),"")</f>
        <v/>
      </c>
      <c r="E59" s="284">
        <f>IFERROR(INDEX('계좌현황'!E:E,INDEX($L$20:$L$96,MATCH(LARGE($N$20:$N$96,40),$N$20:$N$96,0))),"")</f>
        <v/>
      </c>
      <c r="F59" s="314">
        <f>IFERROR(INDEX('계좌현황'!F:F,INDEX($L$20:$L$96,MATCH(LARGE($N$20:$N$96,40),$N$20:$N$96,0))),"")</f>
        <v/>
      </c>
      <c r="G59" s="315">
        <f>IFERROR(INDEX('계좌현황'!K:K,INDEX($L$20:$L$96,MATCH(LARGE($N$20:$N$96,40),$N$20:$N$96,0))),0)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4" t="n">
        <v>45</v>
      </c>
      <c r="B64" s="284">
        <f>IFERROR(INDEX('계좌현황'!A:A,INDEX($L$20:$L$96,MATCH(LARGE($N$20:$N$96,45),$N$20:$N$96,0))),"")</f>
        <v/>
      </c>
      <c r="C64" s="284">
        <f>IFERROR(INDEX('계좌현황'!C:C,INDEX($L$20:$L$96,MATCH(LARGE($N$20:$N$96,45),$N$20:$N$96,0))),"")</f>
        <v/>
      </c>
      <c r="D64" s="284">
        <f>IFERROR(INDEX('계좌현황'!D:D,INDEX($L$20:$L$96,MATCH(LARGE($N$20:$N$96,45),$N$20:$N$96,0))),"")</f>
        <v/>
      </c>
      <c r="E64" s="284">
        <f>IFERROR(INDEX('계좌현황'!E:E,INDEX($L$20:$L$96,MATCH(LARGE($N$20:$N$96,45),$N$20:$N$96,0))),"")</f>
        <v/>
      </c>
      <c r="F64" s="314">
        <f>IFERROR(INDEX('계좌현황'!F:F,INDEX($L$20:$L$96,MATCH(LARGE($N$20:$N$96,45),$N$20:$N$96,0))),"")</f>
        <v/>
      </c>
      <c r="G64" s="315">
        <f>IFERROR(INDEX('계좌현황'!K:K,INDEX($L$20:$L$96,MATCH(LARGE($N$20:$N$96,45),$N$20:$N$96,0))),0)</f>
        <v/>
      </c>
      <c r="H64" s="316">
        <f>IF($B$3=0,0,G64/$B$3)</f>
        <v/>
      </c>
      <c r="I64" s="316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4" t="n">
        <v>50</v>
      </c>
      <c r="B69" s="284">
        <f>IFERROR(INDEX('계좌현황'!A:A,INDEX($L$20:$L$96,MATCH(LARGE($N$20:$N$96,50),$N$20:$N$96,0))),"")</f>
        <v/>
      </c>
      <c r="C69" s="284">
        <f>IFERROR(INDEX('계좌현황'!C:C,INDEX($L$20:$L$96,MATCH(LARGE($N$20:$N$96,50),$N$20:$N$96,0))),"")</f>
        <v/>
      </c>
      <c r="D69" s="284">
        <f>IFERROR(INDEX('계좌현황'!D:D,INDEX($L$20:$L$96,MATCH(LARGE($N$20:$N$96,50),$N$20:$N$96,0))),"")</f>
        <v/>
      </c>
      <c r="E69" s="284">
        <f>IFERROR(INDEX('계좌현황'!E:E,INDEX($L$20:$L$96,MATCH(LARGE($N$20:$N$96,50),$N$20:$N$96,0))),"")</f>
        <v/>
      </c>
      <c r="F69" s="314">
        <f>IFERROR(INDEX('계좌현황'!F:F,INDEX($L$20:$L$96,MATCH(LARGE($N$20:$N$96,50),$N$20:$N$96,0))),"")</f>
        <v/>
      </c>
      <c r="G69" s="315">
        <f>IFERROR(INDEX('계좌현황'!K:K,INDEX($L$20:$L$96,MATCH(LARGE($N$20:$N$96,50),$N$20:$N$96,0))),0)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4" t="n">
        <v>51</v>
      </c>
      <c r="B70" s="284">
        <f>IFERROR(INDEX('계좌현황'!A:A,INDEX($L$20:$L$96,MATCH(LARGE($N$20:$N$96,51),$N$20:$N$96,0))),"")</f>
        <v/>
      </c>
      <c r="C70" s="284">
        <f>IFERROR(INDEX('계좌현황'!C:C,INDEX($L$20:$L$96,MATCH(LARGE($N$20:$N$96,51),$N$20:$N$96,0))),"")</f>
        <v/>
      </c>
      <c r="D70" s="284">
        <f>IFERROR(INDEX('계좌현황'!D:D,INDEX($L$20:$L$96,MATCH(LARGE($N$20:$N$96,51),$N$20:$N$96,0))),"")</f>
        <v/>
      </c>
      <c r="E70" s="284">
        <f>IFERROR(INDEX('계좌현황'!E:E,INDEX($L$20:$L$96,MATCH(LARGE($N$20:$N$96,51),$N$20:$N$96,0))),"")</f>
        <v/>
      </c>
      <c r="F70" s="314">
        <f>IFERROR(INDEX('계좌현황'!F:F,INDEX($L$20:$L$96,MATCH(LARGE($N$20:$N$96,51),$N$20:$N$96,0))),"")</f>
        <v/>
      </c>
      <c r="G70" s="315">
        <f>IFERROR(INDEX('계좌현황'!K:K,INDEX($L$20:$L$96,MATCH(LARGE($N$20:$N$96,51),$N$20:$N$96,0))),0)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7" t="n">
        <v>52</v>
      </c>
      <c r="B71" s="287">
        <f>IFERROR(INDEX('계좌현황'!A:A,INDEX($L$20:$L$96,MATCH(LARGE($N$20:$N$96,52),$N$20:$N$96,0))),"")</f>
        <v/>
      </c>
      <c r="C71" s="287">
        <f>IFERROR(INDEX('계좌현황'!C:C,INDEX($L$20:$L$96,MATCH(LARGE($N$20:$N$96,52),$N$20:$N$96,0))),"")</f>
        <v/>
      </c>
      <c r="D71" s="287">
        <f>IFERROR(INDEX('계좌현황'!D:D,INDEX($L$20:$L$96,MATCH(LARGE($N$20:$N$96,52),$N$20:$N$96,0))),"")</f>
        <v/>
      </c>
      <c r="E71" s="287">
        <f>IFERROR(INDEX('계좌현황'!E:E,INDEX($L$20:$L$96,MATCH(LARGE($N$20:$N$96,52),$N$20:$N$96,0))),"")</f>
        <v/>
      </c>
      <c r="F71" s="317">
        <f>IFERROR(INDEX('계좌현황'!F:F,INDEX($L$20:$L$96,MATCH(LARGE($N$20:$N$96,52),$N$20:$N$96,0))),"")</f>
        <v/>
      </c>
      <c r="G71" s="318">
        <f>IFERROR(INDEX('계좌현황'!K:K,INDEX($L$20:$L$96,MATCH(LARGE($N$20:$N$96,52),$N$20:$N$96,0))),0)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9" t="n">
        <v>65</v>
      </c>
      <c r="B84" s="299">
        <f>IFERROR(INDEX('계좌현황'!A:A,INDEX($L$20:$L$96,MATCH(LARGE($N$20:$N$96,65),$N$20:$N$96,0))),"")</f>
        <v/>
      </c>
      <c r="C84" s="299">
        <f>IFERROR(INDEX('계좌현황'!C:C,INDEX($L$20:$L$96,MATCH(LARGE($N$20:$N$96,65),$N$20:$N$96,0))),"")</f>
        <v/>
      </c>
      <c r="D84" s="299">
        <f>IFERROR(INDEX('계좌현황'!D:D,INDEX($L$20:$L$96,MATCH(LARGE($N$20:$N$96,65),$N$20:$N$96,0))),"")</f>
        <v/>
      </c>
      <c r="E84" s="299">
        <f>IFERROR(INDEX('계좌현황'!E:E,INDEX($L$20:$L$96,MATCH(LARGE($N$20:$N$96,65),$N$20:$N$96,0))),"")</f>
        <v/>
      </c>
      <c r="F84" s="329">
        <f>IFERROR(INDEX('계좌현황'!F:F,INDEX($L$20:$L$96,MATCH(LARGE($N$20:$N$96,65),$N$20:$N$96,0))),"")</f>
        <v/>
      </c>
      <c r="G84" s="330">
        <f>IFERROR(INDEX('계좌현황'!K:K,INDEX($L$20:$L$96,MATCH(LARGE($N$20:$N$96,65),$N$20:$N$96,0))),0)</f>
        <v/>
      </c>
      <c r="H84" s="331">
        <f>IF($B$3=0,0,G84/$B$3)</f>
        <v/>
      </c>
      <c r="I84" s="331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99" t="n">
        <v>67</v>
      </c>
      <c r="B86" s="299">
        <f>IFERROR(INDEX('계좌현황'!A:A,INDEX($L$20:$L$96,MATCH(LARGE($N$20:$N$96,67),$N$20:$N$96,0))),"")</f>
        <v/>
      </c>
      <c r="C86" s="299">
        <f>IFERROR(INDEX('계좌현황'!C:C,INDEX($L$20:$L$96,MATCH(LARGE($N$20:$N$96,67),$N$20:$N$96,0))),"")</f>
        <v/>
      </c>
      <c r="D86" s="299">
        <f>IFERROR(INDEX('계좌현황'!D:D,INDEX($L$20:$L$96,MATCH(LARGE($N$20:$N$96,67),$N$20:$N$96,0))),"")</f>
        <v/>
      </c>
      <c r="E86" s="299">
        <f>IFERROR(INDEX('계좌현황'!E:E,INDEX($L$20:$L$96,MATCH(LARGE($N$20:$N$96,67),$N$20:$N$96,0))),"")</f>
        <v/>
      </c>
      <c r="F86" s="329">
        <f>IFERROR(INDEX('계좌현황'!F:F,INDEX($L$20:$L$96,MATCH(LARGE($N$20:$N$96,67),$N$20:$N$96,0))),"")</f>
        <v/>
      </c>
      <c r="G86" s="330">
        <f>IFERROR(INDEX('계좌현황'!K:K,INDEX($L$20:$L$96,MATCH(LARGE($N$20:$N$96,67),$N$20:$N$96,0))),0)</f>
        <v/>
      </c>
      <c r="H86" s="331">
        <f>IF($B$3=0,0,G86/$B$3)</f>
        <v/>
      </c>
      <c r="I86" s="331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7" t="n">
        <v>69</v>
      </c>
      <c r="B88" s="287">
        <f>IFERROR(INDEX('계좌현황'!A:A,INDEX($L$20:$L$96,MATCH(LARGE($N$20:$N$96,69),$N$20:$N$96,0))),"")</f>
        <v/>
      </c>
      <c r="C88" s="287">
        <f>IFERROR(INDEX('계좌현황'!C:C,INDEX($L$20:$L$96,MATCH(LARGE($N$20:$N$96,69),$N$20:$N$96,0))),"")</f>
        <v/>
      </c>
      <c r="D88" s="287">
        <f>IFERROR(INDEX('계좌현황'!D:D,INDEX($L$20:$L$96,MATCH(LARGE($N$20:$N$96,69),$N$20:$N$96,0))),"")</f>
        <v/>
      </c>
      <c r="E88" s="287">
        <f>IFERROR(INDEX('계좌현황'!E:E,INDEX($L$20:$L$96,MATCH(LARGE($N$20:$N$96,69),$N$20:$N$96,0))),"")</f>
        <v/>
      </c>
      <c r="F88" s="317">
        <f>IFERROR(INDEX('계좌현황'!F:F,INDEX($L$20:$L$96,MATCH(LARGE($N$20:$N$96,69),$N$20:$N$96,0))),"")</f>
        <v/>
      </c>
      <c r="G88" s="318">
        <f>IFERROR(INDEX('계좌현황'!K:K,INDEX($L$20:$L$96,MATCH(LARGE($N$20:$N$96,69),$N$20:$N$96,0))),0)</f>
        <v/>
      </c>
      <c r="H88" s="319">
        <f>IF($B$3=0,0,G88/$B$3)</f>
        <v/>
      </c>
      <c r="I88" s="31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9" t="n">
        <v>70</v>
      </c>
      <c r="B89" s="299">
        <f>IFERROR(INDEX('계좌현황'!A:A,INDEX($L$20:$L$96,MATCH(LARGE($N$20:$N$96,70),$N$20:$N$96,0))),"")</f>
        <v/>
      </c>
      <c r="C89" s="299">
        <f>IFERROR(INDEX('계좌현황'!C:C,INDEX($L$20:$L$96,MATCH(LARGE($N$20:$N$96,70),$N$20:$N$96,0))),"")</f>
        <v/>
      </c>
      <c r="D89" s="299">
        <f>IFERROR(INDEX('계좌현황'!D:D,INDEX($L$20:$L$96,MATCH(LARGE($N$20:$N$96,70),$N$20:$N$96,0))),"")</f>
        <v/>
      </c>
      <c r="E89" s="299">
        <f>IFERROR(INDEX('계좌현황'!E:E,INDEX($L$20:$L$96,MATCH(LARGE($N$20:$N$96,70),$N$20:$N$96,0))),"")</f>
        <v/>
      </c>
      <c r="F89" s="329">
        <f>IFERROR(INDEX('계좌현황'!F:F,INDEX($L$20:$L$96,MATCH(LARGE($N$20:$N$96,70),$N$20:$N$96,0))),"")</f>
        <v/>
      </c>
      <c r="G89" s="330">
        <f>IFERROR(INDEX('계좌현황'!K:K,INDEX($L$20:$L$96,MATCH(LARGE($N$20:$N$96,70),$N$20:$N$96,0))),0)</f>
        <v/>
      </c>
      <c r="H89" s="331">
        <f>IF($B$3=0,0,G89/$B$3)</f>
        <v/>
      </c>
      <c r="I89" s="331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7" t="n">
        <v>71</v>
      </c>
      <c r="B90" s="287">
        <f>IFERROR(INDEX('계좌현황'!A:A,INDEX($L$20:$L$96,MATCH(LARGE($N$20:$N$96,71),$N$20:$N$96,0))),"")</f>
        <v/>
      </c>
      <c r="C90" s="287">
        <f>IFERROR(INDEX('계좌현황'!C:C,INDEX($L$20:$L$96,MATCH(LARGE($N$20:$N$96,71),$N$20:$N$96,0))),"")</f>
        <v/>
      </c>
      <c r="D90" s="287">
        <f>IFERROR(INDEX('계좌현황'!D:D,INDEX($L$20:$L$96,MATCH(LARGE($N$20:$N$96,71),$N$20:$N$96,0))),"")</f>
        <v/>
      </c>
      <c r="E90" s="287">
        <f>IFERROR(INDEX('계좌현황'!E:E,INDEX($L$20:$L$96,MATCH(LARGE($N$20:$N$96,71),$N$20:$N$96,0))),"")</f>
        <v/>
      </c>
      <c r="F90" s="317">
        <f>IFERROR(INDEX('계좌현황'!F:F,INDEX($L$20:$L$96,MATCH(LARGE($N$20:$N$96,71),$N$20:$N$96,0))),"")</f>
        <v/>
      </c>
      <c r="G90" s="318">
        <f>IFERROR(INDEX('계좌현황'!K:K,INDEX($L$20:$L$96,MATCH(LARGE($N$20:$N$96,71),$N$20:$N$96,0))),0)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7" t="n">
        <v>72</v>
      </c>
      <c r="B91" s="287">
        <f>IFERROR(INDEX('계좌현황'!A:A,INDEX($L$20:$L$96,MATCH(LARGE($N$20:$N$96,72),$N$20:$N$96,0))),"")</f>
        <v/>
      </c>
      <c r="C91" s="287">
        <f>IFERROR(INDEX('계좌현황'!C:C,INDEX($L$20:$L$96,MATCH(LARGE($N$20:$N$96,72),$N$20:$N$96,0))),"")</f>
        <v/>
      </c>
      <c r="D91" s="287">
        <f>IFERROR(INDEX('계좌현황'!D:D,INDEX($L$20:$L$96,MATCH(LARGE($N$20:$N$96,72),$N$20:$N$96,0))),"")</f>
        <v/>
      </c>
      <c r="E91" s="287">
        <f>IFERROR(INDEX('계좌현황'!E:E,INDEX($L$20:$L$96,MATCH(LARGE($N$20:$N$96,72),$N$20:$N$96,0))),"")</f>
        <v/>
      </c>
      <c r="F91" s="317">
        <f>IFERROR(INDEX('계좌현황'!F:F,INDEX($L$20:$L$96,MATCH(LARGE($N$20:$N$96,72),$N$20:$N$96,0))),"")</f>
        <v/>
      </c>
      <c r="G91" s="318">
        <f>IFERROR(INDEX('계좌현황'!K:K,INDEX($L$20:$L$96,MATCH(LARGE($N$20:$N$96,72),$N$20:$N$96,0))),0)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7" t="n">
        <v>73</v>
      </c>
      <c r="B92" s="287">
        <f>IFERROR(INDEX('계좌현황'!A:A,INDEX($L$20:$L$96,MATCH(LARGE($N$20:$N$96,73),$N$20:$N$96,0))),"")</f>
        <v/>
      </c>
      <c r="C92" s="287">
        <f>IFERROR(INDEX('계좌현황'!C:C,INDEX($L$20:$L$96,MATCH(LARGE($N$20:$N$96,73),$N$20:$N$96,0))),"")</f>
        <v/>
      </c>
      <c r="D92" s="287">
        <f>IFERROR(INDEX('계좌현황'!D:D,INDEX($L$20:$L$96,MATCH(LARGE($N$20:$N$96,73),$N$20:$N$96,0))),"")</f>
        <v/>
      </c>
      <c r="E92" s="287">
        <f>IFERROR(INDEX('계좌현황'!E:E,INDEX($L$20:$L$96,MATCH(LARGE($N$20:$N$96,73),$N$20:$N$96,0))),"")</f>
        <v/>
      </c>
      <c r="F92" s="317">
        <f>IFERROR(INDEX('계좌현황'!F:F,INDEX($L$20:$L$96,MATCH(LARGE($N$20:$N$96,73),$N$20:$N$96,0))),"")</f>
        <v/>
      </c>
      <c r="G92" s="318">
        <f>IFERROR(INDEX('계좌현황'!K:K,INDEX($L$20:$L$96,MATCH(LARGE($N$20:$N$96,73),$N$20:$N$96,0))),0)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7" t="n">
        <v>74</v>
      </c>
      <c r="B93" s="287">
        <f>IFERROR(INDEX('계좌현황'!A:A,INDEX($L$20:$L$96,MATCH(LARGE($N$20:$N$96,74),$N$20:$N$96,0))),"")</f>
        <v/>
      </c>
      <c r="C93" s="287">
        <f>IFERROR(INDEX('계좌현황'!C:C,INDEX($L$20:$L$96,MATCH(LARGE($N$20:$N$96,74),$N$20:$N$96,0))),"")</f>
        <v/>
      </c>
      <c r="D93" s="287">
        <f>IFERROR(INDEX('계좌현황'!D:D,INDEX($L$20:$L$96,MATCH(LARGE($N$20:$N$96,74),$N$20:$N$96,0))),"")</f>
        <v/>
      </c>
      <c r="E93" s="287">
        <f>IFERROR(INDEX('계좌현황'!E:E,INDEX($L$20:$L$96,MATCH(LARGE($N$20:$N$96,74),$N$20:$N$96,0))),"")</f>
        <v/>
      </c>
      <c r="F93" s="317">
        <f>IFERROR(INDEX('계좌현황'!F:F,INDEX($L$20:$L$96,MATCH(LARGE($N$20:$N$96,74),$N$20:$N$96,0))),"")</f>
        <v/>
      </c>
      <c r="G93" s="318">
        <f>IFERROR(INDEX('계좌현황'!K:K,INDEX($L$20:$L$96,MATCH(LARGE($N$20:$N$96,74),$N$20:$N$96,0))),0)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7" t="n">
        <v>75</v>
      </c>
      <c r="B94" s="287">
        <f>IFERROR(INDEX('계좌현황'!A:A,INDEX($L$20:$L$96,MATCH(LARGE($N$20:$N$96,75),$N$20:$N$96,0))),"")</f>
        <v/>
      </c>
      <c r="C94" s="287">
        <f>IFERROR(INDEX('계좌현황'!C:C,INDEX($L$20:$L$96,MATCH(LARGE($N$20:$N$96,75),$N$20:$N$96,0))),"")</f>
        <v/>
      </c>
      <c r="D94" s="287">
        <f>IFERROR(INDEX('계좌현황'!D:D,INDEX($L$20:$L$96,MATCH(LARGE($N$20:$N$96,75),$N$20:$N$96,0))),"")</f>
        <v/>
      </c>
      <c r="E94" s="287">
        <f>IFERROR(INDEX('계좌현황'!E:E,INDEX($L$20:$L$96,MATCH(LARGE($N$20:$N$96,75),$N$20:$N$96,0))),"")</f>
        <v/>
      </c>
      <c r="F94" s="317">
        <f>IFERROR(INDEX('계좌현황'!F:F,INDEX($L$20:$L$96,MATCH(LARGE($N$20:$N$96,75),$N$20:$N$96,0))),"")</f>
        <v/>
      </c>
      <c r="G94" s="318">
        <f>IFERROR(INDEX('계좌현황'!K:K,INDEX($L$20:$L$96,MATCH(LARGE($N$20:$N$96,75),$N$20:$N$96,0))),0)</f>
        <v/>
      </c>
      <c r="H94" s="319">
        <f>IF($B$3=0,0,G94/$B$3)</f>
        <v/>
      </c>
      <c r="I94" s="31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0" t="n">
        <v>76</v>
      </c>
      <c r="B95" s="290">
        <f>IFERROR(INDEX('계좌현황'!A:A,INDEX($L$20:$L$96,MATCH(LARGE($N$20:$N$96,76),$N$20:$N$96,0))),"")</f>
        <v/>
      </c>
      <c r="C95" s="290">
        <f>IFERROR(INDEX('계좌현황'!C:C,INDEX($L$20:$L$96,MATCH(LARGE($N$20:$N$96,76),$N$20:$N$96,0))),"")</f>
        <v/>
      </c>
      <c r="D95" s="290">
        <f>IFERROR(INDEX('계좌현황'!D:D,INDEX($L$20:$L$96,MATCH(LARGE($N$20:$N$96,76),$N$20:$N$96,0))),"")</f>
        <v/>
      </c>
      <c r="E95" s="290">
        <f>IFERROR(INDEX('계좌현황'!E:E,INDEX($L$20:$L$96,MATCH(LARGE($N$20:$N$96,76),$N$20:$N$96,0))),"")</f>
        <v/>
      </c>
      <c r="F95" s="320">
        <f>IFERROR(INDEX('계좌현황'!F:F,INDEX($L$20:$L$96,MATCH(LARGE($N$20:$N$96,76),$N$20:$N$96,0))),"")</f>
        <v/>
      </c>
      <c r="G95" s="321">
        <f>IFERROR(INDEX('계좌현황'!K:K,INDEX($L$20:$L$96,MATCH(LARGE($N$20:$N$96,76),$N$20:$N$96,0))),0)</f>
        <v/>
      </c>
      <c r="H95" s="322">
        <f>IF($B$3=0,0,G95/$B$3)</f>
        <v/>
      </c>
      <c r="I95" s="32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6" t="n">
        <v>77</v>
      </c>
      <c r="B96" s="296">
        <f>IFERROR(INDEX('계좌현황'!A:A,INDEX($L$20:$L$96,MATCH(LARGE($N$20:$N$96,77),$N$20:$N$96,0))),"")</f>
        <v/>
      </c>
      <c r="C96" s="296">
        <f>IFERROR(INDEX('계좌현황'!C:C,INDEX($L$20:$L$96,MATCH(LARGE($N$20:$N$96,77),$N$20:$N$96,0))),"")</f>
        <v/>
      </c>
      <c r="D96" s="296">
        <f>IFERROR(INDEX('계좌현황'!D:D,INDEX($L$20:$L$96,MATCH(LARGE($N$20:$N$96,77),$N$20:$N$96,0))),"")</f>
        <v/>
      </c>
      <c r="E96" s="296">
        <f>IFERROR(INDEX('계좌현황'!E:E,INDEX($L$20:$L$96,MATCH(LARGE($N$20:$N$96,77),$N$20:$N$96,0))),"")</f>
        <v/>
      </c>
      <c r="F96" s="326">
        <f>IFERROR(INDEX('계좌현황'!F:F,INDEX($L$20:$L$96,MATCH(LARGE($N$20:$N$96,77),$N$20:$N$96,0))),"")</f>
        <v/>
      </c>
      <c r="G96" s="327">
        <f>IFERROR(INDEX('계좌현황'!K:K,INDEX($L$20:$L$96,MATCH(LARGE($N$20:$N$96,77),$N$20:$N$96,0))),0)</f>
        <v/>
      </c>
      <c r="H96" s="328">
        <f>IF($B$3=0,0,G96/$B$3)</f>
        <v/>
      </c>
      <c r="I96" s="328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1,466원/$  | 연간 합계 50,415,392원 · 월평균 4,201,283원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4049799.46</v>
      </c>
      <c r="C7" s="276" t="n">
        <v>0</v>
      </c>
      <c r="D7" s="276" t="n">
        <v>4049799.46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4204222.600000001</v>
      </c>
      <c r="C8" s="276" t="n">
        <v>0</v>
      </c>
      <c r="D8" s="276" t="n">
        <v>4204222.600000001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4555912.791999999</v>
      </c>
      <c r="C9" s="279" t="n">
        <v>35408</v>
      </c>
      <c r="D9" s="279" t="n">
        <v>4591320.791999999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4161032.858</v>
      </c>
      <c r="C10" s="279" t="n">
        <v>5104</v>
      </c>
      <c r="D10" s="279" t="n">
        <v>4166136.858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4236652.238</v>
      </c>
      <c r="C11" s="276" t="n">
        <v>0</v>
      </c>
      <c r="D11" s="276" t="n">
        <v>4236652.238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4231065.967999999</v>
      </c>
      <c r="C12" s="279" t="n">
        <v>71528</v>
      </c>
      <c r="D12" s="279" t="n">
        <v>4302593.967999999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1414857</v>
      </c>
      <c r="C13" s="279" t="n">
        <v>2662112.668</v>
      </c>
      <c r="D13" s="279" t="n">
        <v>4076969.668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3861376.013</v>
      </c>
      <c r="D14" s="285" t="n">
        <v>3861376.013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3987158.392</v>
      </c>
      <c r="D15" s="285" t="n">
        <v>3987158.392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3851956.064</v>
      </c>
      <c r="D16" s="285" t="n">
        <v>3851956.064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4133021.536</v>
      </c>
      <c r="D17" s="285" t="n">
        <v>4133021.536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4954184.539</v>
      </c>
      <c r="D18" s="285" t="n">
        <v>4954184.539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0.09699999999999999</v>
      </c>
      <c r="F24" s="300" t="n">
        <v>174870670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0.0998</v>
      </c>
      <c r="F25" s="300" t="n">
        <v>68605200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0.1572</v>
      </c>
      <c r="F26" s="300" t="n">
        <v>28749815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0.1508</v>
      </c>
      <c r="F27" s="300" t="n">
        <v>26364415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0.1126</v>
      </c>
      <c r="F28" s="300" t="n">
        <v>30750000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0.1376</v>
      </c>
      <c r="F29" s="300" t="n">
        <v>22965300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0.09050000000000001</v>
      </c>
      <c r="F30" s="300" t="n">
        <v>20360000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0.06509999999999999</v>
      </c>
      <c r="F31" s="300" t="n">
        <v>23230000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0.1368</v>
      </c>
      <c r="F32" s="300" t="n">
        <v>10274840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0.0295</v>
      </c>
      <c r="F33" s="300" t="n">
        <v>44113445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0.1281</v>
      </c>
      <c r="F34" s="300" t="n">
        <v>8304000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0.0292</v>
      </c>
      <c r="F35" s="300" t="n">
        <v>18653250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0.021</v>
      </c>
      <c r="F36" s="300" t="n">
        <v>25525320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0.0951</v>
      </c>
      <c r="F37" s="300" t="n">
        <v>5229625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0.1395</v>
      </c>
      <c r="F38" s="300" t="n">
        <v>3002777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40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1466</v>
      </c>
      <c r="H44" s="275" t="inlineStr">
        <is>
          <t>실적</t>
        </is>
      </c>
    </row>
    <row r="45">
      <c r="A45" s="340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40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40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40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40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40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40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40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40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40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40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40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40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40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40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40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40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40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40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40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40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40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40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20978.46</v>
      </c>
      <c r="H67" s="275" t="inlineStr">
        <is>
          <t>실적</t>
        </is>
      </c>
    </row>
    <row r="68">
      <c r="A68" s="340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3430.44</v>
      </c>
      <c r="H68" s="275" t="inlineStr">
        <is>
          <t>실적</t>
        </is>
      </c>
    </row>
    <row r="69">
      <c r="A69" s="340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40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40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40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40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40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1509.98</v>
      </c>
      <c r="H74" s="275" t="inlineStr">
        <is>
          <t>실적</t>
        </is>
      </c>
    </row>
    <row r="75">
      <c r="A75" s="340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1817.84</v>
      </c>
      <c r="H75" s="275" t="inlineStr">
        <is>
          <t>실적</t>
        </is>
      </c>
    </row>
    <row r="76">
      <c r="A76" s="340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2609.48</v>
      </c>
      <c r="H76" s="275" t="inlineStr">
        <is>
          <t>실적</t>
        </is>
      </c>
    </row>
    <row r="77">
      <c r="A77" s="340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2668.12</v>
      </c>
      <c r="H77" s="275" t="inlineStr">
        <is>
          <t>실적</t>
        </is>
      </c>
    </row>
    <row r="78">
      <c r="A78" s="340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40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40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40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40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40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40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40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40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40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40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40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40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40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40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40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20978.46</v>
      </c>
      <c r="H93" s="275" t="inlineStr">
        <is>
          <t>실적</t>
        </is>
      </c>
    </row>
    <row r="94">
      <c r="A94" s="340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5981.28</v>
      </c>
      <c r="H94" s="275" t="inlineStr">
        <is>
          <t>실적</t>
        </is>
      </c>
    </row>
    <row r="95">
      <c r="A95" s="340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6010.599999999999</v>
      </c>
      <c r="H95" s="275" t="inlineStr">
        <is>
          <t>실적</t>
        </is>
      </c>
    </row>
    <row r="96">
      <c r="A96" s="340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40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40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40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40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40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40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1401.496</v>
      </c>
      <c r="H102" s="275" t="inlineStr">
        <is>
          <t>실적</t>
        </is>
      </c>
    </row>
    <row r="103">
      <c r="A103" s="340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40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9042.288</v>
      </c>
      <c r="H104" s="275" t="inlineStr">
        <is>
          <t>실적</t>
        </is>
      </c>
    </row>
    <row r="105">
      <c r="A105" s="341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41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40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40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40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40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40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40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40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40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40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40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40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40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40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40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40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28037.25</v>
      </c>
      <c r="H121" s="275" t="inlineStr">
        <is>
          <t>실적</t>
        </is>
      </c>
    </row>
    <row r="122">
      <c r="A122" s="340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21056.158</v>
      </c>
      <c r="H122" s="275" t="inlineStr">
        <is>
          <t>실적</t>
        </is>
      </c>
    </row>
    <row r="123">
      <c r="A123" s="340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40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1466</v>
      </c>
      <c r="H124" s="275" t="inlineStr">
        <is>
          <t>실적</t>
        </is>
      </c>
    </row>
    <row r="125">
      <c r="A125" s="340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40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40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40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40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40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13120.7</v>
      </c>
      <c r="H130" s="275" t="inlineStr">
        <is>
          <t>실적</t>
        </is>
      </c>
    </row>
    <row r="131">
      <c r="A131" s="340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40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40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41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40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40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40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40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40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40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40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40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40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40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40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40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40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40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40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21056.158</v>
      </c>
      <c r="H149" s="275" t="inlineStr">
        <is>
          <t>실적</t>
        </is>
      </c>
    </row>
    <row r="150">
      <c r="A150" s="340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40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3562.38</v>
      </c>
      <c r="H151" s="275" t="inlineStr">
        <is>
          <t>실적</t>
        </is>
      </c>
    </row>
    <row r="152">
      <c r="A152" s="340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40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40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40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40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40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1817.84</v>
      </c>
      <c r="H157" s="275" t="inlineStr">
        <is>
          <t>실적</t>
        </is>
      </c>
    </row>
    <row r="158">
      <c r="A158" s="340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1509.98</v>
      </c>
      <c r="H158" s="275" t="inlineStr">
        <is>
          <t>실적</t>
        </is>
      </c>
    </row>
    <row r="159">
      <c r="A159" s="340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2609.48</v>
      </c>
      <c r="H159" s="275" t="inlineStr">
        <is>
          <t>실적</t>
        </is>
      </c>
    </row>
    <row r="160">
      <c r="A160" s="340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2668.12</v>
      </c>
      <c r="H160" s="275" t="inlineStr">
        <is>
          <t>실적</t>
        </is>
      </c>
    </row>
    <row r="161">
      <c r="A161" s="340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40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40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40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40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40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40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40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40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40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40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40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40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40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21056.158</v>
      </c>
      <c r="H174" s="275" t="inlineStr">
        <is>
          <t>실적</t>
        </is>
      </c>
    </row>
    <row r="175">
      <c r="A175" s="340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5981.28</v>
      </c>
      <c r="H175" s="275" t="inlineStr">
        <is>
          <t>실적</t>
        </is>
      </c>
    </row>
    <row r="176">
      <c r="A176" s="340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6010.599999999999</v>
      </c>
      <c r="H176" s="275" t="inlineStr">
        <is>
          <t>실적</t>
        </is>
      </c>
    </row>
    <row r="177">
      <c r="A177" s="340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1466</v>
      </c>
      <c r="H177" s="275" t="inlineStr">
        <is>
          <t>실적</t>
        </is>
      </c>
    </row>
    <row r="178">
      <c r="A178" s="340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1400.03</v>
      </c>
      <c r="H178" s="275" t="inlineStr">
        <is>
          <t>실적</t>
        </is>
      </c>
    </row>
    <row r="179">
      <c r="A179" s="340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40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40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40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40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40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13120.7</v>
      </c>
      <c r="H184" s="275" t="inlineStr">
        <is>
          <t>실적</t>
        </is>
      </c>
    </row>
    <row r="185">
      <c r="A185" s="340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2503.928</v>
      </c>
      <c r="H185" s="275" t="inlineStr">
        <is>
          <t>실적</t>
        </is>
      </c>
    </row>
    <row r="186">
      <c r="A186" s="340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8901.552</v>
      </c>
      <c r="H186" s="275" t="inlineStr">
        <is>
          <t>실적</t>
        </is>
      </c>
    </row>
    <row r="187">
      <c r="A187" s="341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41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41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40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40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40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40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40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40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40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40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40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40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40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40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40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21056.158</v>
      </c>
      <c r="H202" s="275" t="inlineStr">
        <is>
          <t>실적</t>
        </is>
      </c>
    </row>
    <row r="203">
      <c r="A203" s="341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20667.668</v>
      </c>
      <c r="H203" s="284" t="inlineStr">
        <is>
          <t>예측</t>
        </is>
      </c>
    </row>
    <row r="204">
      <c r="A204" s="340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1466</v>
      </c>
      <c r="H204" s="275" t="inlineStr">
        <is>
          <t>실적</t>
        </is>
      </c>
    </row>
    <row r="205">
      <c r="A205" s="340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40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40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40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40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41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41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41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41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41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41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41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41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41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41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41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41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41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41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41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41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41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41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20667.668</v>
      </c>
      <c r="H227" s="284" t="inlineStr">
        <is>
          <t>예측</t>
        </is>
      </c>
    </row>
    <row r="228">
      <c r="A228" s="341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41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3364.47</v>
      </c>
      <c r="H229" s="284" t="inlineStr">
        <is>
          <t>예측</t>
        </is>
      </c>
    </row>
    <row r="230">
      <c r="A230" s="341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41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41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41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41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1422.02</v>
      </c>
      <c r="H234" s="284" t="inlineStr">
        <is>
          <t>예측</t>
        </is>
      </c>
    </row>
    <row r="235">
      <c r="A235" s="341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1729.88</v>
      </c>
      <c r="H235" s="284" t="inlineStr">
        <is>
          <t>예측</t>
        </is>
      </c>
    </row>
    <row r="236">
      <c r="A236" s="341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12061.515</v>
      </c>
      <c r="H236" s="284" t="inlineStr">
        <is>
          <t>예측</t>
        </is>
      </c>
    </row>
    <row r="237">
      <c r="A237" s="341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2316.28</v>
      </c>
      <c r="H237" s="284" t="inlineStr">
        <is>
          <t>예측</t>
        </is>
      </c>
    </row>
    <row r="238">
      <c r="A238" s="341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2448.22</v>
      </c>
      <c r="H238" s="284" t="inlineStr">
        <is>
          <t>예측</t>
        </is>
      </c>
    </row>
    <row r="239">
      <c r="A239" s="341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41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41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41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41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41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41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41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41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41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41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41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41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41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41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4485.96</v>
      </c>
      <c r="H253" s="284" t="inlineStr">
        <is>
          <t>예측</t>
        </is>
      </c>
    </row>
    <row r="254">
      <c r="A254" s="341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5644.1</v>
      </c>
      <c r="H254" s="284" t="inlineStr">
        <is>
          <t>예측</t>
        </is>
      </c>
    </row>
    <row r="255">
      <c r="A255" s="341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20667.668</v>
      </c>
      <c r="H255" s="284" t="inlineStr">
        <is>
          <t>예측</t>
        </is>
      </c>
    </row>
    <row r="256">
      <c r="A256" s="341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41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41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41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41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1061.384</v>
      </c>
      <c r="H260" s="284" t="inlineStr">
        <is>
          <t>예측</t>
        </is>
      </c>
    </row>
    <row r="261">
      <c r="A261" s="341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41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9001.24</v>
      </c>
      <c r="H262" s="284" t="inlineStr">
        <is>
          <t>예측</t>
        </is>
      </c>
    </row>
    <row r="263">
      <c r="A263" s="341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41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41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41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41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41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41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41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41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41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41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41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41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41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41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41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12461</v>
      </c>
      <c r="H278" s="284" t="inlineStr">
        <is>
          <t>예측</t>
        </is>
      </c>
    </row>
    <row r="279">
      <c r="A279" s="341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11874.6</v>
      </c>
      <c r="H279" s="284" t="inlineStr">
        <is>
          <t>예측</t>
        </is>
      </c>
    </row>
    <row r="280">
      <c r="A280" s="341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1319.4</v>
      </c>
      <c r="H280" s="284" t="inlineStr">
        <is>
          <t>예측</t>
        </is>
      </c>
    </row>
    <row r="281">
      <c r="A281" s="341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20823.064</v>
      </c>
      <c r="H281" s="284" t="inlineStr">
        <is>
          <t>예측</t>
        </is>
      </c>
    </row>
    <row r="282">
      <c r="A282" s="341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41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41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41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41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41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41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41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41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41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41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41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41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41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41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41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41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41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41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41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41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41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3364.47</v>
      </c>
      <c r="H303" s="284" t="inlineStr">
        <is>
          <t>예측</t>
        </is>
      </c>
    </row>
    <row r="304">
      <c r="A304" s="341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41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41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41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41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41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41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20745.366</v>
      </c>
      <c r="H310" s="284" t="inlineStr">
        <is>
          <t>예측</t>
        </is>
      </c>
    </row>
    <row r="311">
      <c r="A311" s="341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1803.18</v>
      </c>
      <c r="H311" s="284" t="inlineStr">
        <is>
          <t>예측</t>
        </is>
      </c>
    </row>
    <row r="312">
      <c r="A312" s="341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1480.66</v>
      </c>
      <c r="H312" s="284" t="inlineStr">
        <is>
          <t>예측</t>
        </is>
      </c>
    </row>
    <row r="313">
      <c r="A313" s="341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2448.22</v>
      </c>
      <c r="H313" s="284" t="inlineStr">
        <is>
          <t>예측</t>
        </is>
      </c>
    </row>
    <row r="314">
      <c r="A314" s="341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2550.84</v>
      </c>
      <c r="H314" s="284" t="inlineStr">
        <is>
          <t>예측</t>
        </is>
      </c>
    </row>
    <row r="315">
      <c r="A315" s="341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5570.8</v>
      </c>
      <c r="H315" s="284" t="inlineStr">
        <is>
          <t>예측</t>
        </is>
      </c>
    </row>
    <row r="316">
      <c r="A316" s="341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41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41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41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41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41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41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41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41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41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41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41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41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41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41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5937.3</v>
      </c>
      <c r="H330" s="284" t="inlineStr">
        <is>
          <t>예측</t>
        </is>
      </c>
    </row>
    <row r="331">
      <c r="A331" s="341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9552.456</v>
      </c>
      <c r="H331" s="284" t="inlineStr">
        <is>
          <t>예측</t>
        </is>
      </c>
    </row>
    <row r="332">
      <c r="A332" s="341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41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41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41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41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41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1063.583</v>
      </c>
      <c r="H337" s="284" t="inlineStr">
        <is>
          <t>예측</t>
        </is>
      </c>
    </row>
    <row r="338">
      <c r="A338" s="341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20745.366</v>
      </c>
      <c r="H338" s="284" t="inlineStr">
        <is>
          <t>예측</t>
        </is>
      </c>
    </row>
    <row r="339">
      <c r="A339" s="341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1098.034</v>
      </c>
      <c r="H339" s="284" t="inlineStr">
        <is>
          <t>예측</t>
        </is>
      </c>
    </row>
    <row r="340">
      <c r="A340" s="341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41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41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41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41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41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41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41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41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41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41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41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41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41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12167.8</v>
      </c>
      <c r="H353" s="284" t="inlineStr">
        <is>
          <t>예측</t>
        </is>
      </c>
    </row>
    <row r="354">
      <c r="A354" s="341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41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41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41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2026-07-24T01:05:38Z</dcterms:modified>
  <cp:lastModifiedBy>조효진 (상담심리)</cp:lastModifiedBy>
</cp:coreProperties>
</file>