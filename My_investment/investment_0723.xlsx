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￦1,439</t>
        </is>
      </c>
      <c r="J5" s="73" t="n">
        <v>1438.64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11405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11445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10350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11550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13625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11310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7405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3995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26020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14545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11405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14125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21850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11825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29930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26145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11065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11405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14545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16345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8335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120100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13310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6830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12335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172300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8305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11430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11010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209000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209000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16960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298.3200073242188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65.54000091552734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31.98999977111816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338.1900024414062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20400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162400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77.58000183105469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166200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6905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66600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112.5500030517578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179.2599945068359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190.0099945068359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33.83000183105469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390.5400085449219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181.5200042724609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51.58000183105469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123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58.59999847412109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8.850000381469727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43.22000122070312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374.6700134277344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160.0899963378906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159.6900024414062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117.7399978637695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6.650000095367432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104.1399993896484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7.590000152587891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12910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36.84000015258789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15210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173980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29715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21850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191.8600006103516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156.75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114.2200012207031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4" t="n">
        <v>16</v>
      </c>
      <c r="B35" s="294">
        <f>IFERROR(INDEX('계좌현황'!A:A,INDEX($L$20:$L$95,MATCH(LARGE($N$20:$N$95,16),$N$20:$N$95,0))),"")</f>
        <v/>
      </c>
      <c r="C35" s="294">
        <f>IFERROR(INDEX('계좌현황'!C:C,INDEX($L$20:$L$95,MATCH(LARGE($N$20:$N$95,16),$N$20:$N$95,0))),"")</f>
        <v/>
      </c>
      <c r="D35" s="294">
        <f>IFERROR(INDEX('계좌현황'!D:D,INDEX($L$20:$L$95,MATCH(LARGE($N$20:$N$95,16),$N$20:$N$95,0))),"")</f>
        <v/>
      </c>
      <c r="E35" s="294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IFERROR(INDEX('계좌현황'!A:A,INDEX($L$20:$L$95,MATCH(LARGE($N$20:$N$95,17),$N$20:$N$95,0))),"")</f>
        <v/>
      </c>
      <c r="C36" s="288">
        <f>IFERROR(INDEX('계좌현황'!C:C,INDEX($L$20:$L$95,MATCH(LARGE($N$20:$N$95,17),$N$20:$N$95,0))),"")</f>
        <v/>
      </c>
      <c r="D36" s="288">
        <f>IFERROR(INDEX('계좌현황'!D:D,INDEX($L$20:$L$95,MATCH(LARGE($N$20:$N$95,17),$N$20:$N$95,0))),"")</f>
        <v/>
      </c>
      <c r="E36" s="288">
        <f>IFERROR(INDEX('계좌현황'!E:E,INDEX($L$20:$L$95,MATCH(LARGE($N$20:$N$95,17),$N$20:$N$95,0))),"")</f>
        <v/>
      </c>
      <c r="F36" s="315">
        <f>IFERROR(INDEX('계좌현황'!F:F,INDEX($L$20:$L$95,MATCH(LARGE($N$20:$N$95,17),$N$20:$N$95,0))),"")</f>
        <v/>
      </c>
      <c r="G36" s="316">
        <f>IFERROR(INDEX('계좌현황'!K:K,INDEX($L$20:$L$95,MATCH(LARGE($N$20:$N$95,17),$N$20:$N$95,0))),0)</f>
        <v/>
      </c>
      <c r="H36" s="317">
        <f>IF($B$3=0,0,G36/$B$3)</f>
        <v/>
      </c>
      <c r="I36" s="317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5">
        <f>IFERROR(INDEX('계좌현황'!F:F,INDEX($L$20:$L$95,MATCH(LARGE($N$20:$N$95,21),$N$20:$N$95,0))),"")</f>
        <v/>
      </c>
      <c r="G40" s="316">
        <f>IFERROR(INDEX('계좌현황'!K:K,INDEX($L$20:$L$95,MATCH(LARGE($N$20:$N$95,21),$N$20:$N$95,0))),0)</f>
        <v/>
      </c>
      <c r="H40" s="317">
        <f>IF($B$3=0,0,G40/$B$3)</f>
        <v/>
      </c>
      <c r="I40" s="317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6" t="n">
        <v>22</v>
      </c>
      <c r="B41" s="276">
        <f>IFERROR(INDEX('계좌현황'!A:A,INDEX($L$20:$L$95,MATCH(LARGE($N$20:$N$95,22),$N$20:$N$95,0))),"")</f>
        <v/>
      </c>
      <c r="C41" s="276">
        <f>IFERROR(INDEX('계좌현황'!C:C,INDEX($L$20:$L$95,MATCH(LARGE($N$20:$N$95,22),$N$20:$N$95,0))),"")</f>
        <v/>
      </c>
      <c r="D41" s="276">
        <f>IFERROR(INDEX('계좌현황'!D:D,INDEX($L$20:$L$95,MATCH(LARGE($N$20:$N$95,22),$N$20:$N$95,0))),"")</f>
        <v/>
      </c>
      <c r="E41" s="276">
        <f>IFERROR(INDEX('계좌현황'!E:E,INDEX($L$20:$L$95,MATCH(LARGE($N$20:$N$95,22),$N$20:$N$95,0))),"")</f>
        <v/>
      </c>
      <c r="F41" s="306">
        <f>IFERROR(INDEX('계좌현황'!F:F,INDEX($L$20:$L$95,MATCH(LARGE($N$20:$N$95,22),$N$20:$N$95,0))),"")</f>
        <v/>
      </c>
      <c r="G41" s="307">
        <f>IFERROR(INDEX('계좌현황'!K:K,INDEX($L$20:$L$95,MATCH(LARGE($N$20:$N$95,22),$N$20:$N$95,0))),0)</f>
        <v/>
      </c>
      <c r="H41" s="308">
        <f>IF($B$3=0,0,G41/$B$3)</f>
        <v/>
      </c>
      <c r="I41" s="308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5">
        <f>IFERROR(INDEX('계좌현황'!F:F,INDEX($L$20:$L$95,MATCH(LARGE($N$20:$N$95,23),$N$20:$N$95,0))),"")</f>
        <v/>
      </c>
      <c r="G42" s="316">
        <f>IFERROR(INDEX('계좌현황'!K:K,INDEX($L$20:$L$95,MATCH(LARGE($N$20:$N$95,23),$N$20:$N$95,0))),0)</f>
        <v/>
      </c>
      <c r="H42" s="317">
        <f>IF($B$3=0,0,G42/$B$3)</f>
        <v/>
      </c>
      <c r="I42" s="31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5" t="n">
        <v>38</v>
      </c>
      <c r="B57" s="285">
        <f>IFERROR(INDEX('계좌현황'!A:A,INDEX($L$20:$L$95,MATCH(LARGE($N$20:$N$95,38),$N$20:$N$95,0))),"")</f>
        <v/>
      </c>
      <c r="C57" s="285">
        <f>IFERROR(INDEX('계좌현황'!C:C,INDEX($L$20:$L$95,MATCH(LARGE($N$20:$N$95,38),$N$20:$N$95,0))),"")</f>
        <v/>
      </c>
      <c r="D57" s="285">
        <f>IFERROR(INDEX('계좌현황'!D:D,INDEX($L$20:$L$95,MATCH(LARGE($N$20:$N$95,38),$N$20:$N$95,0))),"")</f>
        <v/>
      </c>
      <c r="E57" s="285">
        <f>IFERROR(INDEX('계좌현황'!E:E,INDEX($L$20:$L$95,MATCH(LARGE($N$20:$N$95,38),$N$20:$N$95,0))),"")</f>
        <v/>
      </c>
      <c r="F57" s="312">
        <f>IFERROR(INDEX('계좌현황'!F:F,INDEX($L$20:$L$95,MATCH(LARGE($N$20:$N$95,38),$N$20:$N$95,0))),"")</f>
        <v/>
      </c>
      <c r="G57" s="313">
        <f>IFERROR(INDEX('계좌현황'!K:K,INDEX($L$20:$L$95,MATCH(LARGE($N$20:$N$95,38),$N$20:$N$95,0))),0)</f>
        <v/>
      </c>
      <c r="H57" s="314">
        <f>IF($B$3=0,0,G57/$B$3)</f>
        <v/>
      </c>
      <c r="I57" s="314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5" t="n">
        <v>47</v>
      </c>
      <c r="B66" s="285">
        <f>IFERROR(INDEX('계좌현황'!A:A,INDEX($L$20:$L$95,MATCH(LARGE($N$20:$N$95,47),$N$20:$N$95,0))),"")</f>
        <v/>
      </c>
      <c r="C66" s="285">
        <f>IFERROR(INDEX('계좌현황'!C:C,INDEX($L$20:$L$95,MATCH(LARGE($N$20:$N$95,47),$N$20:$N$95,0))),"")</f>
        <v/>
      </c>
      <c r="D66" s="285">
        <f>IFERROR(INDEX('계좌현황'!D:D,INDEX($L$20:$L$95,MATCH(LARGE($N$20:$N$95,47),$N$20:$N$95,0))),"")</f>
        <v/>
      </c>
      <c r="E66" s="285">
        <f>IFERROR(INDEX('계좌현황'!E:E,INDEX($L$20:$L$95,MATCH(LARGE($N$20:$N$95,47),$N$20:$N$95,0))),"")</f>
        <v/>
      </c>
      <c r="F66" s="312">
        <f>IFERROR(INDEX('계좌현황'!F:F,INDEX($L$20:$L$95,MATCH(LARGE($N$20:$N$95,47),$N$20:$N$95,0))),"")</f>
        <v/>
      </c>
      <c r="G66" s="313">
        <f>IFERROR(INDEX('계좌현황'!K:K,INDEX($L$20:$L$95,MATCH(LARGE($N$20:$N$95,47),$N$20:$N$95,0))),0)</f>
        <v/>
      </c>
      <c r="H66" s="314">
        <f>IF($B$3=0,0,G66/$B$3)</f>
        <v/>
      </c>
      <c r="I66" s="314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5">
        <f>IFERROR(INDEX('계좌현황'!F:F,INDEX($L$20:$L$95,MATCH(LARGE($N$20:$N$95,49),$N$20:$N$95,0))),"")</f>
        <v/>
      </c>
      <c r="G68" s="316">
        <f>IFERROR(INDEX('계좌현황'!K:K,INDEX($L$20:$L$95,MATCH(LARGE($N$20:$N$95,49),$N$20:$N$95,0))),0)</f>
        <v/>
      </c>
      <c r="H68" s="317">
        <f>IF($B$3=0,0,G68/$B$3)</f>
        <v/>
      </c>
      <c r="I68" s="317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2">
        <f>IFERROR(INDEX('계좌현황'!F:F,INDEX($L$20:$L$95,MATCH(LARGE($N$20:$N$95,51),$N$20:$N$95,0))),"")</f>
        <v/>
      </c>
      <c r="G70" s="313">
        <f>IFERROR(INDEX('계좌현황'!K:K,INDEX($L$20:$L$95,MATCH(LARGE($N$20:$N$95,51),$N$20:$N$95,0))),0)</f>
        <v/>
      </c>
      <c r="H70" s="314">
        <f>IF($B$3=0,0,G70/$B$3)</f>
        <v/>
      </c>
      <c r="I70" s="314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24">
        <f>IFERROR(INDEX('계좌현황'!F:F,INDEX($L$20:$L$95,MATCH(LARGE($N$20:$N$95,65),$N$20:$N$95,0))),"")</f>
        <v/>
      </c>
      <c r="G84" s="325">
        <f>IFERROR(INDEX('계좌현황'!K:K,INDEX($L$20:$L$95,MATCH(LARGE($N$20:$N$95,65),$N$20:$N$95,0))),0)</f>
        <v/>
      </c>
      <c r="H84" s="326">
        <f>IF($B$3=0,0,G84/$B$3)</f>
        <v/>
      </c>
      <c r="I84" s="326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IFERROR(INDEX('계좌현황'!A:A,INDEX($L$20:$L$95,MATCH(LARGE($N$20:$N$95,66),$N$20:$N$95,0))),"")</f>
        <v/>
      </c>
      <c r="C85" s="288">
        <f>IFERROR(INDEX('계좌현황'!C:C,INDEX($L$20:$L$95,MATCH(LARGE($N$20:$N$95,66),$N$20:$N$95,0))),"")</f>
        <v/>
      </c>
      <c r="D85" s="288">
        <f>IFERROR(INDEX('계좌현황'!D:D,INDEX($L$20:$L$95,MATCH(LARGE($N$20:$N$95,66),$N$20:$N$95,0))),"")</f>
        <v/>
      </c>
      <c r="E85" s="288">
        <f>IFERROR(INDEX('계좌현황'!E:E,INDEX($L$20:$L$95,MATCH(LARGE($N$20:$N$95,66),$N$20:$N$95,0))),"")</f>
        <v/>
      </c>
      <c r="F85" s="315">
        <f>IFERROR(INDEX('계좌현황'!F:F,INDEX($L$20:$L$95,MATCH(LARGE($N$20:$N$95,66),$N$20:$N$95,0))),"")</f>
        <v/>
      </c>
      <c r="G85" s="316">
        <f>IFERROR(INDEX('계좌현황'!K:K,INDEX($L$20:$L$95,MATCH(LARGE($N$20:$N$95,66),$N$20:$N$95,0))),0)</f>
        <v/>
      </c>
      <c r="H85" s="317">
        <f>IF($B$3=0,0,G85/$B$3)</f>
        <v/>
      </c>
      <c r="I85" s="317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300" t="n">
        <v>68</v>
      </c>
      <c r="B87" s="300">
        <f>IFERROR(INDEX('계좌현황'!A:A,INDEX($L$20:$L$95,MATCH(LARGE($N$20:$N$95,68),$N$20:$N$95,0))),"")</f>
        <v/>
      </c>
      <c r="C87" s="300">
        <f>IFERROR(INDEX('계좌현황'!C:C,INDEX($L$20:$L$95,MATCH(LARGE($N$20:$N$95,68),$N$20:$N$95,0))),"")</f>
        <v/>
      </c>
      <c r="D87" s="300">
        <f>IFERROR(INDEX('계좌현황'!D:D,INDEX($L$20:$L$95,MATCH(LARGE($N$20:$N$95,68),$N$20:$N$95,0))),"")</f>
        <v/>
      </c>
      <c r="E87" s="300">
        <f>IFERROR(INDEX('계좌현황'!E:E,INDEX($L$20:$L$95,MATCH(LARGE($N$20:$N$95,68),$N$20:$N$95,0))),"")</f>
        <v/>
      </c>
      <c r="F87" s="324">
        <f>IFERROR(INDEX('계좌현황'!F:F,INDEX($L$20:$L$95,MATCH(LARGE($N$20:$N$95,68),$N$20:$N$95,0))),"")</f>
        <v/>
      </c>
      <c r="G87" s="325">
        <f>IFERROR(INDEX('계좌현황'!K:K,INDEX($L$20:$L$95,MATCH(LARGE($N$20:$N$95,68),$N$20:$N$95,0))),0)</f>
        <v/>
      </c>
      <c r="H87" s="326">
        <f>IF($B$3=0,0,G87/$B$3)</f>
        <v/>
      </c>
      <c r="I87" s="326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IFERROR(INDEX('계좌현황'!A:A,INDEX($L$20:$L$95,MATCH(LARGE($N$20:$N$95,69),$N$20:$N$95,0))),"")</f>
        <v/>
      </c>
      <c r="C88" s="288">
        <f>IFERROR(INDEX('계좌현황'!C:C,INDEX($L$20:$L$95,MATCH(LARGE($N$20:$N$95,69),$N$20:$N$95,0))),"")</f>
        <v/>
      </c>
      <c r="D88" s="288">
        <f>IFERROR(INDEX('계좌현황'!D:D,INDEX($L$20:$L$95,MATCH(LARGE($N$20:$N$95,69),$N$20:$N$95,0))),"")</f>
        <v/>
      </c>
      <c r="E88" s="288">
        <f>IFERROR(INDEX('계좌현황'!E:E,INDEX($L$20:$L$95,MATCH(LARGE($N$20:$N$95,69),$N$20:$N$95,0))),"")</f>
        <v/>
      </c>
      <c r="F88" s="315">
        <f>IFERROR(INDEX('계좌현황'!F:F,INDEX($L$20:$L$95,MATCH(LARGE($N$20:$N$95,69),$N$20:$N$95,0))),"")</f>
        <v/>
      </c>
      <c r="G88" s="316">
        <f>IFERROR(INDEX('계좌현황'!K:K,INDEX($L$20:$L$95,MATCH(LARGE($N$20:$N$95,69),$N$20:$N$95,0))),0)</f>
        <v/>
      </c>
      <c r="H88" s="317">
        <f>IF($B$3=0,0,G88/$B$3)</f>
        <v/>
      </c>
      <c r="I88" s="317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1,439원/$  | 연간 합계 50,513,445원 · 월평균 4,209,454원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4054117.09</v>
      </c>
      <c r="C7" s="277" t="n">
        <v>0</v>
      </c>
      <c r="D7" s="277" t="n">
        <v>4054117.09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4181627.4</v>
      </c>
      <c r="C8" s="277" t="n">
        <v>0</v>
      </c>
      <c r="D8" s="277" t="n">
        <v>4181627.4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4560056.568</v>
      </c>
      <c r="C9" s="280" t="n">
        <v>35408</v>
      </c>
      <c r="D9" s="280" t="n">
        <v>4595464.568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4164854.407</v>
      </c>
      <c r="C10" s="280" t="n">
        <v>5104</v>
      </c>
      <c r="D10" s="280" t="n">
        <v>4169958.407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4241233.177</v>
      </c>
      <c r="C11" s="277" t="n">
        <v>0</v>
      </c>
      <c r="D11" s="277" t="n">
        <v>4241233.177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4235988.972</v>
      </c>
      <c r="C12" s="280" t="n">
        <v>71528</v>
      </c>
      <c r="D12" s="280" t="n">
        <v>4307516.972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1452420</v>
      </c>
      <c r="C13" s="280" t="n">
        <v>2665832.022</v>
      </c>
      <c r="D13" s="280" t="n">
        <v>4118252.022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3864970.8395</v>
      </c>
      <c r="D14" s="286" t="n">
        <v>3864970.8395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3990714.968</v>
      </c>
      <c r="D15" s="286" t="n">
        <v>3990714.968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3855674.556</v>
      </c>
      <c r="D16" s="286" t="n">
        <v>3855674.556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4143933.344</v>
      </c>
      <c r="D17" s="286" t="n">
        <v>4143933.344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4989981.2685</v>
      </c>
      <c r="D18" s="286" t="n">
        <v>4989981.2685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0.0969</v>
      </c>
      <c r="F24" s="301" t="n">
        <v>175100965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0.1033</v>
      </c>
      <c r="F25" s="301" t="n">
        <v>66325200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0.1646</v>
      </c>
      <c r="F26" s="301" t="n">
        <v>27454350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0.1627</v>
      </c>
      <c r="F27" s="301" t="n">
        <v>24630690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0.1115</v>
      </c>
      <c r="F28" s="301" t="n">
        <v>31050000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0.1395</v>
      </c>
      <c r="F29" s="301" t="n">
        <v>22659300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0.0922</v>
      </c>
      <c r="F30" s="301" t="n">
        <v>19975000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0.0669</v>
      </c>
      <c r="F31" s="301" t="n">
        <v>22620000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0.1698</v>
      </c>
      <c r="F32" s="301" t="n">
        <v>8276480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0.0298</v>
      </c>
      <c r="F33" s="301" t="n">
        <v>43731345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0.1329</v>
      </c>
      <c r="F34" s="301" t="n">
        <v>8001600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0.0214</v>
      </c>
      <c r="F35" s="301" t="n">
        <v>26854875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0.029</v>
      </c>
      <c r="F36" s="301" t="n">
        <v>18786250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0.099</v>
      </c>
      <c r="F37" s="301" t="n">
        <v>5025625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0.1423</v>
      </c>
      <c r="F38" s="301" t="n">
        <v>2943730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1439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20592.09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3367.26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1482.17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1784.36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2561.42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2618.98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20592.09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5871.12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5899.9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1375.684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8875.752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27520.875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20668.357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1439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12879.05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20668.357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3496.77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1784.36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1482.17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2561.42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2618.98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20668.357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5871.12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5899.9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1439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1374.245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12879.05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2457.812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8737.608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20668.357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20287.022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1439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2" t="n">
        <v>46233</v>
      </c>
      <c r="B210" s="285" t="n">
        <v>7</v>
      </c>
      <c r="C210" s="285" t="inlineStr">
        <is>
          <t>133690</t>
        </is>
      </c>
      <c r="D210" s="285" t="inlineStr">
        <is>
          <t>TIGER 미국나스닥100</t>
        </is>
      </c>
      <c r="E210" s="286" t="n">
        <v>11372</v>
      </c>
      <c r="F210" s="340" t="n"/>
      <c r="G210" s="286" t="n">
        <v>11372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329200</t>
        </is>
      </c>
      <c r="D211" s="285" t="inlineStr">
        <is>
          <t>TIGER리츠부동산인프라</t>
        </is>
      </c>
      <c r="E211" s="286" t="n">
        <v>112500</v>
      </c>
      <c r="F211" s="340" t="n"/>
      <c r="G211" s="286" t="n">
        <v>112500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360750</t>
        </is>
      </c>
      <c r="D212" s="285" t="inlineStr">
        <is>
          <t>TIGER미국S&amp;P500</t>
        </is>
      </c>
      <c r="E212" s="286" t="n">
        <v>13250</v>
      </c>
      <c r="F212" s="340" t="n"/>
      <c r="G212" s="286" t="n">
        <v>13250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367380</t>
        </is>
      </c>
      <c r="D213" s="285" t="inlineStr">
        <is>
          <t>ACE 미국나스닥100</t>
        </is>
      </c>
      <c r="E213" s="286" t="n">
        <v>10985</v>
      </c>
      <c r="F213" s="340" t="n"/>
      <c r="G213" s="286" t="n">
        <v>10985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379810</t>
        </is>
      </c>
      <c r="D214" s="285" t="inlineStr">
        <is>
          <t>KODEX 미국나스닥100</t>
        </is>
      </c>
      <c r="E214" s="286" t="n">
        <v>19470</v>
      </c>
      <c r="F214" s="340" t="n"/>
      <c r="G214" s="286" t="n">
        <v>19470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433330</t>
        </is>
      </c>
      <c r="D215" s="285" t="inlineStr">
        <is>
          <t>SOL 미국 S&amp;P500</t>
        </is>
      </c>
      <c r="E215" s="286" t="n">
        <v>13156</v>
      </c>
      <c r="F215" s="340" t="n"/>
      <c r="G215" s="286" t="n">
        <v>13156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446720</t>
        </is>
      </c>
      <c r="D216" s="285" t="inlineStr">
        <is>
          <t>SOL 미국배당다우존스</t>
        </is>
      </c>
      <c r="E216" s="286" t="n">
        <v>41895</v>
      </c>
      <c r="F216" s="340" t="n"/>
      <c r="G216" s="286" t="n">
        <v>41895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458760</t>
        </is>
      </c>
      <c r="D217" s="285" t="inlineStr">
        <is>
          <t>TIGER 미배당다우커버드콜2호</t>
        </is>
      </c>
      <c r="E217" s="286" t="n">
        <v>1412476</v>
      </c>
      <c r="F217" s="340" t="n"/>
      <c r="G217" s="286" t="n">
        <v>1412476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468380</t>
        </is>
      </c>
      <c r="D218" s="285" t="inlineStr">
        <is>
          <t>KODEX iShares미국하이일드액티브</t>
        </is>
      </c>
      <c r="E218" s="286" t="n">
        <v>119000</v>
      </c>
      <c r="F218" s="340" t="n"/>
      <c r="G218" s="286" t="n">
        <v>119000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473330</t>
        </is>
      </c>
      <c r="D219" s="285" t="inlineStr">
        <is>
          <t>SOL 미국 30년국채커버드콜(합성)</t>
        </is>
      </c>
      <c r="E219" s="286" t="n">
        <v>113760</v>
      </c>
      <c r="F219" s="340" t="n"/>
      <c r="G219" s="286" t="n">
        <v>113760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475380</t>
        </is>
      </c>
      <c r="D220" s="285" t="inlineStr">
        <is>
          <t>RISE 글로벌리얼티인컴</t>
        </is>
      </c>
      <c r="E220" s="286" t="n">
        <v>3636</v>
      </c>
      <c r="F220" s="340" t="n"/>
      <c r="G220" s="286" t="n">
        <v>3636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476550</t>
        </is>
      </c>
      <c r="D221" s="285" t="inlineStr">
        <is>
          <t>TIGER 미국30년국채커버드콜액티브(H)</t>
        </is>
      </c>
      <c r="E221" s="286" t="n">
        <v>38574</v>
      </c>
      <c r="F221" s="340" t="n"/>
      <c r="G221" s="286" t="n">
        <v>38574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476690</t>
        </is>
      </c>
      <c r="D222" s="285" t="inlineStr">
        <is>
          <t>TIGER 글로벌비만치료제 TOP2 Plus</t>
        </is>
      </c>
      <c r="E222" s="286" t="n">
        <v>1200</v>
      </c>
      <c r="F222" s="340" t="n"/>
      <c r="G222" s="286" t="n">
        <v>1200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482730</t>
        </is>
      </c>
      <c r="D223" s="285" t="inlineStr">
        <is>
          <t>미국S&amp;P500타겟데일리커버드콜</t>
        </is>
      </c>
      <c r="E223" s="286" t="n">
        <v>38888</v>
      </c>
      <c r="F223" s="340" t="n"/>
      <c r="G223" s="286" t="n">
        <v>38888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483280</t>
        </is>
      </c>
      <c r="D224" s="285" t="inlineStr">
        <is>
          <t>KODEX 미국AI테크TOP10타겟커버드콜</t>
        </is>
      </c>
      <c r="E224" s="286" t="n">
        <v>304962</v>
      </c>
      <c r="F224" s="340" t="n"/>
      <c r="G224" s="286" t="n">
        <v>304962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498270</t>
        </is>
      </c>
      <c r="D225" s="285" t="inlineStr">
        <is>
          <t>KIWOOM 미국양자컴퓨팅</t>
        </is>
      </c>
      <c r="E225" s="286" t="n">
        <v>2970</v>
      </c>
      <c r="F225" s="340" t="n"/>
      <c r="G225" s="286" t="n">
        <v>2970</v>
      </c>
      <c r="H225" s="285" t="inlineStr">
        <is>
          <t>예측</t>
        </is>
      </c>
    </row>
    <row r="226">
      <c r="A226" s="342" t="n">
        <v>46233</v>
      </c>
      <c r="B226" s="285" t="n">
        <v>7</v>
      </c>
      <c r="C226" s="285" t="inlineStr">
        <is>
          <t>498410</t>
        </is>
      </c>
      <c r="D226" s="285" t="inlineStr">
        <is>
          <t>KODEX금융고배당TOP10타겟위클리커버드콜</t>
        </is>
      </c>
      <c r="E226" s="286" t="n">
        <v>387451</v>
      </c>
      <c r="F226" s="340" t="n"/>
      <c r="G226" s="286" t="n">
        <v>387451</v>
      </c>
      <c r="H226" s="285" t="inlineStr">
        <is>
          <t>예측</t>
        </is>
      </c>
    </row>
    <row r="227">
      <c r="A227" s="342" t="n">
        <v>46235</v>
      </c>
      <c r="B227" s="285" t="n">
        <v>8</v>
      </c>
      <c r="C227" s="285" t="inlineStr">
        <is>
          <t>O</t>
        </is>
      </c>
      <c r="D227" s="285" t="inlineStr">
        <is>
          <t>리얼티인컴</t>
        </is>
      </c>
      <c r="E227" s="286" t="n"/>
      <c r="F227" s="340" t="n">
        <v>14.098</v>
      </c>
      <c r="G227" s="286" t="n">
        <v>20287.022</v>
      </c>
      <c r="H227" s="285" t="inlineStr">
        <is>
          <t>예측</t>
        </is>
      </c>
    </row>
    <row r="228">
      <c r="A228" s="342" t="n">
        <v>46242</v>
      </c>
      <c r="B228" s="285" t="n">
        <v>8</v>
      </c>
      <c r="C228" s="285" t="n">
        <v>105560</v>
      </c>
      <c r="D228" s="285" t="inlineStr">
        <is>
          <t>KB금융</t>
        </is>
      </c>
      <c r="E228" s="286" t="n">
        <v>11040</v>
      </c>
      <c r="F228" s="340" t="n"/>
      <c r="G228" s="286" t="n">
        <v>11040</v>
      </c>
      <c r="H228" s="285" t="inlineStr">
        <is>
          <t>예측</t>
        </is>
      </c>
    </row>
    <row r="229">
      <c r="A229" s="342" t="n">
        <v>46246</v>
      </c>
      <c r="B229" s="285" t="n">
        <v>8</v>
      </c>
      <c r="C229" s="285" t="inlineStr">
        <is>
          <t>AAPL</t>
        </is>
      </c>
      <c r="D229" s="285" t="inlineStr">
        <is>
          <t>애플</t>
        </is>
      </c>
      <c r="E229" s="286" t="n"/>
      <c r="F229" s="340" t="n">
        <v>2.295</v>
      </c>
      <c r="G229" s="286" t="n">
        <v>3302.505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0008S0</t>
        </is>
      </c>
      <c r="D230" s="285" t="inlineStr">
        <is>
          <t>TIGER 미국배당다우존스타겟데일리커버드콜</t>
        </is>
      </c>
      <c r="E230" s="286" t="n">
        <v>264000</v>
      </c>
      <c r="F230" s="340" t="n"/>
      <c r="G230" s="286" t="n">
        <v>264000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474220</t>
        </is>
      </c>
      <c r="D231" s="285" t="inlineStr">
        <is>
          <t>TIGER미국테크TOP10커버드콜</t>
        </is>
      </c>
      <c r="E231" s="286" t="n">
        <v>494760</v>
      </c>
      <c r="F231" s="340" t="n"/>
      <c r="G231" s="286" t="n">
        <v>494760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490490</t>
        </is>
      </c>
      <c r="D232" s="285" t="inlineStr">
        <is>
          <t>SOL미국배당미국채혼합50</t>
        </is>
      </c>
      <c r="E232" s="286" t="n">
        <v>91704</v>
      </c>
      <c r="F232" s="340" t="n"/>
      <c r="G232" s="286" t="n">
        <v>91704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498400</t>
        </is>
      </c>
      <c r="D233" s="285" t="inlineStr">
        <is>
          <t>KODEX 200타켓위클리커버드콜</t>
        </is>
      </c>
      <c r="E233" s="286" t="n">
        <v>79544</v>
      </c>
      <c r="F233" s="340" t="n"/>
      <c r="G233" s="286" t="n">
        <v>79544</v>
      </c>
      <c r="H233" s="285" t="inlineStr">
        <is>
          <t>예측</t>
        </is>
      </c>
    </row>
    <row r="234">
      <c r="A234" s="342" t="n">
        <v>46249</v>
      </c>
      <c r="B234" s="285" t="n">
        <v>8</v>
      </c>
      <c r="C234" s="285" t="inlineStr">
        <is>
          <t>XOM</t>
        </is>
      </c>
      <c r="D234" s="285" t="inlineStr">
        <is>
          <t>엑슨모빌</t>
        </is>
      </c>
      <c r="E234" s="286" t="n"/>
      <c r="F234" s="340" t="n">
        <v>0.97</v>
      </c>
      <c r="G234" s="286" t="n">
        <v>1395.83</v>
      </c>
      <c r="H234" s="285" t="inlineStr">
        <is>
          <t>예측</t>
        </is>
      </c>
    </row>
    <row r="235">
      <c r="A235" s="342" t="n">
        <v>46250</v>
      </c>
      <c r="B235" s="285" t="n">
        <v>8</v>
      </c>
      <c r="C235" s="285" t="inlineStr">
        <is>
          <t>SBUX</t>
        </is>
      </c>
      <c r="D235" s="285" t="inlineStr">
        <is>
          <t>스타벅스</t>
        </is>
      </c>
      <c r="E235" s="286" t="n"/>
      <c r="F235" s="340" t="n">
        <v>1.18</v>
      </c>
      <c r="G235" s="286" t="n">
        <v>1698.02</v>
      </c>
      <c r="H235" s="285" t="inlineStr">
        <is>
          <t>예측</t>
        </is>
      </c>
    </row>
    <row r="236">
      <c r="A236" s="342" t="n">
        <v>46251</v>
      </c>
      <c r="B236" s="285" t="n">
        <v>8</v>
      </c>
      <c r="C236" s="285" t="inlineStr">
        <is>
          <t>NVO</t>
        </is>
      </c>
      <c r="D236" s="285" t="inlineStr">
        <is>
          <t>노보 노디스크</t>
        </is>
      </c>
      <c r="E236" s="286" t="n"/>
      <c r="F236" s="340" t="n">
        <v>8.227499999999999</v>
      </c>
      <c r="G236" s="286" t="n">
        <v>11839.3725</v>
      </c>
      <c r="H236" s="285" t="inlineStr">
        <is>
          <t>예측</t>
        </is>
      </c>
    </row>
    <row r="237">
      <c r="A237" s="342" t="n">
        <v>46252</v>
      </c>
      <c r="B237" s="285" t="n">
        <v>8</v>
      </c>
      <c r="C237" s="285" t="inlineStr">
        <is>
          <t>MSFT</t>
        </is>
      </c>
      <c r="D237" s="285" t="inlineStr">
        <is>
          <t>마이크로소프트</t>
        </is>
      </c>
      <c r="E237" s="286" t="n"/>
      <c r="F237" s="340" t="n">
        <v>1.58</v>
      </c>
      <c r="G237" s="286" t="n">
        <v>2273.62</v>
      </c>
      <c r="H237" s="285" t="inlineStr">
        <is>
          <t>예측</t>
        </is>
      </c>
    </row>
    <row r="238">
      <c r="A238" s="342" t="n">
        <v>46253</v>
      </c>
      <c r="B238" s="285" t="n">
        <v>8</v>
      </c>
      <c r="C238" s="285" t="inlineStr">
        <is>
          <t>CVX</t>
        </is>
      </c>
      <c r="D238" s="285" t="inlineStr">
        <is>
          <t>셰브론</t>
        </is>
      </c>
      <c r="E238" s="286" t="n"/>
      <c r="F238" s="340" t="n">
        <v>1.67</v>
      </c>
      <c r="G238" s="286" t="n">
        <v>2403.13</v>
      </c>
      <c r="H238" s="285" t="inlineStr">
        <is>
          <t>예측</t>
        </is>
      </c>
    </row>
    <row r="239">
      <c r="A239" s="342" t="n">
        <v>46255</v>
      </c>
      <c r="B239" s="285" t="n">
        <v>8</v>
      </c>
      <c r="C239" s="285" t="inlineStr">
        <is>
          <t>481060</t>
        </is>
      </c>
      <c r="D239" s="285" t="inlineStr">
        <is>
          <t>KODEX 미국30년국채타겟커버드콜(H)</t>
        </is>
      </c>
      <c r="E239" s="286" t="n">
        <v>296820</v>
      </c>
      <c r="F239" s="340" t="n"/>
      <c r="G239" s="286" t="n">
        <v>296820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005389</t>
        </is>
      </c>
      <c r="D240" s="285" t="inlineStr">
        <is>
          <t>현대차3우B</t>
        </is>
      </c>
      <c r="E240" s="286" t="n">
        <v>32500</v>
      </c>
      <c r="F240" s="340" t="n"/>
      <c r="G240" s="286" t="n">
        <v>32500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329200</t>
        </is>
      </c>
      <c r="D241" s="285" t="inlineStr">
        <is>
          <t>TIGER리츠부동산인프라</t>
        </is>
      </c>
      <c r="E241" s="286" t="n">
        <v>162500</v>
      </c>
      <c r="F241" s="340" t="n"/>
      <c r="G241" s="286" t="n">
        <v>162500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433330</t>
        </is>
      </c>
      <c r="D242" s="285" t="inlineStr">
        <is>
          <t>SOL 미국 S&amp;P500</t>
        </is>
      </c>
      <c r="E242" s="286" t="n">
        <v>20674</v>
      </c>
      <c r="F242" s="340" t="n"/>
      <c r="G242" s="286" t="n">
        <v>20674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446720</t>
        </is>
      </c>
      <c r="D243" s="285" t="inlineStr">
        <is>
          <t>SOL 미국배당다우존스</t>
        </is>
      </c>
      <c r="E243" s="286" t="n">
        <v>44555</v>
      </c>
      <c r="F243" s="340" t="n"/>
      <c r="G243" s="286" t="n">
        <v>44555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458760</t>
        </is>
      </c>
      <c r="D244" s="285" t="inlineStr">
        <is>
          <t>TIGER 미배당다우커버드콜2호</t>
        </is>
      </c>
      <c r="E244" s="286" t="n">
        <v>1381770</v>
      </c>
      <c r="F244" s="340" t="n"/>
      <c r="G244" s="286" t="n">
        <v>1381770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468380</t>
        </is>
      </c>
      <c r="D245" s="285" t="inlineStr">
        <is>
          <t>KODEX iShares미국하이일드액티브</t>
        </is>
      </c>
      <c r="E245" s="286" t="n">
        <v>112000</v>
      </c>
      <c r="F245" s="340" t="n"/>
      <c r="G245" s="286" t="n">
        <v>112000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473330</t>
        </is>
      </c>
      <c r="D246" s="285" t="inlineStr">
        <is>
          <t>SOL 미국 30년국채커버드콜(합성)</t>
        </is>
      </c>
      <c r="E246" s="286" t="n">
        <v>81600</v>
      </c>
      <c r="F246" s="340" t="n"/>
      <c r="G246" s="286" t="n">
        <v>81600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475380</t>
        </is>
      </c>
      <c r="D247" s="285" t="inlineStr">
        <is>
          <t>RISE 글로벌리얼티인컴</t>
        </is>
      </c>
      <c r="E247" s="286" t="n">
        <v>3636</v>
      </c>
      <c r="F247" s="340" t="n"/>
      <c r="G247" s="286" t="n">
        <v>3636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476550</t>
        </is>
      </c>
      <c r="D248" s="285" t="inlineStr">
        <is>
          <t>TIGER 미국30년국채커버드콜액티브(H)</t>
        </is>
      </c>
      <c r="E248" s="286" t="n">
        <v>38574</v>
      </c>
      <c r="F248" s="340" t="n"/>
      <c r="G248" s="286" t="n">
        <v>38574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476690</t>
        </is>
      </c>
      <c r="D249" s="285" t="inlineStr">
        <is>
          <t>TIGER 글로벌비만치료제 TOP2 Plus</t>
        </is>
      </c>
      <c r="E249" s="286" t="n">
        <v>1750</v>
      </c>
      <c r="F249" s="340" t="n"/>
      <c r="G249" s="286" t="n">
        <v>1750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482730</t>
        </is>
      </c>
      <c r="D250" s="285" t="inlineStr">
        <is>
          <t>미국S&amp;P500타겟데일리커버드콜</t>
        </is>
      </c>
      <c r="E250" s="286" t="n">
        <v>37825</v>
      </c>
      <c r="F250" s="340" t="n"/>
      <c r="G250" s="286" t="n">
        <v>37825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483280</t>
        </is>
      </c>
      <c r="D251" s="285" t="inlineStr">
        <is>
          <t>KODEX 미국AI테크TOP10타겟커버드콜</t>
        </is>
      </c>
      <c r="E251" s="286" t="n">
        <v>296058</v>
      </c>
      <c r="F251" s="340" t="n"/>
      <c r="G251" s="286" t="n">
        <v>296058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498410</t>
        </is>
      </c>
      <c r="D252" s="285" t="inlineStr">
        <is>
          <t>KODEX금융고배당TOP10타겟위클리커버드콜</t>
        </is>
      </c>
      <c r="E252" s="286" t="n">
        <v>366058</v>
      </c>
      <c r="F252" s="340" t="n"/>
      <c r="G252" s="286" t="n">
        <v>366058</v>
      </c>
      <c r="H252" s="285" t="inlineStr">
        <is>
          <t>예측</t>
        </is>
      </c>
    </row>
    <row r="253">
      <c r="A253" s="342" t="n">
        <v>46264</v>
      </c>
      <c r="B253" s="285" t="n">
        <v>8</v>
      </c>
      <c r="C253" s="285" t="inlineStr">
        <is>
          <t>TMUS</t>
        </is>
      </c>
      <c r="D253" s="285" t="inlineStr">
        <is>
          <t>T-모바일</t>
        </is>
      </c>
      <c r="E253" s="286" t="n"/>
      <c r="F253" s="340" t="n">
        <v>3.06</v>
      </c>
      <c r="G253" s="286" t="n">
        <v>4403.34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NKE</t>
        </is>
      </c>
      <c r="D254" s="285" t="inlineStr">
        <is>
          <t>나이키</t>
        </is>
      </c>
      <c r="E254" s="286" t="n"/>
      <c r="F254" s="340" t="n">
        <v>3.85</v>
      </c>
      <c r="G254" s="286" t="n">
        <v>5540.150000000001</v>
      </c>
      <c r="H254" s="285" t="inlineStr">
        <is>
          <t>예측</t>
        </is>
      </c>
    </row>
    <row r="255">
      <c r="A255" s="342" t="n">
        <v>46267</v>
      </c>
      <c r="B255" s="285" t="n">
        <v>9</v>
      </c>
      <c r="C255" s="285" t="inlineStr">
        <is>
          <t>O</t>
        </is>
      </c>
      <c r="D255" s="285" t="inlineStr">
        <is>
          <t>리얼티인컴</t>
        </is>
      </c>
      <c r="E255" s="286" t="n"/>
      <c r="F255" s="340" t="n">
        <v>14.098</v>
      </c>
      <c r="G255" s="286" t="n">
        <v>20287.022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0008S0</t>
        </is>
      </c>
      <c r="D256" s="285" t="inlineStr">
        <is>
          <t>TIGER 미국배당다우존스타겟데일리커버드콜</t>
        </is>
      </c>
      <c r="E256" s="286" t="n">
        <v>264000</v>
      </c>
      <c r="F256" s="340" t="n"/>
      <c r="G256" s="286" t="n">
        <v>264000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474220</t>
        </is>
      </c>
      <c r="D257" s="285" t="inlineStr">
        <is>
          <t>TIGER미국테크TOP10커버드콜</t>
        </is>
      </c>
      <c r="E257" s="286" t="n">
        <v>494760</v>
      </c>
      <c r="F257" s="340" t="n"/>
      <c r="G257" s="286" t="n">
        <v>494760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490490</t>
        </is>
      </c>
      <c r="D258" s="285" t="inlineStr">
        <is>
          <t>SOL미국배당미국채혼합50</t>
        </is>
      </c>
      <c r="E258" s="286" t="n">
        <v>137556</v>
      </c>
      <c r="F258" s="340" t="n"/>
      <c r="G258" s="286" t="n">
        <v>137556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498400</t>
        </is>
      </c>
      <c r="D259" s="285" t="inlineStr">
        <is>
          <t>KODEX 200타켓위클리커버드콜</t>
        </is>
      </c>
      <c r="E259" s="286" t="n">
        <v>78568</v>
      </c>
      <c r="F259" s="340" t="n"/>
      <c r="G259" s="286" t="n">
        <v>78568</v>
      </c>
      <c r="H259" s="285" t="inlineStr">
        <is>
          <t>예측</t>
        </is>
      </c>
    </row>
    <row r="260">
      <c r="A260" s="342" t="n">
        <v>46279</v>
      </c>
      <c r="B260" s="285" t="n">
        <v>9</v>
      </c>
      <c r="C260" s="285" t="inlineStr">
        <is>
          <t>TSM</t>
        </is>
      </c>
      <c r="D260" s="285" t="inlineStr">
        <is>
          <t>TSMC</t>
        </is>
      </c>
      <c r="E260" s="286" t="n"/>
      <c r="F260" s="340" t="n">
        <v>0.724</v>
      </c>
      <c r="G260" s="286" t="n">
        <v>1041.836</v>
      </c>
      <c r="H260" s="285" t="inlineStr">
        <is>
          <t>예측</t>
        </is>
      </c>
    </row>
    <row r="261">
      <c r="A261" s="342" t="n">
        <v>46285</v>
      </c>
      <c r="B261" s="285" t="n">
        <v>9</v>
      </c>
      <c r="C261" s="285" t="inlineStr">
        <is>
          <t>481060</t>
        </is>
      </c>
      <c r="D261" s="285" t="inlineStr">
        <is>
          <t>KODEX 미국30년국채타겟커버드콜(H)</t>
        </is>
      </c>
      <c r="E261" s="286" t="n">
        <v>296820</v>
      </c>
      <c r="F261" s="340" t="n"/>
      <c r="G261" s="286" t="n">
        <v>296820</v>
      </c>
      <c r="H261" s="285" t="inlineStr">
        <is>
          <t>예측</t>
        </is>
      </c>
    </row>
    <row r="262">
      <c r="A262" s="342" t="n">
        <v>46289</v>
      </c>
      <c r="B262" s="285" t="n">
        <v>9</v>
      </c>
      <c r="C262" s="285" t="inlineStr">
        <is>
          <t>SCHD</t>
        </is>
      </c>
      <c r="D262" s="285" t="inlineStr">
        <is>
          <t>SCHD</t>
        </is>
      </c>
      <c r="E262" s="286" t="n"/>
      <c r="F262" s="340" t="n">
        <v>6.14</v>
      </c>
      <c r="G262" s="286" t="n">
        <v>8835.459999999999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inlineStr">
        <is>
          <t>005389</t>
        </is>
      </c>
      <c r="D263" s="285" t="inlineStr">
        <is>
          <t>현대차3우B</t>
        </is>
      </c>
      <c r="E263" s="286" t="n">
        <v>26000</v>
      </c>
      <c r="F263" s="340" t="n"/>
      <c r="G263" s="286" t="n">
        <v>26000</v>
      </c>
      <c r="H263" s="285" t="inlineStr">
        <is>
          <t>예측</t>
        </is>
      </c>
    </row>
    <row r="264">
      <c r="A264" s="342" t="n">
        <v>46292</v>
      </c>
      <c r="B264" s="285" t="n">
        <v>9</v>
      </c>
      <c r="C264" s="285" t="n">
        <v>105560</v>
      </c>
      <c r="D264" s="285" t="inlineStr">
        <is>
          <t>KB금융</t>
        </is>
      </c>
      <c r="E264" s="286" t="n">
        <v>9540</v>
      </c>
      <c r="F264" s="340" t="n"/>
      <c r="G264" s="286" t="n">
        <v>9540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005930</t>
        </is>
      </c>
      <c r="D265" s="285" t="inlineStr">
        <is>
          <t>삼성전자</t>
        </is>
      </c>
      <c r="E265" s="286" t="n">
        <v>36184</v>
      </c>
      <c r="F265" s="340" t="n"/>
      <c r="G265" s="286" t="n">
        <v>36184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329200</t>
        </is>
      </c>
      <c r="D266" s="285" t="inlineStr">
        <is>
          <t>TIGER리츠부동산인프라</t>
        </is>
      </c>
      <c r="E266" s="286" t="n">
        <v>195000</v>
      </c>
      <c r="F266" s="340" t="n"/>
      <c r="G266" s="286" t="n">
        <v>195000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433330</t>
        </is>
      </c>
      <c r="D267" s="285" t="inlineStr">
        <is>
          <t>SOL 미국 S&amp;P500</t>
        </is>
      </c>
      <c r="E267" s="286" t="n">
        <v>19422</v>
      </c>
      <c r="F267" s="340" t="n"/>
      <c r="G267" s="286" t="n">
        <v>19422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446720</t>
        </is>
      </c>
      <c r="D268" s="285" t="inlineStr">
        <is>
          <t>SOL 미국배당다우존스</t>
        </is>
      </c>
      <c r="E268" s="286" t="n">
        <v>43225</v>
      </c>
      <c r="F268" s="340" t="n"/>
      <c r="G268" s="286" t="n">
        <v>43225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458760</t>
        </is>
      </c>
      <c r="D269" s="285" t="inlineStr">
        <is>
          <t>TIGER 미배당다우커버드콜2호</t>
        </is>
      </c>
      <c r="E269" s="286" t="n">
        <v>1366417</v>
      </c>
      <c r="F269" s="340" t="n"/>
      <c r="G269" s="286" t="n">
        <v>1366417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468380</t>
        </is>
      </c>
      <c r="D270" s="285" t="inlineStr">
        <is>
          <t>KODEX iShares미국하이일드액티브</t>
        </is>
      </c>
      <c r="E270" s="286" t="n">
        <v>119000</v>
      </c>
      <c r="F270" s="340" t="n"/>
      <c r="G270" s="286" t="n">
        <v>119000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473330</t>
        </is>
      </c>
      <c r="D271" s="285" t="inlineStr">
        <is>
          <t>SOL 미국 30년국채커버드콜(합성)</t>
        </is>
      </c>
      <c r="E271" s="286" t="n">
        <v>89280</v>
      </c>
      <c r="F271" s="340" t="n"/>
      <c r="G271" s="286" t="n">
        <v>89280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475380</t>
        </is>
      </c>
      <c r="D272" s="285" t="inlineStr">
        <is>
          <t>RISE 글로벌리얼티인컴</t>
        </is>
      </c>
      <c r="E272" s="286" t="n">
        <v>3737</v>
      </c>
      <c r="F272" s="340" t="n"/>
      <c r="G272" s="286" t="n">
        <v>3737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476550</t>
        </is>
      </c>
      <c r="D273" s="285" t="inlineStr">
        <is>
          <t>TIGER 미국30년국채커버드콜액티브(H)</t>
        </is>
      </c>
      <c r="E273" s="286" t="n">
        <v>38790</v>
      </c>
      <c r="F273" s="340" t="n"/>
      <c r="G273" s="286" t="n">
        <v>38790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476690</t>
        </is>
      </c>
      <c r="D274" s="285" t="inlineStr">
        <is>
          <t>TIGER 글로벌비만치료제 TOP2 Plus</t>
        </is>
      </c>
      <c r="E274" s="286" t="n">
        <v>1250</v>
      </c>
      <c r="F274" s="340" t="n"/>
      <c r="G274" s="286" t="n">
        <v>1250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482730</t>
        </is>
      </c>
      <c r="D275" s="285" t="inlineStr">
        <is>
          <t>미국S&amp;P500타겟데일리커버드콜</t>
        </is>
      </c>
      <c r="E275" s="286" t="n">
        <v>38250</v>
      </c>
      <c r="F275" s="340" t="n"/>
      <c r="G275" s="286" t="n">
        <v>38250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483280</t>
        </is>
      </c>
      <c r="D276" s="285" t="inlineStr">
        <is>
          <t>KODEX 미국AI테크TOP10타겟커버드콜</t>
        </is>
      </c>
      <c r="E276" s="286" t="n">
        <v>309414</v>
      </c>
      <c r="F276" s="340" t="n"/>
      <c r="G276" s="286" t="n">
        <v>309414</v>
      </c>
      <c r="H276" s="285" t="inlineStr">
        <is>
          <t>예측</t>
        </is>
      </c>
    </row>
    <row r="277">
      <c r="A277" s="342" t="n">
        <v>46294</v>
      </c>
      <c r="B277" s="285" t="n">
        <v>9</v>
      </c>
      <c r="C277" s="285" t="inlineStr">
        <is>
          <t>498410</t>
        </is>
      </c>
      <c r="D277" s="285" t="inlineStr">
        <is>
          <t>KODEX금융고배당TOP10타겟위클리커버드콜</t>
        </is>
      </c>
      <c r="E277" s="286" t="n">
        <v>375566</v>
      </c>
      <c r="F277" s="340" t="n"/>
      <c r="G277" s="286" t="n">
        <v>375566</v>
      </c>
      <c r="H277" s="285" t="inlineStr">
        <is>
          <t>예측</t>
        </is>
      </c>
    </row>
    <row r="278">
      <c r="A278" s="342" t="n">
        <v>46295</v>
      </c>
      <c r="B278" s="285" t="n">
        <v>9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8.5</v>
      </c>
      <c r="G278" s="286" t="n">
        <v>12231.5</v>
      </c>
      <c r="H278" s="285" t="inlineStr">
        <is>
          <t>예측</t>
        </is>
      </c>
    </row>
    <row r="279">
      <c r="A279" s="342" t="n">
        <v>46304</v>
      </c>
      <c r="B279" s="285" t="n">
        <v>10</v>
      </c>
      <c r="C279" s="285" t="inlineStr">
        <is>
          <t>AMT</t>
        </is>
      </c>
      <c r="D279" s="285" t="inlineStr">
        <is>
          <t>아메리칸타워</t>
        </is>
      </c>
      <c r="E279" s="286" t="n"/>
      <c r="F279" s="340" t="n">
        <v>8.1</v>
      </c>
      <c r="G279" s="286" t="n">
        <v>11655.9</v>
      </c>
      <c r="H279" s="285" t="inlineStr">
        <is>
          <t>예측</t>
        </is>
      </c>
    </row>
    <row r="280">
      <c r="A280" s="342" t="n">
        <v>46305</v>
      </c>
      <c r="B280" s="285" t="n">
        <v>10</v>
      </c>
      <c r="C280" s="285" t="inlineStr">
        <is>
          <t>ORCL</t>
        </is>
      </c>
      <c r="D280" s="285" t="inlineStr">
        <is>
          <t>오라클</t>
        </is>
      </c>
      <c r="E280" s="286" t="n"/>
      <c r="F280" s="340" t="n">
        <v>0.9</v>
      </c>
      <c r="G280" s="286" t="n">
        <v>1295.1</v>
      </c>
      <c r="H280" s="285" t="inlineStr">
        <is>
          <t>예측</t>
        </is>
      </c>
    </row>
    <row r="281">
      <c r="A281" s="342" t="n">
        <v>46306</v>
      </c>
      <c r="B281" s="285" t="n">
        <v>10</v>
      </c>
      <c r="C281" s="285" t="inlineStr">
        <is>
          <t>O</t>
        </is>
      </c>
      <c r="D281" s="285" t="inlineStr">
        <is>
          <t>리얼티인컴</t>
        </is>
      </c>
      <c r="E281" s="286" t="n"/>
      <c r="F281" s="340" t="n">
        <v>14.204</v>
      </c>
      <c r="G281" s="286" t="n">
        <v>20439.556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0008S0</t>
        </is>
      </c>
      <c r="D282" s="285" t="inlineStr">
        <is>
          <t>TIGER 미국배당다우존스타겟데일리커버드콜</t>
        </is>
      </c>
      <c r="E282" s="286" t="n">
        <v>261000</v>
      </c>
      <c r="F282" s="340" t="n"/>
      <c r="G282" s="286" t="n">
        <v>261000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474220</t>
        </is>
      </c>
      <c r="D283" s="285" t="inlineStr">
        <is>
          <t>TIGER미국테크TOP10커버드콜</t>
        </is>
      </c>
      <c r="E283" s="286" t="n">
        <v>522120</v>
      </c>
      <c r="F283" s="340" t="n"/>
      <c r="G283" s="286" t="n">
        <v>522120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481060</t>
        </is>
      </c>
      <c r="D284" s="285" t="inlineStr">
        <is>
          <t>KODEX 미국30년국채타겟커버드콜(H)</t>
        </is>
      </c>
      <c r="E284" s="286" t="n">
        <v>287640</v>
      </c>
      <c r="F284" s="340" t="n"/>
      <c r="G284" s="286" t="n">
        <v>287640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490490</t>
        </is>
      </c>
      <c r="D285" s="285" t="inlineStr">
        <is>
          <t>SOL미국배당미국채혼합50</t>
        </is>
      </c>
      <c r="E285" s="286" t="n">
        <v>80241</v>
      </c>
      <c r="F285" s="340" t="n"/>
      <c r="G285" s="286" t="n">
        <v>80241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498400</t>
        </is>
      </c>
      <c r="D286" s="285" t="inlineStr">
        <is>
          <t>KODEX 200타켓위클리커버드콜</t>
        </is>
      </c>
      <c r="E286" s="286" t="n">
        <v>83936</v>
      </c>
      <c r="F286" s="340" t="n"/>
      <c r="G286" s="286" t="n">
        <v>83936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133690</t>
        </is>
      </c>
      <c r="D287" s="285" t="inlineStr">
        <is>
          <t>TIGER 미국나스닥100</t>
        </is>
      </c>
      <c r="E287" s="286" t="n">
        <v>11457</v>
      </c>
      <c r="F287" s="340" t="n"/>
      <c r="G287" s="286" t="n">
        <v>11457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329200</t>
        </is>
      </c>
      <c r="D288" s="285" t="inlineStr">
        <is>
          <t>TIGER리츠부동산인프라</t>
        </is>
      </c>
      <c r="E288" s="286" t="n">
        <v>155000</v>
      </c>
      <c r="F288" s="340" t="n"/>
      <c r="G288" s="286" t="n">
        <v>155000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360750</t>
        </is>
      </c>
      <c r="D289" s="285" t="inlineStr">
        <is>
          <t>TIGER미국S&amp;P500</t>
        </is>
      </c>
      <c r="E289" s="286" t="n">
        <v>13688</v>
      </c>
      <c r="F289" s="340" t="n"/>
      <c r="G289" s="286" t="n">
        <v>13688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367380</t>
        </is>
      </c>
      <c r="D290" s="285" t="inlineStr">
        <is>
          <t>ACE 미국나스닥100</t>
        </is>
      </c>
      <c r="E290" s="286" t="n">
        <v>12337</v>
      </c>
      <c r="F290" s="340" t="n"/>
      <c r="G290" s="286" t="n">
        <v>12337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379810</t>
        </is>
      </c>
      <c r="D291" s="285" t="inlineStr">
        <is>
          <t>KODEX 미국나스닥100</t>
        </is>
      </c>
      <c r="E291" s="286" t="n">
        <v>20790</v>
      </c>
      <c r="F291" s="340" t="n"/>
      <c r="G291" s="286" t="n">
        <v>20790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433330</t>
        </is>
      </c>
      <c r="D292" s="285" t="inlineStr">
        <is>
          <t>SOL 미국 S&amp;P500</t>
        </is>
      </c>
      <c r="E292" s="286" t="n">
        <v>13783</v>
      </c>
      <c r="F292" s="340" t="n"/>
      <c r="G292" s="286" t="n">
        <v>13783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446720</t>
        </is>
      </c>
      <c r="D293" s="285" t="inlineStr">
        <is>
          <t>SOL 미국배당다우존스</t>
        </is>
      </c>
      <c r="E293" s="286" t="n">
        <v>43890</v>
      </c>
      <c r="F293" s="340" t="n"/>
      <c r="G293" s="286" t="n">
        <v>43890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458760</t>
        </is>
      </c>
      <c r="D294" s="285" t="inlineStr">
        <is>
          <t>TIGER 미배당다우커버드콜2호</t>
        </is>
      </c>
      <c r="E294" s="286" t="n">
        <v>1343388</v>
      </c>
      <c r="F294" s="340" t="n"/>
      <c r="G294" s="286" t="n">
        <v>1343388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468380</t>
        </is>
      </c>
      <c r="D295" s="285" t="inlineStr">
        <is>
          <t>KODEX iShares미국하이일드액티브</t>
        </is>
      </c>
      <c r="E295" s="286" t="n">
        <v>120000</v>
      </c>
      <c r="F295" s="340" t="n"/>
      <c r="G295" s="286" t="n">
        <v>120000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473330</t>
        </is>
      </c>
      <c r="D296" s="285" t="inlineStr">
        <is>
          <t>SOL 미국 30년국채커버드콜(합성)</t>
        </is>
      </c>
      <c r="E296" s="286" t="n">
        <v>78720</v>
      </c>
      <c r="F296" s="340" t="n"/>
      <c r="G296" s="286" t="n">
        <v>78720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475380</t>
        </is>
      </c>
      <c r="D297" s="285" t="inlineStr">
        <is>
          <t>RISE 글로벌리얼티인컴</t>
        </is>
      </c>
      <c r="E297" s="286" t="n">
        <v>3737</v>
      </c>
      <c r="F297" s="340" t="n"/>
      <c r="G297" s="286" t="n">
        <v>3737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476550</t>
        </is>
      </c>
      <c r="D298" s="285" t="inlineStr">
        <is>
          <t>TIGER 미국30년국채커버드콜액티브(H)</t>
        </is>
      </c>
      <c r="E298" s="286" t="n">
        <v>37928</v>
      </c>
      <c r="F298" s="340" t="n"/>
      <c r="G298" s="286" t="n">
        <v>37928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476690</t>
        </is>
      </c>
      <c r="D299" s="285" t="inlineStr">
        <is>
          <t>TIGER 글로벌비만치료제 TOP2 Plus</t>
        </is>
      </c>
      <c r="E299" s="286" t="n">
        <v>1200</v>
      </c>
      <c r="F299" s="340" t="n"/>
      <c r="G299" s="286" t="n">
        <v>1200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482730</t>
        </is>
      </c>
      <c r="D300" s="285" t="inlineStr">
        <is>
          <t>미국S&amp;P500타겟데일리커버드콜</t>
        </is>
      </c>
      <c r="E300" s="286" t="n">
        <v>40375</v>
      </c>
      <c r="F300" s="340" t="n"/>
      <c r="G300" s="286" t="n">
        <v>40375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483280</t>
        </is>
      </c>
      <c r="D301" s="285" t="inlineStr">
        <is>
          <t>KODEX 미국AI테크TOP10타겟커버드콜</t>
        </is>
      </c>
      <c r="E301" s="286" t="n">
        <v>324996</v>
      </c>
      <c r="F301" s="340" t="n"/>
      <c r="G301" s="286" t="n">
        <v>324996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498410</t>
        </is>
      </c>
      <c r="D302" s="285" t="inlineStr">
        <is>
          <t>KODEX금융고배당TOP10타겟위클리커버드콜</t>
        </is>
      </c>
      <c r="E302" s="286" t="n">
        <v>366058</v>
      </c>
      <c r="F302" s="340" t="n"/>
      <c r="G302" s="286" t="n">
        <v>366058</v>
      </c>
      <c r="H302" s="285" t="inlineStr">
        <is>
          <t>예측</t>
        </is>
      </c>
    </row>
    <row r="303">
      <c r="A303" s="342" t="n">
        <v>46335</v>
      </c>
      <c r="B303" s="285" t="n">
        <v>11</v>
      </c>
      <c r="C303" s="285" t="inlineStr">
        <is>
          <t>AAPL</t>
        </is>
      </c>
      <c r="D303" s="285" t="inlineStr">
        <is>
          <t>애플</t>
        </is>
      </c>
      <c r="E303" s="286" t="n"/>
      <c r="F303" s="340" t="n">
        <v>2.295</v>
      </c>
      <c r="G303" s="286" t="n">
        <v>3302.505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inlineStr">
        <is>
          <t>0008S0</t>
        </is>
      </c>
      <c r="D304" s="285" t="inlineStr">
        <is>
          <t>TIGER 미국배당다우존스타겟데일리커버드콜</t>
        </is>
      </c>
      <c r="E304" s="286" t="n">
        <v>267000</v>
      </c>
      <c r="F304" s="340" t="n"/>
      <c r="G304" s="286" t="n">
        <v>267000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n">
        <v>105560</v>
      </c>
      <c r="D305" s="285" t="inlineStr">
        <is>
          <t>KB금융</t>
        </is>
      </c>
      <c r="E305" s="286" t="n">
        <v>11160</v>
      </c>
      <c r="F305" s="340" t="n"/>
      <c r="G305" s="286" t="n">
        <v>11160</v>
      </c>
      <c r="H305" s="285" t="inlineStr">
        <is>
          <t>예측</t>
        </is>
      </c>
    </row>
    <row r="306">
      <c r="A306" s="342" t="n">
        <v>46339</v>
      </c>
      <c r="B306" s="285" t="n">
        <v>11</v>
      </c>
      <c r="C306" s="285" t="inlineStr">
        <is>
          <t>498400</t>
        </is>
      </c>
      <c r="D306" s="285" t="inlineStr">
        <is>
          <t>KODEX 200타켓위클리커버드콜</t>
        </is>
      </c>
      <c r="E306" s="286" t="n">
        <v>95648</v>
      </c>
      <c r="F306" s="340" t="n"/>
      <c r="G306" s="286" t="n">
        <v>95648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474220</t>
        </is>
      </c>
      <c r="D307" s="285" t="inlineStr">
        <is>
          <t>TIGER미국테크TOP10커버드콜</t>
        </is>
      </c>
      <c r="E307" s="286" t="n">
        <v>570000</v>
      </c>
      <c r="F307" s="340" t="n"/>
      <c r="G307" s="286" t="n">
        <v>570000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481060</t>
        </is>
      </c>
      <c r="D308" s="285" t="inlineStr">
        <is>
          <t>KODEX 미국30년국채타겟커버드콜(H)</t>
        </is>
      </c>
      <c r="E308" s="286" t="n">
        <v>278460</v>
      </c>
      <c r="F308" s="340" t="n"/>
      <c r="G308" s="286" t="n">
        <v>278460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490490</t>
        </is>
      </c>
      <c r="D309" s="285" t="inlineStr">
        <is>
          <t>SOL미국배당미국채혼합50</t>
        </is>
      </c>
      <c r="E309" s="286" t="n">
        <v>122272</v>
      </c>
      <c r="F309" s="340" t="n"/>
      <c r="G309" s="286" t="n">
        <v>122272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O</t>
        </is>
      </c>
      <c r="D310" s="285" t="inlineStr">
        <is>
          <t>리얼티인컴</t>
        </is>
      </c>
      <c r="E310" s="286" t="n"/>
      <c r="F310" s="340" t="n">
        <v>14.151</v>
      </c>
      <c r="G310" s="286" t="n">
        <v>20363.289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SBUX</t>
        </is>
      </c>
      <c r="D311" s="285" t="inlineStr">
        <is>
          <t>스타벅스</t>
        </is>
      </c>
      <c r="E311" s="286" t="n"/>
      <c r="F311" s="340" t="n">
        <v>1.23</v>
      </c>
      <c r="G311" s="286" t="n">
        <v>1769.97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XOM</t>
        </is>
      </c>
      <c r="D312" s="285" t="inlineStr">
        <is>
          <t>엑슨모빌</t>
        </is>
      </c>
      <c r="E312" s="286" t="n"/>
      <c r="F312" s="340" t="n">
        <v>1.01</v>
      </c>
      <c r="G312" s="286" t="n">
        <v>1453.39</v>
      </c>
      <c r="H312" s="285" t="inlineStr">
        <is>
          <t>예측</t>
        </is>
      </c>
    </row>
    <row r="313">
      <c r="A313" s="342" t="n">
        <v>46344</v>
      </c>
      <c r="B313" s="285" t="n">
        <v>11</v>
      </c>
      <c r="C313" s="285" t="inlineStr">
        <is>
          <t>CVX</t>
        </is>
      </c>
      <c r="D313" s="285" t="inlineStr">
        <is>
          <t>셰브론</t>
        </is>
      </c>
      <c r="E313" s="286" t="n"/>
      <c r="F313" s="340" t="n">
        <v>1.67</v>
      </c>
      <c r="G313" s="286" t="n">
        <v>2403.13</v>
      </c>
      <c r="H313" s="285" t="inlineStr">
        <is>
          <t>예측</t>
        </is>
      </c>
    </row>
    <row r="314">
      <c r="A314" s="342" t="n">
        <v>46346</v>
      </c>
      <c r="B314" s="285" t="n">
        <v>11</v>
      </c>
      <c r="C314" s="285" t="inlineStr">
        <is>
          <t>MSFT</t>
        </is>
      </c>
      <c r="D314" s="285" t="inlineStr">
        <is>
          <t>마이크로소프트</t>
        </is>
      </c>
      <c r="E314" s="286" t="n"/>
      <c r="F314" s="340" t="n">
        <v>1.74</v>
      </c>
      <c r="G314" s="286" t="n">
        <v>2503.86</v>
      </c>
      <c r="H314" s="285" t="inlineStr">
        <is>
          <t>예측</t>
        </is>
      </c>
    </row>
    <row r="315">
      <c r="A315" s="342" t="n">
        <v>46352</v>
      </c>
      <c r="B315" s="285" t="n">
        <v>11</v>
      </c>
      <c r="C315" s="285" t="inlineStr">
        <is>
          <t>TMUS</t>
        </is>
      </c>
      <c r="D315" s="285" t="inlineStr">
        <is>
          <t>T-모바일</t>
        </is>
      </c>
      <c r="E315" s="286" t="n"/>
      <c r="F315" s="340" t="n">
        <v>3.8</v>
      </c>
      <c r="G315" s="286" t="n">
        <v>5468.2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005389</t>
        </is>
      </c>
      <c r="D316" s="285" t="inlineStr">
        <is>
          <t>현대차3우B</t>
        </is>
      </c>
      <c r="E316" s="286" t="n">
        <v>32500</v>
      </c>
      <c r="F316" s="340" t="n"/>
      <c r="G316" s="286" t="n">
        <v>32500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472170</t>
        </is>
      </c>
      <c r="D317" s="285" t="inlineStr">
        <is>
          <t>TIGER 미국테크TOP10채권혼합</t>
        </is>
      </c>
      <c r="E317" s="286" t="n">
        <v>100521</v>
      </c>
      <c r="F317" s="340" t="n"/>
      <c r="G317" s="286" t="n">
        <v>100521</v>
      </c>
      <c r="H317" s="285" t="inlineStr">
        <is>
          <t>예측</t>
        </is>
      </c>
    </row>
    <row r="318">
      <c r="A318" s="342" t="n">
        <v>46353</v>
      </c>
      <c r="B318" s="285" t="n">
        <v>11</v>
      </c>
      <c r="C318" s="285" t="inlineStr">
        <is>
          <t>498410</t>
        </is>
      </c>
      <c r="D318" s="285" t="inlineStr">
        <is>
          <t>KODEX금융고배당TOP10타겟위클리커버드콜</t>
        </is>
      </c>
      <c r="E318" s="286" t="n">
        <v>366058</v>
      </c>
      <c r="F318" s="340" t="n"/>
      <c r="G318" s="286" t="n">
        <v>366058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329200</t>
        </is>
      </c>
      <c r="D319" s="285" t="inlineStr">
        <is>
          <t>TIGER리츠부동산인프라</t>
        </is>
      </c>
      <c r="E319" s="286" t="n">
        <v>107500</v>
      </c>
      <c r="F319" s="340" t="n"/>
      <c r="G319" s="286" t="n">
        <v>107500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433330</t>
        </is>
      </c>
      <c r="D320" s="285" t="inlineStr">
        <is>
          <t>SOL 미국 S&amp;P500</t>
        </is>
      </c>
      <c r="E320" s="286" t="n">
        <v>21928</v>
      </c>
      <c r="F320" s="340" t="n"/>
      <c r="G320" s="286" t="n">
        <v>21928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446720</t>
        </is>
      </c>
      <c r="D321" s="285" t="inlineStr">
        <is>
          <t>SOL 미국배당다우존스</t>
        </is>
      </c>
      <c r="E321" s="286" t="n">
        <v>53865</v>
      </c>
      <c r="F321" s="340" t="n"/>
      <c r="G321" s="286" t="n">
        <v>53865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458760</t>
        </is>
      </c>
      <c r="D322" s="285" t="inlineStr">
        <is>
          <t>TIGER 미배당다우커버드콜2호</t>
        </is>
      </c>
      <c r="E322" s="286" t="n">
        <v>1435506</v>
      </c>
      <c r="F322" s="340" t="n"/>
      <c r="G322" s="286" t="n">
        <v>1435506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468380</t>
        </is>
      </c>
      <c r="D323" s="285" t="inlineStr">
        <is>
          <t>KODEX iShares미국하이일드액티브</t>
        </is>
      </c>
      <c r="E323" s="286" t="n">
        <v>124000</v>
      </c>
      <c r="F323" s="340" t="n"/>
      <c r="G323" s="286" t="n">
        <v>124000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473330</t>
        </is>
      </c>
      <c r="D324" s="285" t="inlineStr">
        <is>
          <t>SOL 미국 30년국채커버드콜(합성)</t>
        </is>
      </c>
      <c r="E324" s="286" t="n">
        <v>108000</v>
      </c>
      <c r="F324" s="340" t="n"/>
      <c r="G324" s="286" t="n">
        <v>108000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475380</t>
        </is>
      </c>
      <c r="D325" s="285" t="inlineStr">
        <is>
          <t>RISE 글로벌리얼티인컴</t>
        </is>
      </c>
      <c r="E325" s="286" t="n">
        <v>3737</v>
      </c>
      <c r="F325" s="340" t="n"/>
      <c r="G325" s="286" t="n">
        <v>3737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476550</t>
        </is>
      </c>
      <c r="D326" s="285" t="inlineStr">
        <is>
          <t>TIGER 미국30년국채커버드콜액티브(H)</t>
        </is>
      </c>
      <c r="E326" s="286" t="n">
        <v>37066</v>
      </c>
      <c r="F326" s="340" t="n"/>
      <c r="G326" s="286" t="n">
        <v>37066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476690</t>
        </is>
      </c>
      <c r="D327" s="285" t="inlineStr">
        <is>
          <t>TIGER 글로벌비만치료제 TOP2 Plus</t>
        </is>
      </c>
      <c r="E327" s="286" t="n">
        <v>1200</v>
      </c>
      <c r="F327" s="340" t="n"/>
      <c r="G327" s="286" t="n">
        <v>1200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482730</t>
        </is>
      </c>
      <c r="D328" s="285" t="inlineStr">
        <is>
          <t>미국S&amp;P500타겟데일리커버드콜</t>
        </is>
      </c>
      <c r="E328" s="286" t="n">
        <v>40800</v>
      </c>
      <c r="F328" s="340" t="n"/>
      <c r="G328" s="286" t="n">
        <v>40800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483280</t>
        </is>
      </c>
      <c r="D329" s="285" t="inlineStr">
        <is>
          <t>KODEX 미국AI테크TOP10타겟커버드콜</t>
        </is>
      </c>
      <c r="E329" s="286" t="n">
        <v>329448</v>
      </c>
      <c r="F329" s="340" t="n"/>
      <c r="G329" s="286" t="n">
        <v>329448</v>
      </c>
      <c r="H329" s="285" t="inlineStr">
        <is>
          <t>예측</t>
        </is>
      </c>
    </row>
    <row r="330">
      <c r="A330" s="342" t="n">
        <v>46358</v>
      </c>
      <c r="B330" s="285" t="n">
        <v>12</v>
      </c>
      <c r="C330" s="285" t="inlineStr">
        <is>
          <t>NKE</t>
        </is>
      </c>
      <c r="D330" s="285" t="inlineStr">
        <is>
          <t>나이키</t>
        </is>
      </c>
      <c r="E330" s="286" t="n"/>
      <c r="F330" s="340" t="n">
        <v>4.05</v>
      </c>
      <c r="G330" s="286" t="n">
        <v>5827.95</v>
      </c>
      <c r="H330" s="285" t="inlineStr">
        <is>
          <t>예측</t>
        </is>
      </c>
    </row>
    <row r="331">
      <c r="A331" s="342" t="n">
        <v>46366</v>
      </c>
      <c r="B331" s="285" t="n">
        <v>12</v>
      </c>
      <c r="C331" s="285" t="inlineStr">
        <is>
          <t>SCHD</t>
        </is>
      </c>
      <c r="D331" s="285" t="inlineStr">
        <is>
          <t>SCHD</t>
        </is>
      </c>
      <c r="E331" s="286" t="n"/>
      <c r="F331" s="340" t="n">
        <v>6.516</v>
      </c>
      <c r="G331" s="286" t="n">
        <v>9376.523999999999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0008S0</t>
        </is>
      </c>
      <c r="D332" s="285" t="inlineStr">
        <is>
          <t>TIGER 미국배당다우존스타겟데일리커버드콜</t>
        </is>
      </c>
      <c r="E332" s="286" t="n">
        <v>273000</v>
      </c>
      <c r="F332" s="340" t="n"/>
      <c r="G332" s="286" t="n">
        <v>273000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474220</t>
        </is>
      </c>
      <c r="D333" s="285" t="inlineStr">
        <is>
          <t>TIGER미국테크TOP10커버드콜</t>
        </is>
      </c>
      <c r="E333" s="286" t="n">
        <v>581400</v>
      </c>
      <c r="F333" s="340" t="n"/>
      <c r="G333" s="286" t="n">
        <v>581400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481060</t>
        </is>
      </c>
      <c r="D334" s="285" t="inlineStr">
        <is>
          <t>KODEX 미국30년국채타겟커버드콜(H)</t>
        </is>
      </c>
      <c r="E334" s="286" t="n">
        <v>278460</v>
      </c>
      <c r="F334" s="340" t="n"/>
      <c r="G334" s="286" t="n">
        <v>278460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490490</t>
        </is>
      </c>
      <c r="D335" s="285" t="inlineStr">
        <is>
          <t>SOL미국배당미국채혼합50</t>
        </is>
      </c>
      <c r="E335" s="286" t="n">
        <v>114630</v>
      </c>
      <c r="F335" s="340" t="n"/>
      <c r="G335" s="286" t="n">
        <v>114630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498400</t>
        </is>
      </c>
      <c r="D336" s="285" t="inlineStr">
        <is>
          <t>KODEX 200타켓위클리커버드콜</t>
        </is>
      </c>
      <c r="E336" s="286" t="n">
        <v>95648</v>
      </c>
      <c r="F336" s="340" t="n"/>
      <c r="G336" s="286" t="n">
        <v>95648</v>
      </c>
      <c r="H336" s="285" t="inlineStr">
        <is>
          <t>예측</t>
        </is>
      </c>
    </row>
    <row r="337">
      <c r="A337" s="342" t="n">
        <v>46368</v>
      </c>
      <c r="B337" s="285" t="n">
        <v>12</v>
      </c>
      <c r="C337" s="285" t="inlineStr">
        <is>
          <t>TSM</t>
        </is>
      </c>
      <c r="D337" s="285" t="inlineStr">
        <is>
          <t>TSMC</t>
        </is>
      </c>
      <c r="E337" s="286" t="n"/>
      <c r="F337" s="340" t="n">
        <v>0.7255</v>
      </c>
      <c r="G337" s="286" t="n">
        <v>1043.9945</v>
      </c>
      <c r="H337" s="285" t="inlineStr">
        <is>
          <t>예측</t>
        </is>
      </c>
    </row>
    <row r="338">
      <c r="A338" s="342" t="n">
        <v>46372</v>
      </c>
      <c r="B338" s="285" t="n">
        <v>12</v>
      </c>
      <c r="C338" s="285" t="inlineStr">
        <is>
          <t>O</t>
        </is>
      </c>
      <c r="D338" s="285" t="inlineStr">
        <is>
          <t>리얼티인컴</t>
        </is>
      </c>
      <c r="E338" s="286" t="n"/>
      <c r="F338" s="340" t="n">
        <v>14.151</v>
      </c>
      <c r="G338" s="286" t="n">
        <v>20363.289</v>
      </c>
      <c r="H338" s="285" t="inlineStr">
        <is>
          <t>예측</t>
        </is>
      </c>
    </row>
    <row r="339">
      <c r="A339" s="342" t="n">
        <v>46380</v>
      </c>
      <c r="B339" s="285" t="n">
        <v>12</v>
      </c>
      <c r="C339" s="285" t="inlineStr">
        <is>
          <t>QLD</t>
        </is>
      </c>
      <c r="D339" s="285" t="inlineStr">
        <is>
          <t>QLD</t>
        </is>
      </c>
      <c r="E339" s="286" t="n"/>
      <c r="F339" s="340" t="n">
        <v>0.749</v>
      </c>
      <c r="G339" s="286" t="n">
        <v>1077.811</v>
      </c>
      <c r="H339" s="285" t="inlineStr">
        <is>
          <t>예측</t>
        </is>
      </c>
    </row>
    <row r="340">
      <c r="A340" s="342" t="n">
        <v>46383</v>
      </c>
      <c r="B340" s="285" t="n">
        <v>12</v>
      </c>
      <c r="C340" s="285" t="inlineStr">
        <is>
          <t>472170</t>
        </is>
      </c>
      <c r="D340" s="285" t="inlineStr">
        <is>
          <t>TIGER 미국테크TOP10채권혼합</t>
        </is>
      </c>
      <c r="E340" s="286" t="n">
        <v>473040</v>
      </c>
      <c r="F340" s="340" t="n"/>
      <c r="G340" s="286" t="n">
        <v>473040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005930</t>
        </is>
      </c>
      <c r="D341" s="285" t="inlineStr">
        <is>
          <t>삼성전자</t>
        </is>
      </c>
      <c r="E341" s="286" t="n">
        <v>45986</v>
      </c>
      <c r="F341" s="340" t="n"/>
      <c r="G341" s="286" t="n">
        <v>45986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329200</t>
        </is>
      </c>
      <c r="D342" s="285" t="inlineStr">
        <is>
          <t>TIGER리츠부동산인프라</t>
        </is>
      </c>
      <c r="E342" s="286" t="n">
        <v>120000</v>
      </c>
      <c r="F342" s="340" t="n"/>
      <c r="G342" s="286" t="n">
        <v>120000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433330</t>
        </is>
      </c>
      <c r="D343" s="285" t="inlineStr">
        <is>
          <t>SOL 미국 S&amp;P500</t>
        </is>
      </c>
      <c r="E343" s="286" t="n">
        <v>22554</v>
      </c>
      <c r="F343" s="340" t="n"/>
      <c r="G343" s="286" t="n">
        <v>22554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446720</t>
        </is>
      </c>
      <c r="D344" s="285" t="inlineStr">
        <is>
          <t>SOL 미국배당다우존스</t>
        </is>
      </c>
      <c r="E344" s="286" t="n">
        <v>47880</v>
      </c>
      <c r="F344" s="340" t="n"/>
      <c r="G344" s="286" t="n">
        <v>47880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458760</t>
        </is>
      </c>
      <c r="D345" s="285" t="inlineStr">
        <is>
          <t>TIGER 미배당다우커버드콜2호</t>
        </is>
      </c>
      <c r="E345" s="286" t="n">
        <v>1412476</v>
      </c>
      <c r="F345" s="340" t="n"/>
      <c r="G345" s="286" t="n">
        <v>1412476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468380</t>
        </is>
      </c>
      <c r="D346" s="285" t="inlineStr">
        <is>
          <t>KODEX iShares미국하이일드액티브</t>
        </is>
      </c>
      <c r="E346" s="286" t="n">
        <v>133000</v>
      </c>
      <c r="F346" s="340" t="n"/>
      <c r="G346" s="286" t="n">
        <v>133000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473330</t>
        </is>
      </c>
      <c r="D347" s="285" t="inlineStr">
        <is>
          <t>SOL 미국 30년국채커버드콜(합성)</t>
        </is>
      </c>
      <c r="E347" s="286" t="n">
        <v>129600</v>
      </c>
      <c r="F347" s="340" t="n"/>
      <c r="G347" s="286" t="n">
        <v>129600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475380</t>
        </is>
      </c>
      <c r="D348" s="285" t="inlineStr">
        <is>
          <t>RISE 글로벌리얼티인컴</t>
        </is>
      </c>
      <c r="E348" s="286" t="n">
        <v>3737</v>
      </c>
      <c r="F348" s="340" t="n"/>
      <c r="G348" s="286" t="n">
        <v>3737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476550</t>
        </is>
      </c>
      <c r="D349" s="285" t="inlineStr">
        <is>
          <t>TIGER 미국30년국채커버드콜액티브(H)</t>
        </is>
      </c>
      <c r="E349" s="286" t="n">
        <v>34911</v>
      </c>
      <c r="F349" s="340" t="n"/>
      <c r="G349" s="286" t="n">
        <v>34911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476690</t>
        </is>
      </c>
      <c r="D350" s="285" t="inlineStr">
        <is>
          <t>TIGER 글로벌비만치료제 TOP2 Plus</t>
        </is>
      </c>
      <c r="E350" s="286" t="n">
        <v>1350</v>
      </c>
      <c r="F350" s="340" t="n"/>
      <c r="G350" s="286" t="n">
        <v>1350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482730</t>
        </is>
      </c>
      <c r="D351" s="285" t="inlineStr">
        <is>
          <t>미국S&amp;P500타겟데일리커버드콜</t>
        </is>
      </c>
      <c r="E351" s="286" t="n">
        <v>41650</v>
      </c>
      <c r="F351" s="340" t="n"/>
      <c r="G351" s="286" t="n">
        <v>41650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483280</t>
        </is>
      </c>
      <c r="D352" s="285" t="inlineStr">
        <is>
          <t>KODEX 미국AI테크TOP10타겟커버드콜</t>
        </is>
      </c>
      <c r="E352" s="286" t="n">
        <v>342804</v>
      </c>
      <c r="F352" s="340" t="n"/>
      <c r="G352" s="286" t="n">
        <v>342804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AMT</t>
        </is>
      </c>
      <c r="D353" s="285" t="inlineStr">
        <is>
          <t>아메리칸타워</t>
        </is>
      </c>
      <c r="E353" s="286" t="n"/>
      <c r="F353" s="340" t="n">
        <v>8.300000000000001</v>
      </c>
      <c r="G353" s="286" t="n">
        <v>11943.7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381170</t>
        </is>
      </c>
      <c r="D354" s="285" t="inlineStr">
        <is>
          <t>TIGER 미국테크TOP10 INDXX</t>
        </is>
      </c>
      <c r="E354" s="286" t="n">
        <v>24871</v>
      </c>
      <c r="F354" s="340" t="n"/>
      <c r="G354" s="286" t="n">
        <v>24871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438100</t>
        </is>
      </c>
      <c r="D355" s="285" t="inlineStr">
        <is>
          <t>ACE미국나스닥100미국채혼합50액티브</t>
        </is>
      </c>
      <c r="E355" s="286" t="n">
        <v>228672</v>
      </c>
      <c r="F355" s="340" t="n"/>
      <c r="G355" s="286" t="n">
        <v>228672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457480</t>
        </is>
      </c>
      <c r="D356" s="285" t="inlineStr">
        <is>
          <t>ACE테슬라밸류체인액티브</t>
        </is>
      </c>
      <c r="E356" s="286" t="n">
        <v>173375</v>
      </c>
      <c r="F356" s="340" t="n"/>
      <c r="G356" s="286" t="n">
        <v>173375</v>
      </c>
      <c r="H356" s="285" t="inlineStr">
        <is>
          <t>예측</t>
        </is>
      </c>
    </row>
    <row r="357">
      <c r="A357" s="342" t="n">
        <v>46385</v>
      </c>
      <c r="B357" s="285" t="n">
        <v>12</v>
      </c>
      <c r="C357" s="285" t="inlineStr">
        <is>
          <t>498410</t>
        </is>
      </c>
      <c r="D357" s="285" t="inlineStr">
        <is>
          <t>KODEX금융고배당TOP10타겟위클리커버드콜</t>
        </is>
      </c>
      <c r="E357" s="286" t="n">
        <v>361304</v>
      </c>
      <c r="F357" s="340" t="n"/>
      <c r="G357" s="286" t="n">
        <v>361304</v>
      </c>
      <c r="H357" s="285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2026-07-30T06:01:52Z</dcterms:modified>
  <cp:lastModifiedBy>조효진 (상담심리)</cp:lastModifiedBy>
</cp:coreProperties>
</file>