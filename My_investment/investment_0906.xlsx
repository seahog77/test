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￦1,354</t>
        </is>
      </c>
      <c r="J5" s="73" t="n">
        <v>1353.78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10575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10675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9500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11710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14125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10665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7350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4082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27570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15095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10575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13245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21810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11580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31690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26130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11965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10575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15095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18795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7800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115300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15110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6767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12645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173500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9945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10015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9915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284000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284000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20895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378.9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56.53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40.74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339.75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20450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155700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97.81999999999999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97.81999999999999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172900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8650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154.72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175.25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228.87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33.74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498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162.41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39.4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184.99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71.98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10.85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452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201.07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157.83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149.2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6.44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95.11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8.890000000000001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14520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40.45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15240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184385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31855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21810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202.41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158.71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110.12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2" t="n">
        <v>39</v>
      </c>
      <c r="B59" s="292">
        <f>IFERROR(INDEX('계좌현황'!A:A,INDEX($L$21:$L$97,MATCH(LARGE($N$21:$N$97,39),$N$21:$N$97,0))),"")</f>
        <v/>
      </c>
      <c r="C59" s="292">
        <f>IFERROR(INDEX('계좌현황'!C:C,INDEX($L$21:$L$97,MATCH(LARGE($N$21:$N$97,39),$N$21:$N$97,0))),"")</f>
        <v/>
      </c>
      <c r="D59" s="292">
        <f>IFERROR(INDEX('계좌현황'!D:D,INDEX($L$21:$L$97,MATCH(LARGE($N$21:$N$97,39),$N$21:$N$97,0))),"")</f>
        <v/>
      </c>
      <c r="E59" s="292">
        <f>IFERROR(INDEX('계좌현황'!E:E,INDEX($L$21:$L$97,MATCH(LARGE($N$21:$N$97,39),$N$21:$N$97,0))),"")</f>
        <v/>
      </c>
      <c r="F59" s="319">
        <f>IFERROR(INDEX('계좌현황'!F:F,INDEX($L$21:$L$97,MATCH(LARGE($N$21:$N$97,39),$N$21:$N$97,0))),"")</f>
        <v/>
      </c>
      <c r="G59" s="320">
        <f>IFERROR(INDEX('계좌현황'!K:K,INDEX($L$21:$L$97,MATCH(LARGE($N$21:$N$97,39),$N$21:$N$97,0))),0)</f>
        <v/>
      </c>
      <c r="H59" s="321">
        <f>IF($B$3=0,0,G59/$B$3)</f>
        <v/>
      </c>
      <c r="I59" s="321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5" t="n">
        <v>40</v>
      </c>
      <c r="B60" s="295">
        <f>IFERROR(INDEX('계좌현황'!A:A,INDEX($L$21:$L$97,MATCH(LARGE($N$21:$N$97,40),$N$21:$N$97,0))),"")</f>
        <v/>
      </c>
      <c r="C60" s="295">
        <f>IFERROR(INDEX('계좌현황'!C:C,INDEX($L$21:$L$97,MATCH(LARGE($N$21:$N$97,40),$N$21:$N$97,0))),"")</f>
        <v/>
      </c>
      <c r="D60" s="295">
        <f>IFERROR(INDEX('계좌현황'!D:D,INDEX($L$21:$L$97,MATCH(LARGE($N$21:$N$97,40),$N$21:$N$97,0))),"")</f>
        <v/>
      </c>
      <c r="E60" s="295">
        <f>IFERROR(INDEX('계좌현황'!E:E,INDEX($L$21:$L$97,MATCH(LARGE($N$21:$N$97,40),$N$21:$N$97,0))),"")</f>
        <v/>
      </c>
      <c r="F60" s="322">
        <f>IFERROR(INDEX('계좌현황'!F:F,INDEX($L$21:$L$97,MATCH(LARGE($N$21:$N$97,40),$N$21:$N$97,0))),"")</f>
        <v/>
      </c>
      <c r="G60" s="323">
        <f>IFERROR(INDEX('계좌현황'!K:K,INDEX($L$21:$L$97,MATCH(LARGE($N$21:$N$97,40),$N$21:$N$97,0))),0)</f>
        <v/>
      </c>
      <c r="H60" s="324">
        <f>IF($B$3=0,0,G60/$B$3)</f>
        <v/>
      </c>
      <c r="I60" s="324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1,354원/$  | 연간 합계 52,378,114원 · 월평균 4,364,843원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4095110.74</v>
      </c>
      <c r="C7" s="284" t="n">
        <v>0</v>
      </c>
      <c r="D7" s="284" t="n">
        <v>4095110.74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4217270.4</v>
      </c>
      <c r="C8" s="284" t="n">
        <v>0</v>
      </c>
      <c r="D8" s="284" t="n">
        <v>4217270.4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4598179.328000001</v>
      </c>
      <c r="C9" s="287" t="n">
        <v>35408</v>
      </c>
      <c r="D9" s="287" t="n">
        <v>4633587.328000001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4210503.802</v>
      </c>
      <c r="C10" s="287" t="n">
        <v>5104</v>
      </c>
      <c r="D10" s="287" t="n">
        <v>4215607.802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4290518.022000001</v>
      </c>
      <c r="C11" s="284" t="n">
        <v>0</v>
      </c>
      <c r="D11" s="284" t="n">
        <v>4290518.022000001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4331279.92</v>
      </c>
      <c r="C12" s="287" t="n">
        <v>35492</v>
      </c>
      <c r="D12" s="287" t="n">
        <v>4366771.92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4348490.502</v>
      </c>
      <c r="C13" s="284" t="n">
        <v>0</v>
      </c>
      <c r="D13" s="284" t="n">
        <v>4348490.502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4213253.512</v>
      </c>
      <c r="C14" s="284" t="n">
        <v>0</v>
      </c>
      <c r="D14" s="284" t="n">
        <v>4213253.512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1419392.278</v>
      </c>
      <c r="C15" s="287" t="n">
        <v>2878652.132</v>
      </c>
      <c r="D15" s="287" t="n">
        <v>4298044.41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4090236.216</v>
      </c>
      <c r="D16" s="293" t="n">
        <v>4090236.216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4374852.183999999</v>
      </c>
      <c r="D17" s="293" t="n">
        <v>4374852.183999999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5234370.748000001</v>
      </c>
      <c r="D18" s="293" t="n">
        <v>5234370.748000001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0.1046</v>
      </c>
      <c r="F24" s="308" t="n">
        <v>162357975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0.1018</v>
      </c>
      <c r="F25" s="308" t="n">
        <v>69587950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0.1607</v>
      </c>
      <c r="F26" s="308" t="n">
        <v>27834670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0.1496</v>
      </c>
      <c r="F27" s="308" t="n">
        <v>26634090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0.1239</v>
      </c>
      <c r="F28" s="308" t="n">
        <v>28500000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0.1343</v>
      </c>
      <c r="F29" s="308" t="n">
        <v>22491000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0.1496</v>
      </c>
      <c r="F30" s="308" t="n">
        <v>12766845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0.09300000000000001</v>
      </c>
      <c r="F31" s="308" t="n">
        <v>20410000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0.0721</v>
      </c>
      <c r="F32" s="308" t="n">
        <v>21330000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0.0309</v>
      </c>
      <c r="F33" s="308" t="n">
        <v>40789175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0.111</v>
      </c>
      <c r="F34" s="308" t="n">
        <v>10864400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0.132</v>
      </c>
      <c r="F35" s="308" t="n">
        <v>7488000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27840375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0.0307</v>
      </c>
      <c r="F37" s="308" t="n">
        <v>17615850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</v>
      </c>
      <c r="F38" s="308" t="n">
        <v>4921500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1354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19375.74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3168.36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1394.62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1678.96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2410.12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2464.28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19375.74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5524.32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5551.4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1294.424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2464.28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8351.472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25895.25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19447.502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1354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12118.3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19447.502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3290.22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1678.96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1394.62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2410.12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2464.28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19447.502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5524.32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5551.4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1354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1293.07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12118.3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11563.16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8221.487999999999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19447.502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1354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19447.502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3290.22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1678.96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11759.49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1394.62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2410.12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2464.28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5524.32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19447.502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5551.4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19088.692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1354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1498.878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4359.88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8313.559999999999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11509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10967.4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1218.6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19232.216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3107.43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19160.454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1665.42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1367.54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2261.18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2355.96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5145.2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5483.7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8822.664000000001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19160.454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5070.73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11238.2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2026-09-23T06:05:11Z</dcterms:modified>
  <cp:lastModifiedBy>Hyoyol Park</cp:lastModifiedBy>
</cp:coreProperties>
</file>