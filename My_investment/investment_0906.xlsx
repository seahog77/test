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'월별배당'!$A$43:$H$365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￦1,353</t>
        </is>
      </c>
      <c r="J5" s="73" t="n">
        <v>1353.38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10520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10660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9445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11800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14080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10615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7330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4095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27460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15025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10520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13185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21705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11520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31575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25990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11925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10520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15030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18805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7760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118200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15085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6770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12660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175100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10140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10000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9905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284750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284750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21085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378.9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56.53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40.74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339.75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20500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156500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97.81999999999999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97.81999999999999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174700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8720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154.72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175.25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228.87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33.74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498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162.41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39.4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184.99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71.98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10.85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36.1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452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201.07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157.83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149.2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6.44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95.11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8.890000000000001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14700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40.45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15185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183695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31690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21710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202.41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158.71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110.12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6" t="n">
        <v>10</v>
      </c>
      <c r="B30" s="286">
        <f>IFERROR(INDEX('계좌현황'!A:A,INDEX($L$21:$L$97,MATCH(LARGE($N$21:$N$97,10),$N$21:$N$97,0))),"")</f>
        <v/>
      </c>
      <c r="C30" s="286">
        <f>IFERROR(INDEX('계좌현황'!C:C,INDEX($L$21:$L$97,MATCH(LARGE($N$21:$N$97,10),$N$21:$N$97,0))),"")</f>
        <v/>
      </c>
      <c r="D30" s="286">
        <f>IFERROR(INDEX('계좌현황'!D:D,INDEX($L$21:$L$97,MATCH(LARGE($N$21:$N$97,10),$N$21:$N$97,0))),"")</f>
        <v/>
      </c>
      <c r="E30" s="286">
        <f>IFERROR(INDEX('계좌현황'!E:E,INDEX($L$21:$L$97,MATCH(LARGE($N$21:$N$97,10),$N$21:$N$97,0))),"")</f>
        <v/>
      </c>
      <c r="F30" s="316">
        <f>IFERROR(INDEX('계좌현황'!F:F,INDEX($L$21:$L$97,MATCH(LARGE($N$21:$N$97,10),$N$21:$N$97,0))),"")</f>
        <v/>
      </c>
      <c r="G30" s="317">
        <f>IFERROR(INDEX('계좌현황'!K:K,INDEX($L$21:$L$97,MATCH(LARGE($N$21:$N$97,10),$N$21:$N$97,0))),0)</f>
        <v/>
      </c>
      <c r="H30" s="318">
        <f>IF($B$3=0,0,G30/$B$3)</f>
        <v/>
      </c>
      <c r="I30" s="318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3" t="n">
        <v>11</v>
      </c>
      <c r="B31" s="283">
        <f>IFERROR(INDEX('계좌현황'!A:A,INDEX($L$21:$L$97,MATCH(LARGE($N$21:$N$97,11),$N$21:$N$97,0))),"")</f>
        <v/>
      </c>
      <c r="C31" s="283">
        <f>IFERROR(INDEX('계좌현황'!C:C,INDEX($L$21:$L$97,MATCH(LARGE($N$21:$N$97,11),$N$21:$N$97,0))),"")</f>
        <v/>
      </c>
      <c r="D31" s="283">
        <f>IFERROR(INDEX('계좌현황'!D:D,INDEX($L$21:$L$97,MATCH(LARGE($N$21:$N$97,11),$N$21:$N$97,0))),"")</f>
        <v/>
      </c>
      <c r="E31" s="283">
        <f>IFERROR(INDEX('계좌현황'!E:E,INDEX($L$21:$L$97,MATCH(LARGE($N$21:$N$97,11),$N$21:$N$97,0))),"")</f>
        <v/>
      </c>
      <c r="F31" s="313">
        <f>IFERROR(INDEX('계좌현황'!F:F,INDEX($L$21:$L$97,MATCH(LARGE($N$21:$N$97,11),$N$21:$N$97,0))),"")</f>
        <v/>
      </c>
      <c r="G31" s="314">
        <f>IFERROR(INDEX('계좌현황'!K:K,INDEX($L$21:$L$97,MATCH(LARGE($N$21:$N$97,11),$N$21:$N$97,0))),0)</f>
        <v/>
      </c>
      <c r="H31" s="315">
        <f>IF($B$3=0,0,G31/$B$3)</f>
        <v/>
      </c>
      <c r="I31" s="315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83" t="n">
        <v>12</v>
      </c>
      <c r="B32" s="283">
        <f>IFERROR(INDEX('계좌현황'!A:A,INDEX($L$21:$L$97,MATCH(LARGE($N$21:$N$97,12),$N$21:$N$97,0))),"")</f>
        <v/>
      </c>
      <c r="C32" s="283">
        <f>IFERROR(INDEX('계좌현황'!C:C,INDEX($L$21:$L$97,MATCH(LARGE($N$21:$N$97,12),$N$21:$N$97,0))),"")</f>
        <v/>
      </c>
      <c r="D32" s="283">
        <f>IFERROR(INDEX('계좌현황'!D:D,INDEX($L$21:$L$97,MATCH(LARGE($N$21:$N$97,12),$N$21:$N$97,0))),"")</f>
        <v/>
      </c>
      <c r="E32" s="283">
        <f>IFERROR(INDEX('계좌현황'!E:E,INDEX($L$21:$L$97,MATCH(LARGE($N$21:$N$97,12),$N$21:$N$97,0))),"")</f>
        <v/>
      </c>
      <c r="F32" s="313">
        <f>IFERROR(INDEX('계좌현황'!F:F,INDEX($L$21:$L$97,MATCH(LARGE($N$21:$N$97,12),$N$21:$N$97,0))),"")</f>
        <v/>
      </c>
      <c r="G32" s="314">
        <f>IFERROR(INDEX('계좌현황'!K:K,INDEX($L$21:$L$97,MATCH(LARGE($N$21:$N$97,12),$N$21:$N$97,0))),0)</f>
        <v/>
      </c>
      <c r="H32" s="315">
        <f>IF($B$3=0,0,G32/$B$3)</f>
        <v/>
      </c>
      <c r="I32" s="315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2" t="n">
        <v>13</v>
      </c>
      <c r="B33" s="292">
        <f>IFERROR(INDEX('계좌현황'!A:A,INDEX($L$21:$L$97,MATCH(LARGE($N$21:$N$97,13),$N$21:$N$97,0))),"")</f>
        <v/>
      </c>
      <c r="C33" s="292">
        <f>IFERROR(INDEX('계좌현황'!C:C,INDEX($L$21:$L$97,MATCH(LARGE($N$21:$N$97,13),$N$21:$N$97,0))),"")</f>
        <v/>
      </c>
      <c r="D33" s="292">
        <f>IFERROR(INDEX('계좌현황'!D:D,INDEX($L$21:$L$97,MATCH(LARGE($N$21:$N$97,13),$N$21:$N$97,0))),"")</f>
        <v/>
      </c>
      <c r="E33" s="292">
        <f>IFERROR(INDEX('계좌현황'!E:E,INDEX($L$21:$L$97,MATCH(LARGE($N$21:$N$97,13),$N$21:$N$97,0))),"")</f>
        <v/>
      </c>
      <c r="F33" s="319">
        <f>IFERROR(INDEX('계좌현황'!F:F,INDEX($L$21:$L$97,MATCH(LARGE($N$21:$N$97,13),$N$21:$N$97,0))),"")</f>
        <v/>
      </c>
      <c r="G33" s="320">
        <f>IFERROR(INDEX('계좌현황'!K:K,INDEX($L$21:$L$97,MATCH(LARGE($N$21:$N$97,13),$N$21:$N$97,0))),0)</f>
        <v/>
      </c>
      <c r="H33" s="321">
        <f>IF($B$3=0,0,G33/$B$3)</f>
        <v/>
      </c>
      <c r="I33" s="321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95" t="n">
        <v>18</v>
      </c>
      <c r="B38" s="295">
        <f>IFERROR(INDEX('계좌현황'!A:A,INDEX($L$21:$L$97,MATCH(LARGE($N$21:$N$97,18),$N$21:$N$97,0))),"")</f>
        <v/>
      </c>
      <c r="C38" s="295">
        <f>IFERROR(INDEX('계좌현황'!C:C,INDEX($L$21:$L$97,MATCH(LARGE($N$21:$N$97,18),$N$21:$N$97,0))),"")</f>
        <v/>
      </c>
      <c r="D38" s="295">
        <f>IFERROR(INDEX('계좌현황'!D:D,INDEX($L$21:$L$97,MATCH(LARGE($N$21:$N$97,18),$N$21:$N$97,0))),"")</f>
        <v/>
      </c>
      <c r="E38" s="295">
        <f>IFERROR(INDEX('계좌현황'!E:E,INDEX($L$21:$L$97,MATCH(LARGE($N$21:$N$97,18),$N$21:$N$97,0))),"")</f>
        <v/>
      </c>
      <c r="F38" s="322">
        <f>IFERROR(INDEX('계좌현황'!F:F,INDEX($L$21:$L$97,MATCH(LARGE($N$21:$N$97,18),$N$21:$N$97,0))),"")</f>
        <v/>
      </c>
      <c r="G38" s="323">
        <f>IFERROR(INDEX('계좌현황'!K:K,INDEX($L$21:$L$97,MATCH(LARGE($N$21:$N$97,18),$N$21:$N$97,0))),0)</f>
        <v/>
      </c>
      <c r="H38" s="324">
        <f>IF($B$3=0,0,G38/$B$3)</f>
        <v/>
      </c>
      <c r="I38" s="324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83" t="n">
        <v>19</v>
      </c>
      <c r="B39" s="283">
        <f>IFERROR(INDEX('계좌현황'!A:A,INDEX($L$21:$L$97,MATCH(LARGE($N$21:$N$97,19),$N$21:$N$97,0))),"")</f>
        <v/>
      </c>
      <c r="C39" s="283">
        <f>IFERROR(INDEX('계좌현황'!C:C,INDEX($L$21:$L$97,MATCH(LARGE($N$21:$N$97,19),$N$21:$N$97,0))),"")</f>
        <v/>
      </c>
      <c r="D39" s="283">
        <f>IFERROR(INDEX('계좌현황'!D:D,INDEX($L$21:$L$97,MATCH(LARGE($N$21:$N$97,19),$N$21:$N$97,0))),"")</f>
        <v/>
      </c>
      <c r="E39" s="283">
        <f>IFERROR(INDEX('계좌현황'!E:E,INDEX($L$21:$L$97,MATCH(LARGE($N$21:$N$97,19),$N$21:$N$97,0))),"")</f>
        <v/>
      </c>
      <c r="F39" s="313">
        <f>IFERROR(INDEX('계좌현황'!F:F,INDEX($L$21:$L$97,MATCH(LARGE($N$21:$N$97,19),$N$21:$N$97,0))),"")</f>
        <v/>
      </c>
      <c r="G39" s="314">
        <f>IFERROR(INDEX('계좌현황'!K:K,INDEX($L$21:$L$97,MATCH(LARGE($N$21:$N$97,19),$N$21:$N$97,0))),0)</f>
        <v/>
      </c>
      <c r="H39" s="315">
        <f>IF($B$3=0,0,G39/$B$3)</f>
        <v/>
      </c>
      <c r="I39" s="315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1" t="n">
        <v>20</v>
      </c>
      <c r="B40" s="301">
        <f>IFERROR(INDEX('계좌현황'!A:A,INDEX($L$21:$L$97,MATCH(LARGE($N$21:$N$97,20),$N$21:$N$97,0))),"")</f>
        <v/>
      </c>
      <c r="C40" s="301">
        <f>IFERROR(INDEX('계좌현황'!C:C,INDEX($L$21:$L$97,MATCH(LARGE($N$21:$N$97,20),$N$21:$N$97,0))),"")</f>
        <v/>
      </c>
      <c r="D40" s="301">
        <f>IFERROR(INDEX('계좌현황'!D:D,INDEX($L$21:$L$97,MATCH(LARGE($N$21:$N$97,20),$N$21:$N$97,0))),"")</f>
        <v/>
      </c>
      <c r="E40" s="301">
        <f>IFERROR(INDEX('계좌현황'!E:E,INDEX($L$21:$L$97,MATCH(LARGE($N$21:$N$97,20),$N$21:$N$97,0))),"")</f>
        <v/>
      </c>
      <c r="F40" s="325">
        <f>IFERROR(INDEX('계좌현황'!F:F,INDEX($L$21:$L$97,MATCH(LARGE($N$21:$N$97,20),$N$21:$N$97,0))),"")</f>
        <v/>
      </c>
      <c r="G40" s="326">
        <f>IFERROR(INDEX('계좌현황'!K:K,INDEX($L$21:$L$97,MATCH(LARGE($N$21:$N$97,20),$N$21:$N$97,0))),0)</f>
        <v/>
      </c>
      <c r="H40" s="327">
        <f>IF($B$3=0,0,G40/$B$3)</f>
        <v/>
      </c>
      <c r="I40" s="327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5" t="n">
        <v>21</v>
      </c>
      <c r="B41" s="295">
        <f>IFERROR(INDEX('계좌현황'!A:A,INDEX($L$21:$L$97,MATCH(LARGE($N$21:$N$97,21),$N$21:$N$97,0))),"")</f>
        <v/>
      </c>
      <c r="C41" s="295">
        <f>IFERROR(INDEX('계좌현황'!C:C,INDEX($L$21:$L$97,MATCH(LARGE($N$21:$N$97,21),$N$21:$N$97,0))),"")</f>
        <v/>
      </c>
      <c r="D41" s="295">
        <f>IFERROR(INDEX('계좌현황'!D:D,INDEX($L$21:$L$97,MATCH(LARGE($N$21:$N$97,21),$N$21:$N$97,0))),"")</f>
        <v/>
      </c>
      <c r="E41" s="295">
        <f>IFERROR(INDEX('계좌현황'!E:E,INDEX($L$21:$L$97,MATCH(LARGE($N$21:$N$97,21),$N$21:$N$97,0))),"")</f>
        <v/>
      </c>
      <c r="F41" s="322">
        <f>IFERROR(INDEX('계좌현황'!F:F,INDEX($L$21:$L$97,MATCH(LARGE($N$21:$N$97,21),$N$21:$N$97,0))),"")</f>
        <v/>
      </c>
      <c r="G41" s="323">
        <f>IFERROR(INDEX('계좌현황'!K:K,INDEX($L$21:$L$97,MATCH(LARGE($N$21:$N$97,21),$N$21:$N$97,0))),0)</f>
        <v/>
      </c>
      <c r="H41" s="324">
        <f>IF($B$3=0,0,G41/$B$3)</f>
        <v/>
      </c>
      <c r="I41" s="324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89" t="n">
        <v>22</v>
      </c>
      <c r="B42" s="289">
        <f>IFERROR(INDEX('계좌현황'!A:A,INDEX($L$21:$L$97,MATCH(LARGE($N$21:$N$97,22),$N$21:$N$97,0))),"")</f>
        <v/>
      </c>
      <c r="C42" s="289">
        <f>IFERROR(INDEX('계좌현황'!C:C,INDEX($L$21:$L$97,MATCH(LARGE($N$21:$N$97,22),$N$21:$N$97,0))),"")</f>
        <v/>
      </c>
      <c r="D42" s="289">
        <f>IFERROR(INDEX('계좌현황'!D:D,INDEX($L$21:$L$97,MATCH(LARGE($N$21:$N$97,22),$N$21:$N$97,0))),"")</f>
        <v/>
      </c>
      <c r="E42" s="289">
        <f>IFERROR(INDEX('계좌현황'!E:E,INDEX($L$21:$L$97,MATCH(LARGE($N$21:$N$97,22),$N$21:$N$97,0))),"")</f>
        <v/>
      </c>
      <c r="F42" s="328">
        <f>IFERROR(INDEX('계좌현황'!F:F,INDEX($L$21:$L$97,MATCH(LARGE($N$21:$N$97,22),$N$21:$N$97,0))),"")</f>
        <v/>
      </c>
      <c r="G42" s="329">
        <f>IFERROR(INDEX('계좌현황'!K:K,INDEX($L$21:$L$97,MATCH(LARGE($N$21:$N$97,22),$N$21:$N$97,0))),0)</f>
        <v/>
      </c>
      <c r="H42" s="330">
        <f>IF($B$3=0,0,G42/$B$3)</f>
        <v/>
      </c>
      <c r="I42" s="330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7" t="n">
        <v>24</v>
      </c>
      <c r="B44" s="307">
        <f>IFERROR(INDEX('계좌현황'!A:A,INDEX($L$21:$L$97,MATCH(LARGE($N$21:$N$97,24),$N$21:$N$97,0))),"")</f>
        <v/>
      </c>
      <c r="C44" s="307">
        <f>IFERROR(INDEX('계좌현황'!C:C,INDEX($L$21:$L$97,MATCH(LARGE($N$21:$N$97,24),$N$21:$N$97,0))),"")</f>
        <v/>
      </c>
      <c r="D44" s="307">
        <f>IFERROR(INDEX('계좌현황'!D:D,INDEX($L$21:$L$97,MATCH(LARGE($N$21:$N$97,24),$N$21:$N$97,0))),"")</f>
        <v/>
      </c>
      <c r="E44" s="307">
        <f>IFERROR(INDEX('계좌현황'!E:E,INDEX($L$21:$L$97,MATCH(LARGE($N$21:$N$97,24),$N$21:$N$97,0))),"")</f>
        <v/>
      </c>
      <c r="F44" s="331">
        <f>IFERROR(INDEX('계좌현황'!F:F,INDEX($L$21:$L$97,MATCH(LARGE($N$21:$N$97,24),$N$21:$N$97,0))),"")</f>
        <v/>
      </c>
      <c r="G44" s="332">
        <f>IFERROR(INDEX('계좌현황'!K:K,INDEX($L$21:$L$97,MATCH(LARGE($N$21:$N$97,24),$N$21:$N$97,0))),0)</f>
        <v/>
      </c>
      <c r="H44" s="333">
        <f>IF($B$3=0,0,G44/$B$3)</f>
        <v/>
      </c>
      <c r="I44" s="333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1" t="n">
        <v>25</v>
      </c>
      <c r="B45" s="301">
        <f>IFERROR(INDEX('계좌현황'!A:A,INDEX($L$21:$L$97,MATCH(LARGE($N$21:$N$97,25),$N$21:$N$97,0))),"")</f>
        <v/>
      </c>
      <c r="C45" s="301">
        <f>IFERROR(INDEX('계좌현황'!C:C,INDEX($L$21:$L$97,MATCH(LARGE($N$21:$N$97,25),$N$21:$N$97,0))),"")</f>
        <v/>
      </c>
      <c r="D45" s="301">
        <f>IFERROR(INDEX('계좌현황'!D:D,INDEX($L$21:$L$97,MATCH(LARGE($N$21:$N$97,25),$N$21:$N$97,0))),"")</f>
        <v/>
      </c>
      <c r="E45" s="301">
        <f>IFERROR(INDEX('계좌현황'!E:E,INDEX($L$21:$L$97,MATCH(LARGE($N$21:$N$97,25),$N$21:$N$97,0))),"")</f>
        <v/>
      </c>
      <c r="F45" s="325">
        <f>IFERROR(INDEX('계좌현황'!F:F,INDEX($L$21:$L$97,MATCH(LARGE($N$21:$N$97,25),$N$21:$N$97,0))),"")</f>
        <v/>
      </c>
      <c r="G45" s="326">
        <f>IFERROR(INDEX('계좌현황'!K:K,INDEX($L$21:$L$97,MATCH(LARGE($N$21:$N$97,25),$N$21:$N$97,0))),0)</f>
        <v/>
      </c>
      <c r="H45" s="327">
        <f>IF($B$3=0,0,G45/$B$3)</f>
        <v/>
      </c>
      <c r="I45" s="327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5" t="n">
        <v>28</v>
      </c>
      <c r="B48" s="295">
        <f>IFERROR(INDEX('계좌현황'!A:A,INDEX($L$21:$L$97,MATCH(LARGE($N$21:$N$97,28),$N$21:$N$97,0))),"")</f>
        <v/>
      </c>
      <c r="C48" s="295">
        <f>IFERROR(INDEX('계좌현황'!C:C,INDEX($L$21:$L$97,MATCH(LARGE($N$21:$N$97,28),$N$21:$N$97,0))),"")</f>
        <v/>
      </c>
      <c r="D48" s="295">
        <f>IFERROR(INDEX('계좌현황'!D:D,INDEX($L$21:$L$97,MATCH(LARGE($N$21:$N$97,28),$N$21:$N$97,0))),"")</f>
        <v/>
      </c>
      <c r="E48" s="295">
        <f>IFERROR(INDEX('계좌현황'!E:E,INDEX($L$21:$L$97,MATCH(LARGE($N$21:$N$97,28),$N$21:$N$97,0))),"")</f>
        <v/>
      </c>
      <c r="F48" s="322">
        <f>IFERROR(INDEX('계좌현황'!F:F,INDEX($L$21:$L$97,MATCH(LARGE($N$21:$N$97,28),$N$21:$N$97,0))),"")</f>
        <v/>
      </c>
      <c r="G48" s="323">
        <f>IFERROR(INDEX('계좌현황'!K:K,INDEX($L$21:$L$97,MATCH(LARGE($N$21:$N$97,28),$N$21:$N$97,0))),0)</f>
        <v/>
      </c>
      <c r="H48" s="324">
        <f>IF($B$3=0,0,G48/$B$3)</f>
        <v/>
      </c>
      <c r="I48" s="324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301" t="n">
        <v>29</v>
      </c>
      <c r="B49" s="301">
        <f>IFERROR(INDEX('계좌현황'!A:A,INDEX($L$21:$L$97,MATCH(LARGE($N$21:$N$97,29),$N$21:$N$97,0))),"")</f>
        <v/>
      </c>
      <c r="C49" s="301">
        <f>IFERROR(INDEX('계좌현황'!C:C,INDEX($L$21:$L$97,MATCH(LARGE($N$21:$N$97,29),$N$21:$N$97,0))),"")</f>
        <v/>
      </c>
      <c r="D49" s="301">
        <f>IFERROR(INDEX('계좌현황'!D:D,INDEX($L$21:$L$97,MATCH(LARGE($N$21:$N$97,29),$N$21:$N$97,0))),"")</f>
        <v/>
      </c>
      <c r="E49" s="301">
        <f>IFERROR(INDEX('계좌현황'!E:E,INDEX($L$21:$L$97,MATCH(LARGE($N$21:$N$97,29),$N$21:$N$97,0))),"")</f>
        <v/>
      </c>
      <c r="F49" s="325">
        <f>IFERROR(INDEX('계좌현황'!F:F,INDEX($L$21:$L$97,MATCH(LARGE($N$21:$N$97,29),$N$21:$N$97,0))),"")</f>
        <v/>
      </c>
      <c r="G49" s="326">
        <f>IFERROR(INDEX('계좌현황'!K:K,INDEX($L$21:$L$97,MATCH(LARGE($N$21:$N$97,29),$N$21:$N$97,0))),0)</f>
        <v/>
      </c>
      <c r="H49" s="327">
        <f>IF($B$3=0,0,G49/$B$3)</f>
        <v/>
      </c>
      <c r="I49" s="327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95" t="n">
        <v>32</v>
      </c>
      <c r="B52" s="295">
        <f>IFERROR(INDEX('계좌현황'!A:A,INDEX($L$21:$L$97,MATCH(LARGE($N$21:$N$97,32),$N$21:$N$97,0))),"")</f>
        <v/>
      </c>
      <c r="C52" s="295">
        <f>IFERROR(INDEX('계좌현황'!C:C,INDEX($L$21:$L$97,MATCH(LARGE($N$21:$N$97,32),$N$21:$N$97,0))),"")</f>
        <v/>
      </c>
      <c r="D52" s="295">
        <f>IFERROR(INDEX('계좌현황'!D:D,INDEX($L$21:$L$97,MATCH(LARGE($N$21:$N$97,32),$N$21:$N$97,0))),"")</f>
        <v/>
      </c>
      <c r="E52" s="295">
        <f>IFERROR(INDEX('계좌현황'!E:E,INDEX($L$21:$L$97,MATCH(LARGE($N$21:$N$97,32),$N$21:$N$97,0))),"")</f>
        <v/>
      </c>
      <c r="F52" s="322">
        <f>IFERROR(INDEX('계좌현황'!F:F,INDEX($L$21:$L$97,MATCH(LARGE($N$21:$N$97,32),$N$21:$N$97,0))),"")</f>
        <v/>
      </c>
      <c r="G52" s="323">
        <f>IFERROR(INDEX('계좌현황'!K:K,INDEX($L$21:$L$97,MATCH(LARGE($N$21:$N$97,32),$N$21:$N$97,0))),0)</f>
        <v/>
      </c>
      <c r="H52" s="324">
        <f>IF($B$3=0,0,G52/$B$3)</f>
        <v/>
      </c>
      <c r="I52" s="324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86" t="n">
        <v>33</v>
      </c>
      <c r="B53" s="286">
        <f>IFERROR(INDEX('계좌현황'!A:A,INDEX($L$21:$L$97,MATCH(LARGE($N$21:$N$97,33),$N$21:$N$97,0))),"")</f>
        <v/>
      </c>
      <c r="C53" s="286">
        <f>IFERROR(INDEX('계좌현황'!C:C,INDEX($L$21:$L$97,MATCH(LARGE($N$21:$N$97,33),$N$21:$N$97,0))),"")</f>
        <v/>
      </c>
      <c r="D53" s="286">
        <f>IFERROR(INDEX('계좌현황'!D:D,INDEX($L$21:$L$97,MATCH(LARGE($N$21:$N$97,33),$N$21:$N$97,0))),"")</f>
        <v/>
      </c>
      <c r="E53" s="286">
        <f>IFERROR(INDEX('계좌현황'!E:E,INDEX($L$21:$L$97,MATCH(LARGE($N$21:$N$97,33),$N$21:$N$97,0))),"")</f>
        <v/>
      </c>
      <c r="F53" s="316">
        <f>IFERROR(INDEX('계좌현황'!F:F,INDEX($L$21:$L$97,MATCH(LARGE($N$21:$N$97,33),$N$21:$N$97,0))),"")</f>
        <v/>
      </c>
      <c r="G53" s="317">
        <f>IFERROR(INDEX('계좌현황'!K:K,INDEX($L$21:$L$97,MATCH(LARGE($N$21:$N$97,33),$N$21:$N$97,0))),0)</f>
        <v/>
      </c>
      <c r="H53" s="318">
        <f>IF($B$3=0,0,G53/$B$3)</f>
        <v/>
      </c>
      <c r="I53" s="318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5" t="n">
        <v>36</v>
      </c>
      <c r="B56" s="295">
        <f>IFERROR(INDEX('계좌현황'!A:A,INDEX($L$21:$L$97,MATCH(LARGE($N$21:$N$97,36),$N$21:$N$97,0))),"")</f>
        <v/>
      </c>
      <c r="C56" s="295">
        <f>IFERROR(INDEX('계좌현황'!C:C,INDEX($L$21:$L$97,MATCH(LARGE($N$21:$N$97,36),$N$21:$N$97,0))),"")</f>
        <v/>
      </c>
      <c r="D56" s="295">
        <f>IFERROR(INDEX('계좌현황'!D:D,INDEX($L$21:$L$97,MATCH(LARGE($N$21:$N$97,36),$N$21:$N$97,0))),"")</f>
        <v/>
      </c>
      <c r="E56" s="295">
        <f>IFERROR(INDEX('계좌현황'!E:E,INDEX($L$21:$L$97,MATCH(LARGE($N$21:$N$97,36),$N$21:$N$97,0))),"")</f>
        <v/>
      </c>
      <c r="F56" s="322">
        <f>IFERROR(INDEX('계좌현황'!F:F,INDEX($L$21:$L$97,MATCH(LARGE($N$21:$N$97,36),$N$21:$N$97,0))),"")</f>
        <v/>
      </c>
      <c r="G56" s="323">
        <f>IFERROR(INDEX('계좌현황'!K:K,INDEX($L$21:$L$97,MATCH(LARGE($N$21:$N$97,36),$N$21:$N$97,0))),0)</f>
        <v/>
      </c>
      <c r="H56" s="324">
        <f>IF($B$3=0,0,G56/$B$3)</f>
        <v/>
      </c>
      <c r="I56" s="324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2" t="n">
        <v>37</v>
      </c>
      <c r="B57" s="292">
        <f>IFERROR(INDEX('계좌현황'!A:A,INDEX($L$21:$L$97,MATCH(LARGE($N$21:$N$97,37),$N$21:$N$97,0))),"")</f>
        <v/>
      </c>
      <c r="C57" s="292">
        <f>IFERROR(INDEX('계좌현황'!C:C,INDEX($L$21:$L$97,MATCH(LARGE($N$21:$N$97,37),$N$21:$N$97,0))),"")</f>
        <v/>
      </c>
      <c r="D57" s="292">
        <f>IFERROR(INDEX('계좌현황'!D:D,INDEX($L$21:$L$97,MATCH(LARGE($N$21:$N$97,37),$N$21:$N$97,0))),"")</f>
        <v/>
      </c>
      <c r="E57" s="292">
        <f>IFERROR(INDEX('계좌현황'!E:E,INDEX($L$21:$L$97,MATCH(LARGE($N$21:$N$97,37),$N$21:$N$97,0))),"")</f>
        <v/>
      </c>
      <c r="F57" s="319">
        <f>IFERROR(INDEX('계좌현황'!F:F,INDEX($L$21:$L$97,MATCH(LARGE($N$21:$N$97,37),$N$21:$N$97,0))),"")</f>
        <v/>
      </c>
      <c r="G57" s="320">
        <f>IFERROR(INDEX('계좌현황'!K:K,INDEX($L$21:$L$97,MATCH(LARGE($N$21:$N$97,37),$N$21:$N$97,0))),0)</f>
        <v/>
      </c>
      <c r="H57" s="321">
        <f>IF($B$3=0,0,G57/$B$3)</f>
        <v/>
      </c>
      <c r="I57" s="321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2" t="n">
        <v>39</v>
      </c>
      <c r="B59" s="292">
        <f>IFERROR(INDEX('계좌현황'!A:A,INDEX($L$21:$L$97,MATCH(LARGE($N$21:$N$97,39),$N$21:$N$97,0))),"")</f>
        <v/>
      </c>
      <c r="C59" s="292">
        <f>IFERROR(INDEX('계좌현황'!C:C,INDEX($L$21:$L$97,MATCH(LARGE($N$21:$N$97,39),$N$21:$N$97,0))),"")</f>
        <v/>
      </c>
      <c r="D59" s="292">
        <f>IFERROR(INDEX('계좌현황'!D:D,INDEX($L$21:$L$97,MATCH(LARGE($N$21:$N$97,39),$N$21:$N$97,0))),"")</f>
        <v/>
      </c>
      <c r="E59" s="292">
        <f>IFERROR(INDEX('계좌현황'!E:E,INDEX($L$21:$L$97,MATCH(LARGE($N$21:$N$97,39),$N$21:$N$97,0))),"")</f>
        <v/>
      </c>
      <c r="F59" s="319">
        <f>IFERROR(INDEX('계좌현황'!F:F,INDEX($L$21:$L$97,MATCH(LARGE($N$21:$N$97,39),$N$21:$N$97,0))),"")</f>
        <v/>
      </c>
      <c r="G59" s="320">
        <f>IFERROR(INDEX('계좌현황'!K:K,INDEX($L$21:$L$97,MATCH(LARGE($N$21:$N$97,39),$N$21:$N$97,0))),0)</f>
        <v/>
      </c>
      <c r="H59" s="321">
        <f>IF($B$3=0,0,G59/$B$3)</f>
        <v/>
      </c>
      <c r="I59" s="321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5" t="n">
        <v>40</v>
      </c>
      <c r="B60" s="295">
        <f>IFERROR(INDEX('계좌현황'!A:A,INDEX($L$21:$L$97,MATCH(LARGE($N$21:$N$97,40),$N$21:$N$97,0))),"")</f>
        <v/>
      </c>
      <c r="C60" s="295">
        <f>IFERROR(INDEX('계좌현황'!C:C,INDEX($L$21:$L$97,MATCH(LARGE($N$21:$N$97,40),$N$21:$N$97,0))),"")</f>
        <v/>
      </c>
      <c r="D60" s="295">
        <f>IFERROR(INDEX('계좌현황'!D:D,INDEX($L$21:$L$97,MATCH(LARGE($N$21:$N$97,40),$N$21:$N$97,0))),"")</f>
        <v/>
      </c>
      <c r="E60" s="295">
        <f>IFERROR(INDEX('계좌현황'!E:E,INDEX($L$21:$L$97,MATCH(LARGE($N$21:$N$97,40),$N$21:$N$97,0))),"")</f>
        <v/>
      </c>
      <c r="F60" s="322">
        <f>IFERROR(INDEX('계좌현황'!F:F,INDEX($L$21:$L$97,MATCH(LARGE($N$21:$N$97,40),$N$21:$N$97,0))),"")</f>
        <v/>
      </c>
      <c r="G60" s="323">
        <f>IFERROR(INDEX('계좌현황'!K:K,INDEX($L$21:$L$97,MATCH(LARGE($N$21:$N$97,40),$N$21:$N$97,0))),0)</f>
        <v/>
      </c>
      <c r="H60" s="324">
        <f>IF($B$3=0,0,G60/$B$3)</f>
        <v/>
      </c>
      <c r="I60" s="324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2" t="n">
        <v>44</v>
      </c>
      <c r="B64" s="292">
        <f>IFERROR(INDEX('계좌현황'!A:A,INDEX($L$21:$L$97,MATCH(LARGE($N$21:$N$97,44),$N$21:$N$97,0))),"")</f>
        <v/>
      </c>
      <c r="C64" s="292">
        <f>IFERROR(INDEX('계좌현황'!C:C,INDEX($L$21:$L$97,MATCH(LARGE($N$21:$N$97,44),$N$21:$N$97,0))),"")</f>
        <v/>
      </c>
      <c r="D64" s="292">
        <f>IFERROR(INDEX('계좌현황'!D:D,INDEX($L$21:$L$97,MATCH(LARGE($N$21:$N$97,44),$N$21:$N$97,0))),"")</f>
        <v/>
      </c>
      <c r="E64" s="292">
        <f>IFERROR(INDEX('계좌현황'!E:E,INDEX($L$21:$L$97,MATCH(LARGE($N$21:$N$97,44),$N$21:$N$97,0))),"")</f>
        <v/>
      </c>
      <c r="F64" s="319">
        <f>IFERROR(INDEX('계좌현황'!F:F,INDEX($L$21:$L$97,MATCH(LARGE($N$21:$N$97,44),$N$21:$N$97,0))),"")</f>
        <v/>
      </c>
      <c r="G64" s="320">
        <f>IFERROR(INDEX('계좌현황'!K:K,INDEX($L$21:$L$97,MATCH(LARGE($N$21:$N$97,44),$N$21:$N$97,0))),0)</f>
        <v/>
      </c>
      <c r="H64" s="321">
        <f>IF($B$3=0,0,G64/$B$3)</f>
        <v/>
      </c>
      <c r="I64" s="321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5" t="n">
        <v>45</v>
      </c>
      <c r="B65" s="295">
        <f>IFERROR(INDEX('계좌현황'!A:A,INDEX($L$21:$L$97,MATCH(LARGE($N$21:$N$97,45),$N$21:$N$97,0))),"")</f>
        <v/>
      </c>
      <c r="C65" s="295">
        <f>IFERROR(INDEX('계좌현황'!C:C,INDEX($L$21:$L$97,MATCH(LARGE($N$21:$N$97,45),$N$21:$N$97,0))),"")</f>
        <v/>
      </c>
      <c r="D65" s="295">
        <f>IFERROR(INDEX('계좌현황'!D:D,INDEX($L$21:$L$97,MATCH(LARGE($N$21:$N$97,45),$N$21:$N$97,0))),"")</f>
        <v/>
      </c>
      <c r="E65" s="295">
        <f>IFERROR(INDEX('계좌현황'!E:E,INDEX($L$21:$L$97,MATCH(LARGE($N$21:$N$97,45),$N$21:$N$97,0))),"")</f>
        <v/>
      </c>
      <c r="F65" s="322">
        <f>IFERROR(INDEX('계좌현황'!F:F,INDEX($L$21:$L$97,MATCH(LARGE($N$21:$N$97,45),$N$21:$N$97,0))),"")</f>
        <v/>
      </c>
      <c r="G65" s="323">
        <f>IFERROR(INDEX('계좌현황'!K:K,INDEX($L$21:$L$97,MATCH(LARGE($N$21:$N$97,45),$N$21:$N$97,0))),0)</f>
        <v/>
      </c>
      <c r="H65" s="324">
        <f>IF($B$3=0,0,G65/$B$3)</f>
        <v/>
      </c>
      <c r="I65" s="324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5" t="n">
        <v>51</v>
      </c>
      <c r="B71" s="295">
        <f>IFERROR(INDEX('계좌현황'!A:A,INDEX($L$21:$L$97,MATCH(LARGE($N$21:$N$97,51),$N$21:$N$97,0))),"")</f>
        <v/>
      </c>
      <c r="C71" s="295">
        <f>IFERROR(INDEX('계좌현황'!C:C,INDEX($L$21:$L$97,MATCH(LARGE($N$21:$N$97,51),$N$21:$N$97,0))),"")</f>
        <v/>
      </c>
      <c r="D71" s="295">
        <f>IFERROR(INDEX('계좌현황'!D:D,INDEX($L$21:$L$97,MATCH(LARGE($N$21:$N$97,51),$N$21:$N$97,0))),"")</f>
        <v/>
      </c>
      <c r="E71" s="295">
        <f>IFERROR(INDEX('계좌현황'!E:E,INDEX($L$21:$L$97,MATCH(LARGE($N$21:$N$97,51),$N$21:$N$97,0))),"")</f>
        <v/>
      </c>
      <c r="F71" s="322">
        <f>IFERROR(INDEX('계좌현황'!F:F,INDEX($L$21:$L$97,MATCH(LARGE($N$21:$N$97,51),$N$21:$N$97,0))),"")</f>
        <v/>
      </c>
      <c r="G71" s="323">
        <f>IFERROR(INDEX('계좌현황'!K:K,INDEX($L$21:$L$97,MATCH(LARGE($N$21:$N$97,51),$N$21:$N$97,0))),0)</f>
        <v/>
      </c>
      <c r="H71" s="324">
        <f>IF($B$3=0,0,G71/$B$3)</f>
        <v/>
      </c>
      <c r="I71" s="324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2" t="n">
        <v>53</v>
      </c>
      <c r="B73" s="292">
        <f>IFERROR(INDEX('계좌현황'!A:A,INDEX($L$21:$L$97,MATCH(LARGE($N$21:$N$97,53),$N$21:$N$97,0))),"")</f>
        <v/>
      </c>
      <c r="C73" s="292">
        <f>IFERROR(INDEX('계좌현황'!C:C,INDEX($L$21:$L$97,MATCH(LARGE($N$21:$N$97,53),$N$21:$N$97,0))),"")</f>
        <v/>
      </c>
      <c r="D73" s="292">
        <f>IFERROR(INDEX('계좌현황'!D:D,INDEX($L$21:$L$97,MATCH(LARGE($N$21:$N$97,53),$N$21:$N$97,0))),"")</f>
        <v/>
      </c>
      <c r="E73" s="292">
        <f>IFERROR(INDEX('계좌현황'!E:E,INDEX($L$21:$L$97,MATCH(LARGE($N$21:$N$97,53),$N$21:$N$97,0))),"")</f>
        <v/>
      </c>
      <c r="F73" s="319">
        <f>IFERROR(INDEX('계좌현황'!F:F,INDEX($L$21:$L$97,MATCH(LARGE($N$21:$N$97,53),$N$21:$N$97,0))),"")</f>
        <v/>
      </c>
      <c r="G73" s="320">
        <f>IFERROR(INDEX('계좌현황'!K:K,INDEX($L$21:$L$97,MATCH(LARGE($N$21:$N$97,53),$N$21:$N$97,0))),0)</f>
        <v/>
      </c>
      <c r="H73" s="321">
        <f>IF($B$3=0,0,G73/$B$3)</f>
        <v/>
      </c>
      <c r="I73" s="321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5" t="n">
        <v>63</v>
      </c>
      <c r="B83" s="295">
        <f>IFERROR(INDEX('계좌현황'!A:A,INDEX($L$21:$L$97,MATCH(LARGE($N$21:$N$97,63),$N$21:$N$97,0))),"")</f>
        <v/>
      </c>
      <c r="C83" s="295">
        <f>IFERROR(INDEX('계좌현황'!C:C,INDEX($L$21:$L$97,MATCH(LARGE($N$21:$N$97,63),$N$21:$N$97,0))),"")</f>
        <v/>
      </c>
      <c r="D83" s="295">
        <f>IFERROR(INDEX('계좌현황'!D:D,INDEX($L$21:$L$97,MATCH(LARGE($N$21:$N$97,63),$N$21:$N$97,0))),"")</f>
        <v/>
      </c>
      <c r="E83" s="295">
        <f>IFERROR(INDEX('계좌현황'!E:E,INDEX($L$21:$L$97,MATCH(LARGE($N$21:$N$97,63),$N$21:$N$97,0))),"")</f>
        <v/>
      </c>
      <c r="F83" s="322">
        <f>IFERROR(INDEX('계좌현황'!F:F,INDEX($L$21:$L$97,MATCH(LARGE($N$21:$N$97,63),$N$21:$N$97,0))),"")</f>
        <v/>
      </c>
      <c r="G83" s="323">
        <f>IFERROR(INDEX('계좌현황'!K:K,INDEX($L$21:$L$97,MATCH(LARGE($N$21:$N$97,63),$N$21:$N$97,0))),0)</f>
        <v/>
      </c>
      <c r="H83" s="324">
        <f>IF($B$3=0,0,G83/$B$3)</f>
        <v/>
      </c>
      <c r="I83" s="324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7" t="n">
        <v>64</v>
      </c>
      <c r="B84" s="307">
        <f>IFERROR(INDEX('계좌현황'!A:A,INDEX($L$21:$L$97,MATCH(LARGE($N$21:$N$97,64),$N$21:$N$97,0))),"")</f>
        <v/>
      </c>
      <c r="C84" s="307">
        <f>IFERROR(INDEX('계좌현황'!C:C,INDEX($L$21:$L$97,MATCH(LARGE($N$21:$N$97,64),$N$21:$N$97,0))),"")</f>
        <v/>
      </c>
      <c r="D84" s="307">
        <f>IFERROR(INDEX('계좌현황'!D:D,INDEX($L$21:$L$97,MATCH(LARGE($N$21:$N$97,64),$N$21:$N$97,0))),"")</f>
        <v/>
      </c>
      <c r="E84" s="307">
        <f>IFERROR(INDEX('계좌현황'!E:E,INDEX($L$21:$L$97,MATCH(LARGE($N$21:$N$97,64),$N$21:$N$97,0))),"")</f>
        <v/>
      </c>
      <c r="F84" s="331">
        <f>IFERROR(INDEX('계좌현황'!F:F,INDEX($L$21:$L$97,MATCH(LARGE($N$21:$N$97,64),$N$21:$N$97,0))),"")</f>
        <v/>
      </c>
      <c r="G84" s="332">
        <f>IFERROR(INDEX('계좌현황'!K:K,INDEX($L$21:$L$97,MATCH(LARGE($N$21:$N$97,64),$N$21:$N$97,0))),0)</f>
        <v/>
      </c>
      <c r="H84" s="333">
        <f>IF($B$3=0,0,G84/$B$3)</f>
        <v/>
      </c>
      <c r="I84" s="333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5" t="n">
        <v>66</v>
      </c>
      <c r="B86" s="295">
        <f>IFERROR(INDEX('계좌현황'!A:A,INDEX($L$21:$L$97,MATCH(LARGE($N$21:$N$97,66),$N$21:$N$97,0))),"")</f>
        <v/>
      </c>
      <c r="C86" s="295">
        <f>IFERROR(INDEX('계좌현황'!C:C,INDEX($L$21:$L$97,MATCH(LARGE($N$21:$N$97,66),$N$21:$N$97,0))),"")</f>
        <v/>
      </c>
      <c r="D86" s="295">
        <f>IFERROR(INDEX('계좌현황'!D:D,INDEX($L$21:$L$97,MATCH(LARGE($N$21:$N$97,66),$N$21:$N$97,0))),"")</f>
        <v/>
      </c>
      <c r="E86" s="295">
        <f>IFERROR(INDEX('계좌현황'!E:E,INDEX($L$21:$L$97,MATCH(LARGE($N$21:$N$97,66),$N$21:$N$97,0))),"")</f>
        <v/>
      </c>
      <c r="F86" s="322">
        <f>IFERROR(INDEX('계좌현황'!F:F,INDEX($L$21:$L$97,MATCH(LARGE($N$21:$N$97,66),$N$21:$N$97,0))),"")</f>
        <v/>
      </c>
      <c r="G86" s="323">
        <f>IFERROR(INDEX('계좌현황'!K:K,INDEX($L$21:$L$97,MATCH(LARGE($N$21:$N$97,66),$N$21:$N$97,0))),0)</f>
        <v/>
      </c>
      <c r="H86" s="324">
        <f>IF($B$3=0,0,G86/$B$3)</f>
        <v/>
      </c>
      <c r="I86" s="324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307" t="n">
        <v>68</v>
      </c>
      <c r="B88" s="307">
        <f>IFERROR(INDEX('계좌현황'!A:A,INDEX($L$21:$L$97,MATCH(LARGE($N$21:$N$97,68),$N$21:$N$97,0))),"")</f>
        <v/>
      </c>
      <c r="C88" s="307">
        <f>IFERROR(INDEX('계좌현황'!C:C,INDEX($L$21:$L$97,MATCH(LARGE($N$21:$N$97,68),$N$21:$N$97,0))),"")</f>
        <v/>
      </c>
      <c r="D88" s="307">
        <f>IFERROR(INDEX('계좌현황'!D:D,INDEX($L$21:$L$97,MATCH(LARGE($N$21:$N$97,68),$N$21:$N$97,0))),"")</f>
        <v/>
      </c>
      <c r="E88" s="307">
        <f>IFERROR(INDEX('계좌현황'!E:E,INDEX($L$21:$L$97,MATCH(LARGE($N$21:$N$97,68),$N$21:$N$97,0))),"")</f>
        <v/>
      </c>
      <c r="F88" s="331">
        <f>IFERROR(INDEX('계좌현황'!F:F,INDEX($L$21:$L$97,MATCH(LARGE($N$21:$N$97,68),$N$21:$N$97,0))),"")</f>
        <v/>
      </c>
      <c r="G88" s="332">
        <f>IFERROR(INDEX('계좌현황'!K:K,INDEX($L$21:$L$97,MATCH(LARGE($N$21:$N$97,68),$N$21:$N$97,0))),0)</f>
        <v/>
      </c>
      <c r="H88" s="333">
        <f>IF($B$3=0,0,G88/$B$3)</f>
        <v/>
      </c>
      <c r="I88" s="333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5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1,353원/$  | 연간 합계 52,377,755원 · 월평균 4,364,813원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4095095.43</v>
      </c>
      <c r="C7" s="284" t="n">
        <v>0</v>
      </c>
      <c r="D7" s="284" t="n">
        <v>4095095.43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4217243.8</v>
      </c>
      <c r="C8" s="284" t="n">
        <v>0</v>
      </c>
      <c r="D8" s="284" t="n">
        <v>4217243.8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4598132.796</v>
      </c>
      <c r="C9" s="287" t="n">
        <v>35408</v>
      </c>
      <c r="D9" s="287" t="n">
        <v>4633540.796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4210479.489</v>
      </c>
      <c r="C10" s="287" t="n">
        <v>5104</v>
      </c>
      <c r="D10" s="287" t="n">
        <v>4215583.489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4290491.279000001</v>
      </c>
      <c r="C11" s="284" t="n">
        <v>0</v>
      </c>
      <c r="D11" s="284" t="n">
        <v>4290491.279000001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4331235.94</v>
      </c>
      <c r="C12" s="287" t="n">
        <v>35492</v>
      </c>
      <c r="D12" s="287" t="n">
        <v>4366727.94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4348475.139</v>
      </c>
      <c r="C13" s="284" t="n">
        <v>0</v>
      </c>
      <c r="D13" s="284" t="n">
        <v>4348475.139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4213218.084000001</v>
      </c>
      <c r="C14" s="284" t="n">
        <v>0</v>
      </c>
      <c r="D14" s="284" t="n">
        <v>4213218.084000001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1419386.071</v>
      </c>
      <c r="C15" s="287" t="n">
        <v>2878620.174</v>
      </c>
      <c r="D15" s="287" t="n">
        <v>4298006.245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4090213.012</v>
      </c>
      <c r="D16" s="293" t="n">
        <v>4090213.012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4374826.288</v>
      </c>
      <c r="D17" s="293" t="n">
        <v>4374826.288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5234333.986</v>
      </c>
      <c r="D18" s="293" t="n">
        <v>5234333.986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0.1051</v>
      </c>
      <c r="F24" s="308" t="n">
        <v>161513560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0.1022</v>
      </c>
      <c r="F25" s="308" t="n">
        <v>69272000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0.1595</v>
      </c>
      <c r="F26" s="308" t="n">
        <v>28048600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0.1501</v>
      </c>
      <c r="F27" s="308" t="n">
        <v>26545050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0.1246</v>
      </c>
      <c r="F28" s="308" t="n">
        <v>28335000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0.1347</v>
      </c>
      <c r="F29" s="308" t="n">
        <v>22429800</v>
      </c>
    </row>
    <row r="30">
      <c r="A30" s="307" t="inlineStr">
        <is>
          <t>498400</t>
        </is>
      </c>
      <c r="B30" s="307" t="inlineStr">
        <is>
          <t>KODEX 200타켓위클리커버드콜</t>
        </is>
      </c>
      <c r="C30" s="307" t="inlineStr">
        <is>
          <t>월배당</t>
        </is>
      </c>
      <c r="D30" s="308" t="n">
        <v>1909986</v>
      </c>
      <c r="E30" s="333" t="n">
        <v>0.1483</v>
      </c>
      <c r="F30" s="308" t="n">
        <v>12882935</v>
      </c>
    </row>
    <row r="31">
      <c r="A31" s="307" t="inlineStr">
        <is>
          <t>329200</t>
        </is>
      </c>
      <c r="B31" s="307" t="inlineStr">
        <is>
          <t>TIGER리츠부동산인프라</t>
        </is>
      </c>
      <c r="C31" s="307" t="inlineStr">
        <is>
          <t>월배당</t>
        </is>
      </c>
      <c r="D31" s="308" t="n">
        <v>1897500</v>
      </c>
      <c r="E31" s="333" t="n">
        <v>0.09269999999999999</v>
      </c>
      <c r="F31" s="308" t="n">
        <v>20475000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0.07240000000000001</v>
      </c>
      <c r="F32" s="308" t="n">
        <v>21230000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1260930</v>
      </c>
      <c r="E33" s="333" t="n">
        <v>0.031</v>
      </c>
      <c r="F33" s="308" t="n">
        <v>40731860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0.1101</v>
      </c>
      <c r="F34" s="308" t="n">
        <v>10952320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0.1327</v>
      </c>
      <c r="F35" s="308" t="n">
        <v>7449600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0.0207</v>
      </c>
      <c r="F36" s="308" t="n">
        <v>27751680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0.0309</v>
      </c>
      <c r="F37" s="308" t="n">
        <v>17536050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0.1056</v>
      </c>
      <c r="F38" s="308" t="n">
        <v>4896000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1353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19361.43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3166.02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1393.59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1677.72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2408.34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2462.46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19361.43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5520.24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5547.299999999999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1293.468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2462.46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8345.304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25876.125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19433.139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1353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12109.35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19433.139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3287.79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1677.72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1393.59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2408.34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2462.46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19433.139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5520.24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5547.299999999999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1353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1292.115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12109.35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11554.62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8215.415999999999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19433.139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1353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19433.139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3287.79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1677.72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11750.805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1393.59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2408.34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2462.46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5520.24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19433.139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5547.299999999999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19074.594</v>
      </c>
      <c r="H258" s="292" t="inlineStr">
        <is>
          <t>예측</t>
        </is>
      </c>
    </row>
    <row r="259">
      <c r="A259" s="348" t="n">
        <v>46275</v>
      </c>
      <c r="B259" s="283" t="n">
        <v>9</v>
      </c>
      <c r="C259" s="283" t="inlineStr">
        <is>
          <t>NVDA</t>
        </is>
      </c>
      <c r="D259" s="283" t="inlineStr">
        <is>
          <t>엔비디아</t>
        </is>
      </c>
      <c r="E259" s="284" t="n"/>
      <c r="F259" s="345" t="n">
        <v>1</v>
      </c>
      <c r="G259" s="284" t="n">
        <v>1353</v>
      </c>
      <c r="H259" s="283" t="inlineStr">
        <is>
          <t>실적</t>
        </is>
      </c>
    </row>
    <row r="260">
      <c r="A260" s="348" t="n">
        <v>46279</v>
      </c>
      <c r="B260" s="283" t="n">
        <v>9</v>
      </c>
      <c r="C260" s="283" t="inlineStr">
        <is>
          <t>0008S0</t>
        </is>
      </c>
      <c r="D260" s="283" t="inlineStr">
        <is>
          <t>TIGER 미국배당다우존스타겟데일리커버드콜</t>
        </is>
      </c>
      <c r="E260" s="284" t="n">
        <v>288000</v>
      </c>
      <c r="F260" s="345" t="n"/>
      <c r="G260" s="284" t="n">
        <v>288000</v>
      </c>
      <c r="H260" s="283" t="inlineStr">
        <is>
          <t>실적</t>
        </is>
      </c>
    </row>
    <row r="261">
      <c r="A261" s="348" t="n">
        <v>46279</v>
      </c>
      <c r="B261" s="283" t="n">
        <v>9</v>
      </c>
      <c r="C261" s="283" t="inlineStr">
        <is>
          <t>474220</t>
        </is>
      </c>
      <c r="D261" s="283" t="inlineStr">
        <is>
          <t>TIGER미국테크TOP10커버드콜</t>
        </is>
      </c>
      <c r="E261" s="284" t="n">
        <v>557810</v>
      </c>
      <c r="F261" s="345" t="n"/>
      <c r="G261" s="284" t="n">
        <v>557810</v>
      </c>
      <c r="H261" s="283" t="inlineStr">
        <is>
          <t>실적</t>
        </is>
      </c>
    </row>
    <row r="262">
      <c r="A262" s="348" t="n">
        <v>46279</v>
      </c>
      <c r="B262" s="283" t="n">
        <v>9</v>
      </c>
      <c r="C262" s="283" t="inlineStr">
        <is>
          <t>481060</t>
        </is>
      </c>
      <c r="D262" s="283" t="inlineStr">
        <is>
          <t>KODEX 미국30년국채타겟커버드콜(H)</t>
        </is>
      </c>
      <c r="E262" s="284" t="n">
        <v>226440</v>
      </c>
      <c r="F262" s="345" t="n"/>
      <c r="G262" s="284" t="n">
        <v>226440</v>
      </c>
      <c r="H262" s="283" t="inlineStr">
        <is>
          <t>실적</t>
        </is>
      </c>
    </row>
    <row r="263">
      <c r="A263" s="348" t="n">
        <v>46279</v>
      </c>
      <c r="B263" s="283" t="n">
        <v>9</v>
      </c>
      <c r="C263" s="283" t="inlineStr">
        <is>
          <t>482730</t>
        </is>
      </c>
      <c r="D263" s="283" t="inlineStr">
        <is>
          <t>미국S&amp;P500타겟데일리커버드콜</t>
        </is>
      </c>
      <c r="E263" s="284" t="n">
        <v>48450</v>
      </c>
      <c r="F263" s="345" t="n"/>
      <c r="G263" s="284" t="n">
        <v>48450</v>
      </c>
      <c r="H263" s="283" t="inlineStr">
        <is>
          <t>실적</t>
        </is>
      </c>
    </row>
    <row r="264">
      <c r="A264" s="348" t="n">
        <v>46279</v>
      </c>
      <c r="B264" s="283" t="n">
        <v>9</v>
      </c>
      <c r="C264" s="283" t="inlineStr">
        <is>
          <t>490490</t>
        </is>
      </c>
      <c r="D264" s="283" t="inlineStr">
        <is>
          <t>SOL미국배당미국채혼합50</t>
        </is>
      </c>
      <c r="E264" s="284" t="n">
        <v>106988</v>
      </c>
      <c r="F264" s="345" t="n"/>
      <c r="G264" s="284" t="n">
        <v>106988</v>
      </c>
      <c r="H264" s="283" t="inlineStr">
        <is>
          <t>실적</t>
        </is>
      </c>
    </row>
    <row r="265">
      <c r="A265" s="348" t="n">
        <v>46279</v>
      </c>
      <c r="B265" s="283" t="n">
        <v>9</v>
      </c>
      <c r="C265" s="283" t="inlineStr">
        <is>
          <t>498400</t>
        </is>
      </c>
      <c r="D265" s="283" t="inlineStr">
        <is>
          <t>KODEX 200타켓위클리커버드콜</t>
        </is>
      </c>
      <c r="E265" s="284" t="n">
        <v>183300</v>
      </c>
      <c r="F265" s="345" t="n"/>
      <c r="G265" s="284" t="n">
        <v>183300</v>
      </c>
      <c r="H265" s="283" t="inlineStr">
        <is>
          <t>실적</t>
        </is>
      </c>
    </row>
    <row r="266">
      <c r="A266" s="348" t="n">
        <v>46281</v>
      </c>
      <c r="B266" s="283" t="n">
        <v>9</v>
      </c>
      <c r="C266" s="283" t="inlineStr">
        <is>
          <t>TSM</t>
        </is>
      </c>
      <c r="D266" s="283" t="inlineStr">
        <is>
          <t>TSMC</t>
        </is>
      </c>
      <c r="E266" s="284" t="n"/>
      <c r="F266" s="345" t="n">
        <v>1.107</v>
      </c>
      <c r="G266" s="284" t="n">
        <v>1497.771</v>
      </c>
      <c r="H266" s="283" t="inlineStr">
        <is>
          <t>실적</t>
        </is>
      </c>
    </row>
    <row r="267">
      <c r="A267" s="349" t="n">
        <v>46289</v>
      </c>
      <c r="B267" s="292" t="n">
        <v>9</v>
      </c>
      <c r="C267" s="292" t="inlineStr">
        <is>
          <t>QLD</t>
        </is>
      </c>
      <c r="D267" s="292" t="inlineStr">
        <is>
          <t>QLD</t>
        </is>
      </c>
      <c r="E267" s="293" t="n"/>
      <c r="F267" s="347" t="n">
        <v>3.22</v>
      </c>
      <c r="G267" s="293" t="n">
        <v>4356.66</v>
      </c>
      <c r="H267" s="292" t="inlineStr">
        <is>
          <t>예측</t>
        </is>
      </c>
    </row>
    <row r="268">
      <c r="A268" s="349" t="n">
        <v>46289</v>
      </c>
      <c r="B268" s="292" t="n">
        <v>9</v>
      </c>
      <c r="C268" s="292" t="inlineStr">
        <is>
          <t>SCHD</t>
        </is>
      </c>
      <c r="D268" s="292" t="inlineStr">
        <is>
          <t>SCHD</t>
        </is>
      </c>
      <c r="E268" s="293" t="n"/>
      <c r="F268" s="347" t="n">
        <v>6.14</v>
      </c>
      <c r="G268" s="293" t="n">
        <v>8307.42</v>
      </c>
      <c r="H268" s="292" t="inlineStr">
        <is>
          <t>예측</t>
        </is>
      </c>
    </row>
    <row r="269">
      <c r="A269" s="349" t="n">
        <v>46292</v>
      </c>
      <c r="B269" s="292" t="n">
        <v>9</v>
      </c>
      <c r="C269" s="292" t="inlineStr">
        <is>
          <t>005389</t>
        </is>
      </c>
      <c r="D269" s="292" t="inlineStr">
        <is>
          <t>현대차3우B</t>
        </is>
      </c>
      <c r="E269" s="293" t="n">
        <v>26000</v>
      </c>
      <c r="F269" s="347" t="n"/>
      <c r="G269" s="293" t="n">
        <v>26000</v>
      </c>
      <c r="H269" s="292" t="inlineStr">
        <is>
          <t>예측</t>
        </is>
      </c>
    </row>
    <row r="270">
      <c r="A270" s="349" t="n">
        <v>46292</v>
      </c>
      <c r="B270" s="292" t="n">
        <v>9</v>
      </c>
      <c r="C270" s="292" t="n">
        <v>105560</v>
      </c>
      <c r="D270" s="292" t="inlineStr">
        <is>
          <t>KB금융</t>
        </is>
      </c>
      <c r="E270" s="293" t="n">
        <v>9540</v>
      </c>
      <c r="F270" s="347" t="n"/>
      <c r="G270" s="293" t="n">
        <v>9540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005930</t>
        </is>
      </c>
      <c r="D271" s="292" t="inlineStr">
        <is>
          <t>삼성전자</t>
        </is>
      </c>
      <c r="E271" s="293" t="n">
        <v>36184</v>
      </c>
      <c r="F271" s="347" t="n"/>
      <c r="G271" s="293" t="n">
        <v>36184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329200</t>
        </is>
      </c>
      <c r="D272" s="292" t="inlineStr">
        <is>
          <t>TIGER리츠부동산인프라</t>
        </is>
      </c>
      <c r="E272" s="293" t="n">
        <v>195000</v>
      </c>
      <c r="F272" s="347" t="n"/>
      <c r="G272" s="293" t="n">
        <v>195000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433330</t>
        </is>
      </c>
      <c r="D273" s="292" t="inlineStr">
        <is>
          <t>SOL 미국 S&amp;P500</t>
        </is>
      </c>
      <c r="E273" s="293" t="n">
        <v>21018</v>
      </c>
      <c r="F273" s="347" t="n"/>
      <c r="G273" s="293" t="n">
        <v>21018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446720</t>
        </is>
      </c>
      <c r="D274" s="292" t="inlineStr">
        <is>
          <t>SOL 미국배당다우존스</t>
        </is>
      </c>
      <c r="E274" s="293" t="n">
        <v>43225</v>
      </c>
      <c r="F274" s="347" t="n"/>
      <c r="G274" s="293" t="n">
        <v>43225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458760</t>
        </is>
      </c>
      <c r="D275" s="292" t="inlineStr">
        <is>
          <t>TIGER 미배당다우커버드콜2호</t>
        </is>
      </c>
      <c r="E275" s="293" t="n">
        <v>1366417</v>
      </c>
      <c r="F275" s="347" t="n"/>
      <c r="G275" s="293" t="n">
        <v>1366417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468380</t>
        </is>
      </c>
      <c r="D276" s="292" t="inlineStr">
        <is>
          <t>KODEX iShares미국하이일드액티브</t>
        </is>
      </c>
      <c r="E276" s="293" t="n">
        <v>119000</v>
      </c>
      <c r="F276" s="347" t="n"/>
      <c r="G276" s="293" t="n">
        <v>119000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473330</t>
        </is>
      </c>
      <c r="D277" s="292" t="inlineStr">
        <is>
          <t>SOL 미국 30년국채커버드콜(합성)</t>
        </is>
      </c>
      <c r="E277" s="293" t="n">
        <v>89280</v>
      </c>
      <c r="F277" s="347" t="n"/>
      <c r="G277" s="293" t="n">
        <v>89280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475380</t>
        </is>
      </c>
      <c r="D278" s="292" t="inlineStr">
        <is>
          <t>RISE 글로벌리얼티인컴</t>
        </is>
      </c>
      <c r="E278" s="293" t="n">
        <v>3737</v>
      </c>
      <c r="F278" s="347" t="n"/>
      <c r="G278" s="293" t="n">
        <v>3737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476550</t>
        </is>
      </c>
      <c r="D279" s="292" t="inlineStr">
        <is>
          <t>TIGER 미국30년국채커버드콜액티브(H)</t>
        </is>
      </c>
      <c r="E279" s="293" t="n">
        <v>38790</v>
      </c>
      <c r="F279" s="347" t="n"/>
      <c r="G279" s="293" t="n">
        <v>38790</v>
      </c>
      <c r="H279" s="292" t="inlineStr">
        <is>
          <t>예측</t>
        </is>
      </c>
    </row>
    <row r="280">
      <c r="A280" s="349" t="n">
        <v>46293</v>
      </c>
      <c r="B280" s="292" t="n">
        <v>9</v>
      </c>
      <c r="C280" s="292" t="inlineStr">
        <is>
          <t>476690</t>
        </is>
      </c>
      <c r="D280" s="292" t="inlineStr">
        <is>
          <t>TIGER 글로벌비만치료제 TOP2 Plus</t>
        </is>
      </c>
      <c r="E280" s="293" t="n">
        <v>1250</v>
      </c>
      <c r="F280" s="347" t="n"/>
      <c r="G280" s="293" t="n">
        <v>1250</v>
      </c>
      <c r="H280" s="292" t="inlineStr">
        <is>
          <t>예측</t>
        </is>
      </c>
    </row>
    <row r="281">
      <c r="A281" s="349" t="n">
        <v>46293</v>
      </c>
      <c r="B281" s="292" t="n">
        <v>9</v>
      </c>
      <c r="C281" s="292" t="inlineStr">
        <is>
          <t>483280</t>
        </is>
      </c>
      <c r="D281" s="292" t="inlineStr">
        <is>
          <t>KODEX 미국AI테크TOP10타겟커버드콜</t>
        </is>
      </c>
      <c r="E281" s="293" t="n">
        <v>309414</v>
      </c>
      <c r="F281" s="347" t="n"/>
      <c r="G281" s="293" t="n">
        <v>309414</v>
      </c>
      <c r="H281" s="292" t="inlineStr">
        <is>
          <t>예측</t>
        </is>
      </c>
    </row>
    <row r="282">
      <c r="A282" s="349" t="n">
        <v>46294</v>
      </c>
      <c r="B282" s="292" t="n">
        <v>9</v>
      </c>
      <c r="C282" s="292" t="inlineStr">
        <is>
          <t>498410</t>
        </is>
      </c>
      <c r="D282" s="292" t="inlineStr">
        <is>
          <t>KODEX금융고배당TOP10타겟위클리커버드콜</t>
        </is>
      </c>
      <c r="E282" s="293" t="n">
        <v>375566</v>
      </c>
      <c r="F282" s="347" t="n"/>
      <c r="G282" s="293" t="n">
        <v>375566</v>
      </c>
      <c r="H282" s="292" t="inlineStr">
        <is>
          <t>예측</t>
        </is>
      </c>
    </row>
    <row r="283">
      <c r="A283" s="349" t="n">
        <v>46295</v>
      </c>
      <c r="B283" s="292" t="n">
        <v>9</v>
      </c>
      <c r="C283" s="292" t="inlineStr">
        <is>
          <t>0219E0</t>
        </is>
      </c>
      <c r="D283" s="292" t="inlineStr">
        <is>
          <t>KODEX 200커버드콜액티브</t>
        </is>
      </c>
      <c r="E283" s="293" t="n">
        <v>200960</v>
      </c>
      <c r="F283" s="347" t="n"/>
      <c r="G283" s="293" t="n">
        <v>200960</v>
      </c>
      <c r="H283" s="292" t="inlineStr">
        <is>
          <t>예측</t>
        </is>
      </c>
    </row>
    <row r="284">
      <c r="A284" s="349" t="n">
        <v>46295</v>
      </c>
      <c r="B284" s="292" t="n">
        <v>9</v>
      </c>
      <c r="C284" s="292" t="inlineStr">
        <is>
          <t>AMT</t>
        </is>
      </c>
      <c r="D284" s="292" t="inlineStr">
        <is>
          <t>아메리칸타워</t>
        </is>
      </c>
      <c r="E284" s="293" t="n"/>
      <c r="F284" s="347" t="n">
        <v>8.5</v>
      </c>
      <c r="G284" s="293" t="n">
        <v>11500.5</v>
      </c>
      <c r="H284" s="292" t="inlineStr">
        <is>
          <t>예측</t>
        </is>
      </c>
    </row>
    <row r="285">
      <c r="A285" s="349" t="n">
        <v>46304</v>
      </c>
      <c r="B285" s="292" t="n">
        <v>10</v>
      </c>
      <c r="C285" s="292" t="inlineStr">
        <is>
          <t>AMT</t>
        </is>
      </c>
      <c r="D285" s="292" t="inlineStr">
        <is>
          <t>아메리칸타워</t>
        </is>
      </c>
      <c r="E285" s="293" t="n"/>
      <c r="F285" s="347" t="n">
        <v>8.1</v>
      </c>
      <c r="G285" s="293" t="n">
        <v>10959.3</v>
      </c>
      <c r="H285" s="292" t="inlineStr">
        <is>
          <t>예측</t>
        </is>
      </c>
    </row>
    <row r="286">
      <c r="A286" s="349" t="n">
        <v>46305</v>
      </c>
      <c r="B286" s="292" t="n">
        <v>10</v>
      </c>
      <c r="C286" s="292" t="inlineStr">
        <is>
          <t>ORCL</t>
        </is>
      </c>
      <c r="D286" s="292" t="inlineStr">
        <is>
          <t>오라클</t>
        </is>
      </c>
      <c r="E286" s="293" t="n"/>
      <c r="F286" s="347" t="n">
        <v>0.9</v>
      </c>
      <c r="G286" s="293" t="n">
        <v>1217.7</v>
      </c>
      <c r="H286" s="292" t="inlineStr">
        <is>
          <t>예측</t>
        </is>
      </c>
    </row>
    <row r="287">
      <c r="A287" s="349" t="n">
        <v>46306</v>
      </c>
      <c r="B287" s="292" t="n">
        <v>10</v>
      </c>
      <c r="C287" s="292" t="inlineStr">
        <is>
          <t>O</t>
        </is>
      </c>
      <c r="D287" s="292" t="inlineStr">
        <is>
          <t>리얼티인컴</t>
        </is>
      </c>
      <c r="E287" s="293" t="n"/>
      <c r="F287" s="347" t="n">
        <v>14.204</v>
      </c>
      <c r="G287" s="293" t="n">
        <v>19218.012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0008S0</t>
        </is>
      </c>
      <c r="D288" s="292" t="inlineStr">
        <is>
          <t>TIGER 미국배당다우존스타겟데일리커버드콜</t>
        </is>
      </c>
      <c r="E288" s="293" t="n">
        <v>261000</v>
      </c>
      <c r="F288" s="347" t="n"/>
      <c r="G288" s="293" t="n">
        <v>261000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474220</t>
        </is>
      </c>
      <c r="D289" s="292" t="inlineStr">
        <is>
          <t>TIGER미국테크TOP10커버드콜</t>
        </is>
      </c>
      <c r="E289" s="293" t="n">
        <v>527845</v>
      </c>
      <c r="F289" s="347" t="n"/>
      <c r="G289" s="293" t="n">
        <v>527845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481060</t>
        </is>
      </c>
      <c r="D290" s="292" t="inlineStr">
        <is>
          <t>KODEX 미국30년국채타겟커버드콜(H)</t>
        </is>
      </c>
      <c r="E290" s="293" t="n">
        <v>287640</v>
      </c>
      <c r="F290" s="347" t="n"/>
      <c r="G290" s="293" t="n">
        <v>287640</v>
      </c>
      <c r="H290" s="292" t="inlineStr">
        <is>
          <t>예측</t>
        </is>
      </c>
    </row>
    <row r="291">
      <c r="A291" s="349" t="n">
        <v>46309</v>
      </c>
      <c r="B291" s="292" t="n">
        <v>10</v>
      </c>
      <c r="C291" s="292" t="inlineStr">
        <is>
          <t>490490</t>
        </is>
      </c>
      <c r="D291" s="292" t="inlineStr">
        <is>
          <t>SOL미국배당미국채혼합50</t>
        </is>
      </c>
      <c r="E291" s="293" t="n">
        <v>80241</v>
      </c>
      <c r="F291" s="347" t="n"/>
      <c r="G291" s="293" t="n">
        <v>80241</v>
      </c>
      <c r="H291" s="292" t="inlineStr">
        <is>
          <t>예측</t>
        </is>
      </c>
    </row>
    <row r="292">
      <c r="A292" s="349" t="n">
        <v>46309</v>
      </c>
      <c r="B292" s="292" t="n">
        <v>10</v>
      </c>
      <c r="C292" s="292" t="inlineStr">
        <is>
          <t>498400</t>
        </is>
      </c>
      <c r="D292" s="292" t="inlineStr">
        <is>
          <t>KODEX 200타켓위클리커버드콜</t>
        </is>
      </c>
      <c r="E292" s="293" t="n">
        <v>105092</v>
      </c>
      <c r="F292" s="347" t="n"/>
      <c r="G292" s="293" t="n">
        <v>105092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133690</t>
        </is>
      </c>
      <c r="D293" s="292" t="inlineStr">
        <is>
          <t>TIGER 미국나스닥100</t>
        </is>
      </c>
      <c r="E293" s="293" t="n">
        <v>11457</v>
      </c>
      <c r="F293" s="347" t="n"/>
      <c r="G293" s="293" t="n">
        <v>11457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329200</t>
        </is>
      </c>
      <c r="D294" s="292" t="inlineStr">
        <is>
          <t>TIGER리츠부동산인프라</t>
        </is>
      </c>
      <c r="E294" s="293" t="n">
        <v>155000</v>
      </c>
      <c r="F294" s="347" t="n"/>
      <c r="G294" s="293" t="n">
        <v>155000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360750</t>
        </is>
      </c>
      <c r="D295" s="292" t="inlineStr">
        <is>
          <t>TIGER미국S&amp;P500</t>
        </is>
      </c>
      <c r="E295" s="293" t="n">
        <v>13688</v>
      </c>
      <c r="F295" s="347" t="n"/>
      <c r="G295" s="293" t="n">
        <v>13688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367380</t>
        </is>
      </c>
      <c r="D296" s="292" t="inlineStr">
        <is>
          <t>ACE 미국나스닥100</t>
        </is>
      </c>
      <c r="E296" s="293" t="n">
        <v>12337</v>
      </c>
      <c r="F296" s="347" t="n"/>
      <c r="G296" s="293" t="n">
        <v>12337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379810</t>
        </is>
      </c>
      <c r="D297" s="292" t="inlineStr">
        <is>
          <t>KODEX 미국나스닥100</t>
        </is>
      </c>
      <c r="E297" s="293" t="n">
        <v>28350</v>
      </c>
      <c r="F297" s="347" t="n"/>
      <c r="G297" s="293" t="n">
        <v>28350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433330</t>
        </is>
      </c>
      <c r="D298" s="292" t="inlineStr">
        <is>
          <t>SOL 미국 S&amp;P500</t>
        </is>
      </c>
      <c r="E298" s="293" t="n">
        <v>14916</v>
      </c>
      <c r="F298" s="347" t="n"/>
      <c r="G298" s="293" t="n">
        <v>14916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446720</t>
        </is>
      </c>
      <c r="D299" s="292" t="inlineStr">
        <is>
          <t>SOL 미국배당다우존스</t>
        </is>
      </c>
      <c r="E299" s="293" t="n">
        <v>43890</v>
      </c>
      <c r="F299" s="347" t="n"/>
      <c r="G299" s="293" t="n">
        <v>43890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458760</t>
        </is>
      </c>
      <c r="D300" s="292" t="inlineStr">
        <is>
          <t>TIGER 미배당다우커버드콜2호</t>
        </is>
      </c>
      <c r="E300" s="293" t="n">
        <v>1343388</v>
      </c>
      <c r="F300" s="347" t="n"/>
      <c r="G300" s="293" t="n">
        <v>1343388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468380</t>
        </is>
      </c>
      <c r="D301" s="292" t="inlineStr">
        <is>
          <t>KODEX iShares미국하이일드액티브</t>
        </is>
      </c>
      <c r="E301" s="293" t="n">
        <v>120000</v>
      </c>
      <c r="F301" s="347" t="n"/>
      <c r="G301" s="293" t="n">
        <v>120000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473330</t>
        </is>
      </c>
      <c r="D302" s="292" t="inlineStr">
        <is>
          <t>SOL 미국 30년국채커버드콜(합성)</t>
        </is>
      </c>
      <c r="E302" s="293" t="n">
        <v>78720</v>
      </c>
      <c r="F302" s="347" t="n"/>
      <c r="G302" s="293" t="n">
        <v>78720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475380</t>
        </is>
      </c>
      <c r="D303" s="292" t="inlineStr">
        <is>
          <t>RISE 글로벌리얼티인컴</t>
        </is>
      </c>
      <c r="E303" s="293" t="n">
        <v>3737</v>
      </c>
      <c r="F303" s="347" t="n"/>
      <c r="G303" s="293" t="n">
        <v>3737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476550</t>
        </is>
      </c>
      <c r="D304" s="292" t="inlineStr">
        <is>
          <t>TIGER 미국30년국채커버드콜액티브(H)</t>
        </is>
      </c>
      <c r="E304" s="293" t="n">
        <v>37928</v>
      </c>
      <c r="F304" s="347" t="n"/>
      <c r="G304" s="293" t="n">
        <v>37928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476690</t>
        </is>
      </c>
      <c r="D305" s="292" t="inlineStr">
        <is>
          <t>TIGER 글로벌비만치료제 TOP2 Plus</t>
        </is>
      </c>
      <c r="E305" s="293" t="n">
        <v>1200</v>
      </c>
      <c r="F305" s="347" t="n"/>
      <c r="G305" s="293" t="n">
        <v>1200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482730</t>
        </is>
      </c>
      <c r="D306" s="292" t="inlineStr">
        <is>
          <t>미국S&amp;P500타겟데일리커버드콜</t>
        </is>
      </c>
      <c r="E306" s="293" t="n">
        <v>40375</v>
      </c>
      <c r="F306" s="347" t="n"/>
      <c r="G306" s="293" t="n">
        <v>40375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483280</t>
        </is>
      </c>
      <c r="D307" s="292" t="inlineStr">
        <is>
          <t>KODEX 미국AI테크TOP10타겟커버드콜</t>
        </is>
      </c>
      <c r="E307" s="293" t="n">
        <v>324996</v>
      </c>
      <c r="F307" s="347" t="n"/>
      <c r="G307" s="293" t="n">
        <v>324996</v>
      </c>
      <c r="H307" s="292" t="inlineStr">
        <is>
          <t>예측</t>
        </is>
      </c>
    </row>
    <row r="308">
      <c r="A308" s="349" t="n">
        <v>46325</v>
      </c>
      <c r="B308" s="292" t="n">
        <v>10</v>
      </c>
      <c r="C308" s="292" t="inlineStr">
        <is>
          <t>498410</t>
        </is>
      </c>
      <c r="D308" s="292" t="inlineStr">
        <is>
          <t>KODEX금융고배당TOP10타겟위클리커버드콜</t>
        </is>
      </c>
      <c r="E308" s="293" t="n">
        <v>366058</v>
      </c>
      <c r="F308" s="347" t="n"/>
      <c r="G308" s="293" t="n">
        <v>366058</v>
      </c>
      <c r="H308" s="292" t="inlineStr">
        <is>
          <t>예측</t>
        </is>
      </c>
    </row>
    <row r="309">
      <c r="A309" s="349" t="n">
        <v>46326</v>
      </c>
      <c r="B309" s="292" t="n">
        <v>10</v>
      </c>
      <c r="C309" s="292" t="inlineStr">
        <is>
          <t>0219E0</t>
        </is>
      </c>
      <c r="D309" s="292" t="inlineStr">
        <is>
          <t>KODEX 200커버드콜액티브</t>
        </is>
      </c>
      <c r="E309" s="293" t="n">
        <v>200960</v>
      </c>
      <c r="F309" s="347" t="n"/>
      <c r="G309" s="293" t="n">
        <v>200960</v>
      </c>
      <c r="H309" s="292" t="inlineStr">
        <is>
          <t>예측</t>
        </is>
      </c>
    </row>
    <row r="310">
      <c r="A310" s="349" t="n">
        <v>46335</v>
      </c>
      <c r="B310" s="292" t="n">
        <v>11</v>
      </c>
      <c r="C310" s="292" t="inlineStr">
        <is>
          <t>AAPL</t>
        </is>
      </c>
      <c r="D310" s="292" t="inlineStr">
        <is>
          <t>애플</t>
        </is>
      </c>
      <c r="E310" s="293" t="n"/>
      <c r="F310" s="347" t="n">
        <v>2.295</v>
      </c>
      <c r="G310" s="293" t="n">
        <v>3105.135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inlineStr">
        <is>
          <t>0008S0</t>
        </is>
      </c>
      <c r="D311" s="292" t="inlineStr">
        <is>
          <t>TIGER 미국배당다우존스타겟데일리커버드콜</t>
        </is>
      </c>
      <c r="E311" s="293" t="n">
        <v>267000</v>
      </c>
      <c r="F311" s="347" t="n"/>
      <c r="G311" s="293" t="n">
        <v>267000</v>
      </c>
      <c r="H311" s="292" t="inlineStr">
        <is>
          <t>예측</t>
        </is>
      </c>
    </row>
    <row r="312">
      <c r="A312" s="349" t="n">
        <v>46339</v>
      </c>
      <c r="B312" s="292" t="n">
        <v>11</v>
      </c>
      <c r="C312" s="292" t="n">
        <v>105560</v>
      </c>
      <c r="D312" s="292" t="inlineStr">
        <is>
          <t>KB금융</t>
        </is>
      </c>
      <c r="E312" s="293" t="n">
        <v>11160</v>
      </c>
      <c r="F312" s="347" t="n"/>
      <c r="G312" s="293" t="n">
        <v>11160</v>
      </c>
      <c r="H312" s="292" t="inlineStr">
        <is>
          <t>예측</t>
        </is>
      </c>
    </row>
    <row r="313">
      <c r="A313" s="349" t="n">
        <v>46339</v>
      </c>
      <c r="B313" s="292" t="n">
        <v>11</v>
      </c>
      <c r="C313" s="292" t="inlineStr">
        <is>
          <t>498400</t>
        </is>
      </c>
      <c r="D313" s="292" t="inlineStr">
        <is>
          <t>KODEX 200타켓위클리커버드콜</t>
        </is>
      </c>
      <c r="E313" s="293" t="n">
        <v>119756</v>
      </c>
      <c r="F313" s="347" t="n"/>
      <c r="G313" s="293" t="n">
        <v>119756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474220</t>
        </is>
      </c>
      <c r="D314" s="292" t="inlineStr">
        <is>
          <t>TIGER미국테크TOP10커버드콜</t>
        </is>
      </c>
      <c r="E314" s="293" t="n">
        <v>576250</v>
      </c>
      <c r="F314" s="347" t="n"/>
      <c r="G314" s="293" t="n">
        <v>576250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481060</t>
        </is>
      </c>
      <c r="D315" s="292" t="inlineStr">
        <is>
          <t>KODEX 미국30년국채타겟커버드콜(H)</t>
        </is>
      </c>
      <c r="E315" s="293" t="n">
        <v>278460</v>
      </c>
      <c r="F315" s="347" t="n"/>
      <c r="G315" s="293" t="n">
        <v>278460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490490</t>
        </is>
      </c>
      <c r="D316" s="292" t="inlineStr">
        <is>
          <t>SOL미국배당미국채혼합50</t>
        </is>
      </c>
      <c r="E316" s="293" t="n">
        <v>122272</v>
      </c>
      <c r="F316" s="347" t="n"/>
      <c r="G316" s="293" t="n">
        <v>122272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O</t>
        </is>
      </c>
      <c r="D317" s="292" t="inlineStr">
        <is>
          <t>리얼티인컴</t>
        </is>
      </c>
      <c r="E317" s="293" t="n"/>
      <c r="F317" s="347" t="n">
        <v>14.151</v>
      </c>
      <c r="G317" s="293" t="n">
        <v>19146.303</v>
      </c>
      <c r="H317" s="292" t="inlineStr">
        <is>
          <t>예측</t>
        </is>
      </c>
    </row>
    <row r="318">
      <c r="A318" s="349" t="n">
        <v>46340</v>
      </c>
      <c r="B318" s="292" t="n">
        <v>11</v>
      </c>
      <c r="C318" s="292" t="inlineStr">
        <is>
          <t>SBUX</t>
        </is>
      </c>
      <c r="D318" s="292" t="inlineStr">
        <is>
          <t>스타벅스</t>
        </is>
      </c>
      <c r="E318" s="293" t="n"/>
      <c r="F318" s="347" t="n">
        <v>1.23</v>
      </c>
      <c r="G318" s="293" t="n">
        <v>1664.19</v>
      </c>
      <c r="H318" s="292" t="inlineStr">
        <is>
          <t>예측</t>
        </is>
      </c>
    </row>
    <row r="319">
      <c r="A319" s="349" t="n">
        <v>46340</v>
      </c>
      <c r="B319" s="292" t="n">
        <v>11</v>
      </c>
      <c r="C319" s="292" t="inlineStr">
        <is>
          <t>XOM</t>
        </is>
      </c>
      <c r="D319" s="292" t="inlineStr">
        <is>
          <t>엑슨모빌</t>
        </is>
      </c>
      <c r="E319" s="293" t="n"/>
      <c r="F319" s="347" t="n">
        <v>1.01</v>
      </c>
      <c r="G319" s="293" t="n">
        <v>1366.53</v>
      </c>
      <c r="H319" s="292" t="inlineStr">
        <is>
          <t>예측</t>
        </is>
      </c>
    </row>
    <row r="320">
      <c r="A320" s="349" t="n">
        <v>46344</v>
      </c>
      <c r="B320" s="292" t="n">
        <v>11</v>
      </c>
      <c r="C320" s="292" t="inlineStr">
        <is>
          <t>CVX</t>
        </is>
      </c>
      <c r="D320" s="292" t="inlineStr">
        <is>
          <t>셰브론</t>
        </is>
      </c>
      <c r="E320" s="293" t="n"/>
      <c r="F320" s="347" t="n">
        <v>1.67</v>
      </c>
      <c r="G320" s="293" t="n">
        <v>2259.51</v>
      </c>
      <c r="H320" s="292" t="inlineStr">
        <is>
          <t>예측</t>
        </is>
      </c>
    </row>
    <row r="321">
      <c r="A321" s="349" t="n">
        <v>46346</v>
      </c>
      <c r="B321" s="292" t="n">
        <v>11</v>
      </c>
      <c r="C321" s="292" t="inlineStr">
        <is>
          <t>MSFT</t>
        </is>
      </c>
      <c r="D321" s="292" t="inlineStr">
        <is>
          <t>마이크로소프트</t>
        </is>
      </c>
      <c r="E321" s="293" t="n"/>
      <c r="F321" s="347" t="n">
        <v>1.74</v>
      </c>
      <c r="G321" s="293" t="n">
        <v>2354.22</v>
      </c>
      <c r="H321" s="292" t="inlineStr">
        <is>
          <t>예측</t>
        </is>
      </c>
    </row>
    <row r="322">
      <c r="A322" s="349" t="n">
        <v>46352</v>
      </c>
      <c r="B322" s="292" t="n">
        <v>11</v>
      </c>
      <c r="C322" s="292" t="inlineStr">
        <is>
          <t>TMUS</t>
        </is>
      </c>
      <c r="D322" s="292" t="inlineStr">
        <is>
          <t>T-모바일</t>
        </is>
      </c>
      <c r="E322" s="293" t="n"/>
      <c r="F322" s="347" t="n">
        <v>3.8</v>
      </c>
      <c r="G322" s="293" t="n">
        <v>5141.4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005389</t>
        </is>
      </c>
      <c r="D323" s="292" t="inlineStr">
        <is>
          <t>현대차3우B</t>
        </is>
      </c>
      <c r="E323" s="293" t="n">
        <v>32500</v>
      </c>
      <c r="F323" s="347" t="n"/>
      <c r="G323" s="293" t="n">
        <v>32500</v>
      </c>
      <c r="H323" s="292" t="inlineStr">
        <is>
          <t>예측</t>
        </is>
      </c>
    </row>
    <row r="324">
      <c r="A324" s="349" t="n">
        <v>46353</v>
      </c>
      <c r="B324" s="292" t="n">
        <v>11</v>
      </c>
      <c r="C324" s="292" t="inlineStr">
        <is>
          <t>472170</t>
        </is>
      </c>
      <c r="D324" s="292" t="inlineStr">
        <is>
          <t>TIGER 미국테크TOP10채권혼합</t>
        </is>
      </c>
      <c r="E324" s="293" t="n">
        <v>100521</v>
      </c>
      <c r="F324" s="347" t="n"/>
      <c r="G324" s="293" t="n">
        <v>100521</v>
      </c>
      <c r="H324" s="292" t="inlineStr">
        <is>
          <t>예측</t>
        </is>
      </c>
    </row>
    <row r="325">
      <c r="A325" s="349" t="n">
        <v>46353</v>
      </c>
      <c r="B325" s="292" t="n">
        <v>11</v>
      </c>
      <c r="C325" s="292" t="inlineStr">
        <is>
          <t>498410</t>
        </is>
      </c>
      <c r="D325" s="292" t="inlineStr">
        <is>
          <t>KODEX금융고배당TOP10타겟위클리커버드콜</t>
        </is>
      </c>
      <c r="E325" s="293" t="n">
        <v>366058</v>
      </c>
      <c r="F325" s="347" t="n"/>
      <c r="G325" s="293" t="n">
        <v>366058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329200</t>
        </is>
      </c>
      <c r="D326" s="292" t="inlineStr">
        <is>
          <t>TIGER리츠부동산인프라</t>
        </is>
      </c>
      <c r="E326" s="293" t="n">
        <v>107500</v>
      </c>
      <c r="F326" s="347" t="n"/>
      <c r="G326" s="293" t="n">
        <v>107500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433330</t>
        </is>
      </c>
      <c r="D327" s="292" t="inlineStr">
        <is>
          <t>SOL 미국 S&amp;P500</t>
        </is>
      </c>
      <c r="E327" s="293" t="n">
        <v>23730</v>
      </c>
      <c r="F327" s="347" t="n"/>
      <c r="G327" s="293" t="n">
        <v>23730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446720</t>
        </is>
      </c>
      <c r="D328" s="292" t="inlineStr">
        <is>
          <t>SOL 미국배당다우존스</t>
        </is>
      </c>
      <c r="E328" s="293" t="n">
        <v>53865</v>
      </c>
      <c r="F328" s="347" t="n"/>
      <c r="G328" s="293" t="n">
        <v>53865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458760</t>
        </is>
      </c>
      <c r="D329" s="292" t="inlineStr">
        <is>
          <t>TIGER 미배당다우커버드콜2호</t>
        </is>
      </c>
      <c r="E329" s="293" t="n">
        <v>1435506</v>
      </c>
      <c r="F329" s="347" t="n"/>
      <c r="G329" s="293" t="n">
        <v>1435506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468380</t>
        </is>
      </c>
      <c r="D330" s="292" t="inlineStr">
        <is>
          <t>KODEX iShares미국하이일드액티브</t>
        </is>
      </c>
      <c r="E330" s="293" t="n">
        <v>124000</v>
      </c>
      <c r="F330" s="347" t="n"/>
      <c r="G330" s="293" t="n">
        <v>124000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473330</t>
        </is>
      </c>
      <c r="D331" s="292" t="inlineStr">
        <is>
          <t>SOL 미국 30년국채커버드콜(합성)</t>
        </is>
      </c>
      <c r="E331" s="293" t="n">
        <v>108000</v>
      </c>
      <c r="F331" s="347" t="n"/>
      <c r="G331" s="293" t="n">
        <v>108000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475380</t>
        </is>
      </c>
      <c r="D332" s="292" t="inlineStr">
        <is>
          <t>RISE 글로벌리얼티인컴</t>
        </is>
      </c>
      <c r="E332" s="293" t="n">
        <v>3737</v>
      </c>
      <c r="F332" s="347" t="n"/>
      <c r="G332" s="293" t="n">
        <v>3737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476550</t>
        </is>
      </c>
      <c r="D333" s="292" t="inlineStr">
        <is>
          <t>TIGER 미국30년국채커버드콜액티브(H)</t>
        </is>
      </c>
      <c r="E333" s="293" t="n">
        <v>37066</v>
      </c>
      <c r="F333" s="347" t="n"/>
      <c r="G333" s="293" t="n">
        <v>37066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476690</t>
        </is>
      </c>
      <c r="D334" s="292" t="inlineStr">
        <is>
          <t>TIGER 글로벌비만치료제 TOP2 Plus</t>
        </is>
      </c>
      <c r="E334" s="293" t="n">
        <v>1200</v>
      </c>
      <c r="F334" s="347" t="n"/>
      <c r="G334" s="293" t="n">
        <v>1200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482730</t>
        </is>
      </c>
      <c r="D335" s="292" t="inlineStr">
        <is>
          <t>미국S&amp;P500타겟데일리커버드콜</t>
        </is>
      </c>
      <c r="E335" s="293" t="n">
        <v>40800</v>
      </c>
      <c r="F335" s="347" t="n"/>
      <c r="G335" s="293" t="n">
        <v>40800</v>
      </c>
      <c r="H335" s="292" t="inlineStr">
        <is>
          <t>예측</t>
        </is>
      </c>
    </row>
    <row r="336">
      <c r="A336" s="349" t="n">
        <v>46354</v>
      </c>
      <c r="B336" s="292" t="n">
        <v>11</v>
      </c>
      <c r="C336" s="292" t="inlineStr">
        <is>
          <t>483280</t>
        </is>
      </c>
      <c r="D336" s="292" t="inlineStr">
        <is>
          <t>KODEX 미국AI테크TOP10타겟커버드콜</t>
        </is>
      </c>
      <c r="E336" s="293" t="n">
        <v>329448</v>
      </c>
      <c r="F336" s="347" t="n"/>
      <c r="G336" s="293" t="n">
        <v>329448</v>
      </c>
      <c r="H336" s="292" t="inlineStr">
        <is>
          <t>예측</t>
        </is>
      </c>
    </row>
    <row r="337">
      <c r="A337" s="349" t="n">
        <v>46356</v>
      </c>
      <c r="B337" s="292" t="n">
        <v>11</v>
      </c>
      <c r="C337" s="292" t="inlineStr">
        <is>
          <t>0219E0</t>
        </is>
      </c>
      <c r="D337" s="292" t="inlineStr">
        <is>
          <t>KODEX 200커버드콜액티브</t>
        </is>
      </c>
      <c r="E337" s="293" t="n">
        <v>200960</v>
      </c>
      <c r="F337" s="347" t="n"/>
      <c r="G337" s="293" t="n">
        <v>200960</v>
      </c>
      <c r="H337" s="292" t="inlineStr">
        <is>
          <t>예측</t>
        </is>
      </c>
    </row>
    <row r="338">
      <c r="A338" s="349" t="n">
        <v>46358</v>
      </c>
      <c r="B338" s="292" t="n">
        <v>12</v>
      </c>
      <c r="C338" s="292" t="inlineStr">
        <is>
          <t>NKE</t>
        </is>
      </c>
      <c r="D338" s="292" t="inlineStr">
        <is>
          <t>나이키</t>
        </is>
      </c>
      <c r="E338" s="293" t="n"/>
      <c r="F338" s="347" t="n">
        <v>4.05</v>
      </c>
      <c r="G338" s="293" t="n">
        <v>5479.65</v>
      </c>
      <c r="H338" s="292" t="inlineStr">
        <is>
          <t>예측</t>
        </is>
      </c>
    </row>
    <row r="339">
      <c r="A339" s="349" t="n">
        <v>46366</v>
      </c>
      <c r="B339" s="292" t="n">
        <v>12</v>
      </c>
      <c r="C339" s="292" t="inlineStr">
        <is>
          <t>SCHD</t>
        </is>
      </c>
      <c r="D339" s="292" t="inlineStr">
        <is>
          <t>SCHD</t>
        </is>
      </c>
      <c r="E339" s="293" t="n"/>
      <c r="F339" s="347" t="n">
        <v>6.516</v>
      </c>
      <c r="G339" s="293" t="n">
        <v>8816.147999999999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0008S0</t>
        </is>
      </c>
      <c r="D340" s="292" t="inlineStr">
        <is>
          <t>TIGER 미국배당다우존스타겟데일리커버드콜</t>
        </is>
      </c>
      <c r="E340" s="293" t="n">
        <v>273000</v>
      </c>
      <c r="F340" s="347" t="n"/>
      <c r="G340" s="293" t="n">
        <v>273000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474220</t>
        </is>
      </c>
      <c r="D341" s="292" t="inlineStr">
        <is>
          <t>TIGER미국테크TOP10커버드콜</t>
        </is>
      </c>
      <c r="E341" s="293" t="n">
        <v>587775</v>
      </c>
      <c r="F341" s="347" t="n"/>
      <c r="G341" s="293" t="n">
        <v>587775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481060</t>
        </is>
      </c>
      <c r="D342" s="292" t="inlineStr">
        <is>
          <t>KODEX 미국30년국채타겟커버드콜(H)</t>
        </is>
      </c>
      <c r="E342" s="293" t="n">
        <v>278460</v>
      </c>
      <c r="F342" s="347" t="n"/>
      <c r="G342" s="293" t="n">
        <v>278460</v>
      </c>
      <c r="H342" s="292" t="inlineStr">
        <is>
          <t>예측</t>
        </is>
      </c>
    </row>
    <row r="343">
      <c r="A343" s="349" t="n">
        <v>46368</v>
      </c>
      <c r="B343" s="292" t="n">
        <v>12</v>
      </c>
      <c r="C343" s="292" t="inlineStr">
        <is>
          <t>490490</t>
        </is>
      </c>
      <c r="D343" s="292" t="inlineStr">
        <is>
          <t>SOL미국배당미국채혼합50</t>
        </is>
      </c>
      <c r="E343" s="293" t="n">
        <v>114630</v>
      </c>
      <c r="F343" s="347" t="n"/>
      <c r="G343" s="293" t="n">
        <v>114630</v>
      </c>
      <c r="H343" s="292" t="inlineStr">
        <is>
          <t>예측</t>
        </is>
      </c>
    </row>
    <row r="344">
      <c r="A344" s="349" t="n">
        <v>46368</v>
      </c>
      <c r="B344" s="292" t="n">
        <v>12</v>
      </c>
      <c r="C344" s="292" t="inlineStr">
        <is>
          <t>498400</t>
        </is>
      </c>
      <c r="D344" s="292" t="inlineStr">
        <is>
          <t>KODEX 200타켓위클리커버드콜</t>
        </is>
      </c>
      <c r="E344" s="293" t="n">
        <v>119756</v>
      </c>
      <c r="F344" s="347" t="n"/>
      <c r="G344" s="293" t="n">
        <v>119756</v>
      </c>
      <c r="H344" s="292" t="inlineStr">
        <is>
          <t>예측</t>
        </is>
      </c>
    </row>
    <row r="345">
      <c r="A345" s="349" t="n">
        <v>46372</v>
      </c>
      <c r="B345" s="292" t="n">
        <v>12</v>
      </c>
      <c r="C345" s="292" t="inlineStr">
        <is>
          <t>O</t>
        </is>
      </c>
      <c r="D345" s="292" t="inlineStr">
        <is>
          <t>리얼티인컴</t>
        </is>
      </c>
      <c r="E345" s="293" t="n"/>
      <c r="F345" s="347" t="n">
        <v>14.151</v>
      </c>
      <c r="G345" s="293" t="n">
        <v>19146.303</v>
      </c>
      <c r="H345" s="292" t="inlineStr">
        <is>
          <t>예측</t>
        </is>
      </c>
    </row>
    <row r="346">
      <c r="A346" s="349" t="n">
        <v>46380</v>
      </c>
      <c r="B346" s="292" t="n">
        <v>12</v>
      </c>
      <c r="C346" s="292" t="inlineStr">
        <is>
          <t>QLD</t>
        </is>
      </c>
      <c r="D346" s="292" t="inlineStr">
        <is>
          <t>QLD</t>
        </is>
      </c>
      <c r="E346" s="293" t="n"/>
      <c r="F346" s="347" t="n">
        <v>3.745</v>
      </c>
      <c r="G346" s="293" t="n">
        <v>5066.985000000001</v>
      </c>
      <c r="H346" s="292" t="inlineStr">
        <is>
          <t>예측</t>
        </is>
      </c>
    </row>
    <row r="347">
      <c r="A347" s="349" t="n">
        <v>46383</v>
      </c>
      <c r="B347" s="292" t="n">
        <v>12</v>
      </c>
      <c r="C347" s="292" t="inlineStr">
        <is>
          <t>472170</t>
        </is>
      </c>
      <c r="D347" s="292" t="inlineStr">
        <is>
          <t>TIGER 미국테크TOP10채권혼합</t>
        </is>
      </c>
      <c r="E347" s="293" t="n">
        <v>473040</v>
      </c>
      <c r="F347" s="347" t="n"/>
      <c r="G347" s="293" t="n">
        <v>473040</v>
      </c>
      <c r="H347" s="292" t="inlineStr">
        <is>
          <t>예측</t>
        </is>
      </c>
    </row>
    <row r="348">
      <c r="A348" s="349" t="n">
        <v>46384</v>
      </c>
      <c r="B348" s="292" t="n">
        <v>12</v>
      </c>
      <c r="C348" s="292" t="inlineStr">
        <is>
          <t>005930</t>
        </is>
      </c>
      <c r="D348" s="292" t="inlineStr">
        <is>
          <t>삼성전자</t>
        </is>
      </c>
      <c r="E348" s="293" t="n">
        <v>45986</v>
      </c>
      <c r="F348" s="347" t="n"/>
      <c r="G348" s="293" t="n">
        <v>45986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329200</t>
        </is>
      </c>
      <c r="D349" s="292" t="inlineStr">
        <is>
          <t>TIGER리츠부동산인프라</t>
        </is>
      </c>
      <c r="E349" s="293" t="n">
        <v>120000</v>
      </c>
      <c r="F349" s="347" t="n"/>
      <c r="G349" s="293" t="n">
        <v>120000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433330</t>
        </is>
      </c>
      <c r="D350" s="292" t="inlineStr">
        <is>
          <t>SOL 미국 S&amp;P500</t>
        </is>
      </c>
      <c r="E350" s="293" t="n">
        <v>24408</v>
      </c>
      <c r="F350" s="347" t="n"/>
      <c r="G350" s="293" t="n">
        <v>24408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446720</t>
        </is>
      </c>
      <c r="D351" s="292" t="inlineStr">
        <is>
          <t>SOL 미국배당다우존스</t>
        </is>
      </c>
      <c r="E351" s="293" t="n">
        <v>47880</v>
      </c>
      <c r="F351" s="347" t="n"/>
      <c r="G351" s="293" t="n">
        <v>47880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458760</t>
        </is>
      </c>
      <c r="D352" s="292" t="inlineStr">
        <is>
          <t>TIGER 미배당다우커버드콜2호</t>
        </is>
      </c>
      <c r="E352" s="293" t="n">
        <v>1412476</v>
      </c>
      <c r="F352" s="347" t="n"/>
      <c r="G352" s="293" t="n">
        <v>1412476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468380</t>
        </is>
      </c>
      <c r="D353" s="292" t="inlineStr">
        <is>
          <t>KODEX iShares미국하이일드액티브</t>
        </is>
      </c>
      <c r="E353" s="293" t="n">
        <v>133000</v>
      </c>
      <c r="F353" s="347" t="n"/>
      <c r="G353" s="293" t="n">
        <v>133000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473330</t>
        </is>
      </c>
      <c r="D354" s="292" t="inlineStr">
        <is>
          <t>SOL 미국 30년국채커버드콜(합성)</t>
        </is>
      </c>
      <c r="E354" s="293" t="n">
        <v>129600</v>
      </c>
      <c r="F354" s="347" t="n"/>
      <c r="G354" s="293" t="n">
        <v>129600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475380</t>
        </is>
      </c>
      <c r="D355" s="292" t="inlineStr">
        <is>
          <t>RISE 글로벌리얼티인컴</t>
        </is>
      </c>
      <c r="E355" s="293" t="n">
        <v>3737</v>
      </c>
      <c r="F355" s="347" t="n"/>
      <c r="G355" s="293" t="n">
        <v>3737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476550</t>
        </is>
      </c>
      <c r="D356" s="292" t="inlineStr">
        <is>
          <t>TIGER 미국30년국채커버드콜액티브(H)</t>
        </is>
      </c>
      <c r="E356" s="293" t="n">
        <v>34911</v>
      </c>
      <c r="F356" s="347" t="n"/>
      <c r="G356" s="293" t="n">
        <v>34911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476690</t>
        </is>
      </c>
      <c r="D357" s="292" t="inlineStr">
        <is>
          <t>TIGER 글로벌비만치료제 TOP2 Plus</t>
        </is>
      </c>
      <c r="E357" s="293" t="n">
        <v>1350</v>
      </c>
      <c r="F357" s="347" t="n"/>
      <c r="G357" s="293" t="n">
        <v>1350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482730</t>
        </is>
      </c>
      <c r="D358" s="292" t="inlineStr">
        <is>
          <t>미국S&amp;P500타겟데일리커버드콜</t>
        </is>
      </c>
      <c r="E358" s="293" t="n">
        <v>41650</v>
      </c>
      <c r="F358" s="347" t="n"/>
      <c r="G358" s="293" t="n">
        <v>41650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483280</t>
        </is>
      </c>
      <c r="D359" s="292" t="inlineStr">
        <is>
          <t>KODEX 미국AI테크TOP10타겟커버드콜</t>
        </is>
      </c>
      <c r="E359" s="293" t="n">
        <v>342804</v>
      </c>
      <c r="F359" s="347" t="n"/>
      <c r="G359" s="293" t="n">
        <v>342804</v>
      </c>
      <c r="H359" s="292" t="inlineStr">
        <is>
          <t>예측</t>
        </is>
      </c>
    </row>
    <row r="360">
      <c r="A360" s="349" t="n">
        <v>46384</v>
      </c>
      <c r="B360" s="292" t="n">
        <v>12</v>
      </c>
      <c r="C360" s="292" t="inlineStr">
        <is>
          <t>AMT</t>
        </is>
      </c>
      <c r="D360" s="292" t="inlineStr">
        <is>
          <t>아메리칸타워</t>
        </is>
      </c>
      <c r="E360" s="293" t="n"/>
      <c r="F360" s="347" t="n">
        <v>8.300000000000001</v>
      </c>
      <c r="G360" s="293" t="n">
        <v>11229.9</v>
      </c>
      <c r="H360" s="292" t="inlineStr">
        <is>
          <t>예측</t>
        </is>
      </c>
    </row>
    <row r="361">
      <c r="A361" s="349" t="n">
        <v>46385</v>
      </c>
      <c r="B361" s="292" t="n">
        <v>12</v>
      </c>
      <c r="C361" s="292" t="inlineStr">
        <is>
          <t>381170</t>
        </is>
      </c>
      <c r="D361" s="292" t="inlineStr">
        <is>
          <t>TIGER 미국테크TOP10 INDXX</t>
        </is>
      </c>
      <c r="E361" s="293" t="n">
        <v>24871</v>
      </c>
      <c r="F361" s="347" t="n"/>
      <c r="G361" s="293" t="n">
        <v>24871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438100</t>
        </is>
      </c>
      <c r="D362" s="292" t="inlineStr">
        <is>
          <t>ACE미국나스닥100미국채혼합50액티브</t>
        </is>
      </c>
      <c r="E362" s="293" t="n">
        <v>228672</v>
      </c>
      <c r="F362" s="347" t="n"/>
      <c r="G362" s="293" t="n">
        <v>228672</v>
      </c>
      <c r="H362" s="292" t="inlineStr">
        <is>
          <t>예측</t>
        </is>
      </c>
    </row>
    <row r="363">
      <c r="A363" s="349" t="n">
        <v>46385</v>
      </c>
      <c r="B363" s="292" t="n">
        <v>12</v>
      </c>
      <c r="C363" s="292" t="inlineStr">
        <is>
          <t>457480</t>
        </is>
      </c>
      <c r="D363" s="292" t="inlineStr">
        <is>
          <t>ACE테슬라밸류체인액티브</t>
        </is>
      </c>
      <c r="E363" s="293" t="n">
        <v>184325</v>
      </c>
      <c r="F363" s="347" t="n"/>
      <c r="G363" s="293" t="n">
        <v>184325</v>
      </c>
      <c r="H363" s="292" t="inlineStr">
        <is>
          <t>예측</t>
        </is>
      </c>
    </row>
    <row r="364">
      <c r="A364" s="349" t="n">
        <v>46385</v>
      </c>
      <c r="B364" s="292" t="n">
        <v>12</v>
      </c>
      <c r="C364" s="292" t="inlineStr">
        <is>
          <t>498410</t>
        </is>
      </c>
      <c r="D364" s="292" t="inlineStr">
        <is>
          <t>KODEX금융고배당TOP10타겟위클리커버드콜</t>
        </is>
      </c>
      <c r="E364" s="293" t="n">
        <v>361304</v>
      </c>
      <c r="F364" s="347" t="n"/>
      <c r="G364" s="293" t="n">
        <v>361304</v>
      </c>
      <c r="H364" s="292" t="inlineStr">
        <is>
          <t>예측</t>
        </is>
      </c>
    </row>
    <row r="365">
      <c r="A365" s="349" t="n">
        <v>46387</v>
      </c>
      <c r="B365" s="292" t="n">
        <v>12</v>
      </c>
      <c r="C365" s="292" t="inlineStr">
        <is>
          <t>0219E0</t>
        </is>
      </c>
      <c r="D365" s="292" t="inlineStr">
        <is>
          <t>KODEX 200커버드콜액티브</t>
        </is>
      </c>
      <c r="E365" s="293" t="n">
        <v>200960</v>
      </c>
      <c r="F365" s="347" t="n"/>
      <c r="G365" s="293" t="n">
        <v>200960</v>
      </c>
      <c r="H365" s="292" t="inlineStr">
        <is>
          <t>예측</t>
        </is>
      </c>
    </row>
  </sheetData>
  <autoFilter ref="A43:H365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2026-09-23T01:03:37Z</dcterms:modified>
  <cp:lastModifiedBy>Hyoyol Park</cp:lastModifiedBy>
</cp:coreProperties>
</file>