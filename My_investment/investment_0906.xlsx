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￦1,359</t>
        </is>
      </c>
      <c r="J5" s="73" t="n">
        <v>1358.63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10245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10450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9275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11265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14115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10420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7025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27705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15140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10245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12895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21675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11520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31855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25985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11875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10245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15140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17845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7455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113000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15175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6385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12245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173200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10045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9895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9575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274750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274750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20715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354.8099975585938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54.29999923706055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43.86000061035156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333.0199890136719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155500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95.65000152587891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95.65000152587891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166200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8400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150.8600006103516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163.6900024414062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228.3800048828125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32.52999877929688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512.9000244140625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163.0800018310547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37.90999984741211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187.0500030517578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69.68000030517578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10.98999977111816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35.40000152587891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456.1900024414062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186.4100036621094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139.4900054931641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137.3000030517578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6.050000190734863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93.95999908447266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7.900000095367432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14290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37.02000045776367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15295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185385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31860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21680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204.2100067138672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162.75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103.9199981689453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1" t="n">
        <v>22</v>
      </c>
      <c r="B42" s="301">
        <f>IFERROR(INDEX('계좌현황'!A:A,INDEX($L$21:$L$97,MATCH(LARGE($N$21:$N$97,22),$N$21:$N$97,0))),"")</f>
        <v/>
      </c>
      <c r="C42" s="301">
        <f>IFERROR(INDEX('계좌현황'!C:C,INDEX($L$21:$L$97,MATCH(LARGE($N$21:$N$97,22),$N$21:$N$97,0))),"")</f>
        <v/>
      </c>
      <c r="D42" s="301">
        <f>IFERROR(INDEX('계좌현황'!D:D,INDEX($L$21:$L$97,MATCH(LARGE($N$21:$N$97,22),$N$21:$N$97,0))),"")</f>
        <v/>
      </c>
      <c r="E42" s="301">
        <f>IFERROR(INDEX('계좌현황'!E:E,INDEX($L$21:$L$97,MATCH(LARGE($N$21:$N$97,22),$N$21:$N$97,0))),"")</f>
        <v/>
      </c>
      <c r="F42" s="325">
        <f>IFERROR(INDEX('계좌현황'!F:F,INDEX($L$21:$L$97,MATCH(LARGE($N$21:$N$97,22),$N$21:$N$97,0))),"")</f>
        <v/>
      </c>
      <c r="G42" s="326">
        <f>IFERROR(INDEX('계좌현황'!K:K,INDEX($L$21:$L$97,MATCH(LARGE($N$21:$N$97,22),$N$21:$N$97,0))),0)</f>
        <v/>
      </c>
      <c r="H42" s="327">
        <f>IF($B$3=0,0,G42/$B$3)</f>
        <v/>
      </c>
      <c r="I42" s="327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5" t="n">
        <v>23</v>
      </c>
      <c r="B43" s="295">
        <f>IFERROR(INDEX('계좌현황'!A:A,INDEX($L$21:$L$97,MATCH(LARGE($N$21:$N$97,23),$N$21:$N$97,0))),"")</f>
        <v/>
      </c>
      <c r="C43" s="295">
        <f>IFERROR(INDEX('계좌현황'!C:C,INDEX($L$21:$L$97,MATCH(LARGE($N$21:$N$97,23),$N$21:$N$97,0))),"")</f>
        <v/>
      </c>
      <c r="D43" s="295">
        <f>IFERROR(INDEX('계좌현황'!D:D,INDEX($L$21:$L$97,MATCH(LARGE($N$21:$N$97,23),$N$21:$N$97,0))),"")</f>
        <v/>
      </c>
      <c r="E43" s="295">
        <f>IFERROR(INDEX('계좌현황'!E:E,INDEX($L$21:$L$97,MATCH(LARGE($N$21:$N$97,23),$N$21:$N$97,0))),"")</f>
        <v/>
      </c>
      <c r="F43" s="322">
        <f>IFERROR(INDEX('계좌현황'!F:F,INDEX($L$21:$L$97,MATCH(LARGE($N$21:$N$97,23),$N$21:$N$97,0))),"")</f>
        <v/>
      </c>
      <c r="G43" s="323">
        <f>IFERROR(INDEX('계좌현황'!K:K,INDEX($L$21:$L$97,MATCH(LARGE($N$21:$N$97,23),$N$21:$N$97,0))),0)</f>
        <v/>
      </c>
      <c r="H43" s="324">
        <f>IF($B$3=0,0,G43/$B$3)</f>
        <v/>
      </c>
      <c r="I43" s="324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1,359원/$  | 연간 합계 53,630,270원 · 월평균 4,469,189원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4095187.29</v>
      </c>
      <c r="C7" s="287" t="n">
        <v>207240</v>
      </c>
      <c r="D7" s="287" t="n">
        <v>4302427.29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4217403.399999999</v>
      </c>
      <c r="C8" s="287" t="n">
        <v>207240</v>
      </c>
      <c r="D8" s="287" t="n">
        <v>4424643.399999999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4598411.988</v>
      </c>
      <c r="C9" s="287" t="n">
        <v>242648</v>
      </c>
      <c r="D9" s="287" t="n">
        <v>4841059.988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4210625.367</v>
      </c>
      <c r="C10" s="287" t="n">
        <v>212344</v>
      </c>
      <c r="D10" s="287" t="n">
        <v>4422969.367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4290651.737</v>
      </c>
      <c r="C11" s="287" t="n">
        <v>207240</v>
      </c>
      <c r="D11" s="287" t="n">
        <v>4497891.737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4331499.82</v>
      </c>
      <c r="C12" s="287" t="n">
        <v>242732</v>
      </c>
      <c r="D12" s="287" t="n">
        <v>4574231.82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4348567.317</v>
      </c>
      <c r="C13" s="284" t="n">
        <v>0</v>
      </c>
      <c r="D13" s="284" t="n">
        <v>4348567.317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4213430.652000001</v>
      </c>
      <c r="C14" s="284" t="n">
        <v>0</v>
      </c>
      <c r="D14" s="284" t="n">
        <v>4213430.652000001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4214596.198999999</v>
      </c>
      <c r="C15" s="287" t="n">
        <v>71724</v>
      </c>
      <c r="D15" s="287" t="n">
        <v>4286320.198999999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4096632.236</v>
      </c>
      <c r="D16" s="293" t="n">
        <v>4096632.236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4381261.664</v>
      </c>
      <c r="D17" s="293" t="n">
        <v>4381261.664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5240834.558</v>
      </c>
      <c r="D18" s="293" t="n">
        <v>5240834.558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0.1082</v>
      </c>
      <c r="F24" s="308" t="n">
        <v>157291485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0.1015</v>
      </c>
      <c r="F25" s="308" t="n">
        <v>69795400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0.166</v>
      </c>
      <c r="F26" s="308" t="n">
        <v>26776905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0.1517</v>
      </c>
      <c r="F27" s="308" t="n">
        <v>26433750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0.1269</v>
      </c>
      <c r="F28" s="308" t="n">
        <v>27825000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0.1405</v>
      </c>
      <c r="F29" s="308" t="n">
        <v>21496500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0.2357</v>
      </c>
      <c r="F30" s="308" t="n">
        <v>10550400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0.1509</v>
      </c>
      <c r="F31" s="308" t="n">
        <v>12656865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0.0926</v>
      </c>
      <c r="F32" s="308" t="n">
        <v>20175000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0.0738</v>
      </c>
      <c r="F33" s="308" t="n">
        <v>20840000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0.0316</v>
      </c>
      <c r="F34" s="308" t="n">
        <v>39929450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0.1337</v>
      </c>
      <c r="F35" s="308" t="n">
        <v>7156800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27820665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0.0319</v>
      </c>
      <c r="F37" s="308" t="n">
        <v>17150350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0.1056</v>
      </c>
      <c r="F38" s="308" t="n">
        <v>4896000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1359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19447.29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3180.06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1399.77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1685.16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2419.02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2473.38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19447.29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5544.72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5571.9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1299.204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2473.38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8382.312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25990.875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19519.317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1359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12163.05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19519.317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3302.37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1685.16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1399.77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2419.02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2473.38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19519.317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5544.72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5571.9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1359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1297.845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12163.05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11605.86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8251.848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19519.317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1359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19519.317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3302.37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1685.16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11802.915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1399.77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2419.02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2473.38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5544.72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19519.317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5571.9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1359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1504.413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5137.02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8708.472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12163.05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19591.344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11007.9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1223.1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19303.236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3118.905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19231.209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1671.57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1372.59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2269.53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2364.66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5164.2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5503.95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8855.244000000001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19231.209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5089.455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11279.7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2026-10-01T06:10:34Z</dcterms:modified>
  <cp:lastModifiedBy>Hyoyol Park</cp:lastModifiedBy>
</cp:coreProperties>
</file>