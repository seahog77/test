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￦1,363</t>
        </is>
      </c>
      <c r="J5" s="73" t="n">
        <v>1362.98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10540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10630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9475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11880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14100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10570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7105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4062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27405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15055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10540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13220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21775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11565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31505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26090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11905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10540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15055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18150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7615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117100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14900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6560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12285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176600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10290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10070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9750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271500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271500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20430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372.1099853515625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55.54000091552734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45.47999954223633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341.0700073242188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20800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161900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96.94999694824219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96.94999694824219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174200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8465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148.6799926757812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169.0299987792969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225.0700073242188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33.20999908447266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516.1699829101562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165.4299926757812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38.79999923706055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189.6699981689453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73.94999694824219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10.64999961853027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35.75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450.6099853515625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195.1100006103516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147.0700073242188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137.1000061035156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6.320000171661377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94.86000061035156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8.420000076293945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14640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38.04000091552734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15240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183240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31635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21775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204.4499969482422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160.5899963378906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107.9800033569336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3" t="n">
        <v>14</v>
      </c>
      <c r="B34" s="283">
        <f>IFERROR(INDEX('계좌현황'!A:A,INDEX($L$21:$L$97,MATCH(LARGE($N$21:$N$97,14),$N$21:$N$97,0))),"")</f>
        <v/>
      </c>
      <c r="C34" s="283">
        <f>IFERROR(INDEX('계좌현황'!C:C,INDEX($L$21:$L$97,MATCH(LARGE($N$21:$N$97,14),$N$21:$N$97,0))),"")</f>
        <v/>
      </c>
      <c r="D34" s="283">
        <f>IFERROR(INDEX('계좌현황'!D:D,INDEX($L$21:$L$97,MATCH(LARGE($N$21:$N$97,14),$N$21:$N$97,0))),"")</f>
        <v/>
      </c>
      <c r="E34" s="283">
        <f>IFERROR(INDEX('계좌현황'!E:E,INDEX($L$21:$L$97,MATCH(LARGE($N$21:$N$97,14),$N$21:$N$97,0))),"")</f>
        <v/>
      </c>
      <c r="F34" s="313">
        <f>IFERROR(INDEX('계좌현황'!F:F,INDEX($L$21:$L$97,MATCH(LARGE($N$21:$N$97,14),$N$21:$N$97,0))),"")</f>
        <v/>
      </c>
      <c r="G34" s="314">
        <f>IFERROR(INDEX('계좌현황'!K:K,INDEX($L$21:$L$97,MATCH(LARGE($N$21:$N$97,14),$N$21:$N$97,0))),0)</f>
        <v/>
      </c>
      <c r="H34" s="315">
        <f>IF($B$3=0,0,G34/$B$3)</f>
        <v/>
      </c>
      <c r="I34" s="315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5" t="n">
        <v>22</v>
      </c>
      <c r="B42" s="295">
        <f>IFERROR(INDEX('계좌현황'!A:A,INDEX($L$21:$L$97,MATCH(LARGE($N$21:$N$97,22),$N$21:$N$97,0))),"")</f>
        <v/>
      </c>
      <c r="C42" s="295">
        <f>IFERROR(INDEX('계좌현황'!C:C,INDEX($L$21:$L$97,MATCH(LARGE($N$21:$N$97,22),$N$21:$N$97,0))),"")</f>
        <v/>
      </c>
      <c r="D42" s="295">
        <f>IFERROR(INDEX('계좌현황'!D:D,INDEX($L$21:$L$97,MATCH(LARGE($N$21:$N$97,22),$N$21:$N$97,0))),"")</f>
        <v/>
      </c>
      <c r="E42" s="295">
        <f>IFERROR(INDEX('계좌현황'!E:E,INDEX($L$21:$L$97,MATCH(LARGE($N$21:$N$97,22),$N$21:$N$97,0))),"")</f>
        <v/>
      </c>
      <c r="F42" s="322">
        <f>IFERROR(INDEX('계좌현황'!F:F,INDEX($L$21:$L$97,MATCH(LARGE($N$21:$N$97,22),$N$21:$N$97,0))),"")</f>
        <v/>
      </c>
      <c r="G42" s="323">
        <f>IFERROR(INDEX('계좌현황'!K:K,INDEX($L$21:$L$97,MATCH(LARGE($N$21:$N$97,22),$N$21:$N$97,0))),0)</f>
        <v/>
      </c>
      <c r="H42" s="324">
        <f>IF($B$3=0,0,G42/$B$3)</f>
        <v/>
      </c>
      <c r="I42" s="324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7" t="n">
        <v>24</v>
      </c>
      <c r="B44" s="307">
        <f>IFERROR(INDEX('계좌현황'!A:A,INDEX($L$21:$L$97,MATCH(LARGE($N$21:$N$97,24),$N$21:$N$97,0))),"")</f>
        <v/>
      </c>
      <c r="C44" s="307">
        <f>IFERROR(INDEX('계좌현황'!C:C,INDEX($L$21:$L$97,MATCH(LARGE($N$21:$N$97,24),$N$21:$N$97,0))),"")</f>
        <v/>
      </c>
      <c r="D44" s="307">
        <f>IFERROR(INDEX('계좌현황'!D:D,INDEX($L$21:$L$97,MATCH(LARGE($N$21:$N$97,24),$N$21:$N$97,0))),"")</f>
        <v/>
      </c>
      <c r="E44" s="307">
        <f>IFERROR(INDEX('계좌현황'!E:E,INDEX($L$21:$L$97,MATCH(LARGE($N$21:$N$97,24),$N$21:$N$97,0))),"")</f>
        <v/>
      </c>
      <c r="F44" s="331">
        <f>IFERROR(INDEX('계좌현황'!F:F,INDEX($L$21:$L$97,MATCH(LARGE($N$21:$N$97,24),$N$21:$N$97,0))),"")</f>
        <v/>
      </c>
      <c r="G44" s="332">
        <f>IFERROR(INDEX('계좌현황'!K:K,INDEX($L$21:$L$97,MATCH(LARGE($N$21:$N$97,24),$N$21:$N$97,0))),0)</f>
        <v/>
      </c>
      <c r="H44" s="333">
        <f>IF($B$3=0,0,G44/$B$3)</f>
        <v/>
      </c>
      <c r="I44" s="333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1" t="n">
        <v>25</v>
      </c>
      <c r="B45" s="301">
        <f>IFERROR(INDEX('계좌현황'!A:A,INDEX($L$21:$L$97,MATCH(LARGE($N$21:$N$97,25),$N$21:$N$97,0))),"")</f>
        <v/>
      </c>
      <c r="C45" s="301">
        <f>IFERROR(INDEX('계좌현황'!C:C,INDEX($L$21:$L$97,MATCH(LARGE($N$21:$N$97,25),$N$21:$N$97,0))),"")</f>
        <v/>
      </c>
      <c r="D45" s="301">
        <f>IFERROR(INDEX('계좌현황'!D:D,INDEX($L$21:$L$97,MATCH(LARGE($N$21:$N$97,25),$N$21:$N$97,0))),"")</f>
        <v/>
      </c>
      <c r="E45" s="301">
        <f>IFERROR(INDEX('계좌현황'!E:E,INDEX($L$21:$L$97,MATCH(LARGE($N$21:$N$97,25),$N$21:$N$97,0))),"")</f>
        <v/>
      </c>
      <c r="F45" s="325">
        <f>IFERROR(INDEX('계좌현황'!F:F,INDEX($L$21:$L$97,MATCH(LARGE($N$21:$N$97,25),$N$21:$N$97,0))),"")</f>
        <v/>
      </c>
      <c r="G45" s="326">
        <f>IFERROR(INDEX('계좌현황'!K:K,INDEX($L$21:$L$97,MATCH(LARGE($N$21:$N$97,25),$N$21:$N$97,0))),0)</f>
        <v/>
      </c>
      <c r="H45" s="327">
        <f>IF($B$3=0,0,G45/$B$3)</f>
        <v/>
      </c>
      <c r="I45" s="327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5" t="n">
        <v>28</v>
      </c>
      <c r="B48" s="295">
        <f>IFERROR(INDEX('계좌현황'!A:A,INDEX($L$21:$L$97,MATCH(LARGE($N$21:$N$97,28),$N$21:$N$97,0))),"")</f>
        <v/>
      </c>
      <c r="C48" s="295">
        <f>IFERROR(INDEX('계좌현황'!C:C,INDEX($L$21:$L$97,MATCH(LARGE($N$21:$N$97,28),$N$21:$N$97,0))),"")</f>
        <v/>
      </c>
      <c r="D48" s="295">
        <f>IFERROR(INDEX('계좌현황'!D:D,INDEX($L$21:$L$97,MATCH(LARGE($N$21:$N$97,28),$N$21:$N$97,0))),"")</f>
        <v/>
      </c>
      <c r="E48" s="295">
        <f>IFERROR(INDEX('계좌현황'!E:E,INDEX($L$21:$L$97,MATCH(LARGE($N$21:$N$97,28),$N$21:$N$97,0))),"")</f>
        <v/>
      </c>
      <c r="F48" s="322">
        <f>IFERROR(INDEX('계좌현황'!F:F,INDEX($L$21:$L$97,MATCH(LARGE($N$21:$N$97,28),$N$21:$N$97,0))),"")</f>
        <v/>
      </c>
      <c r="G48" s="323">
        <f>IFERROR(INDEX('계좌현황'!K:K,INDEX($L$21:$L$97,MATCH(LARGE($N$21:$N$97,28),$N$21:$N$97,0))),0)</f>
        <v/>
      </c>
      <c r="H48" s="324">
        <f>IF($B$3=0,0,G48/$B$3)</f>
        <v/>
      </c>
      <c r="I48" s="324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301" t="n">
        <v>29</v>
      </c>
      <c r="B49" s="301">
        <f>IFERROR(INDEX('계좌현황'!A:A,INDEX($L$21:$L$97,MATCH(LARGE($N$21:$N$97,29),$N$21:$N$97,0))),"")</f>
        <v/>
      </c>
      <c r="C49" s="301">
        <f>IFERROR(INDEX('계좌현황'!C:C,INDEX($L$21:$L$97,MATCH(LARGE($N$21:$N$97,29),$N$21:$N$97,0))),"")</f>
        <v/>
      </c>
      <c r="D49" s="301">
        <f>IFERROR(INDEX('계좌현황'!D:D,INDEX($L$21:$L$97,MATCH(LARGE($N$21:$N$97,29),$N$21:$N$97,0))),"")</f>
        <v/>
      </c>
      <c r="E49" s="301">
        <f>IFERROR(INDEX('계좌현황'!E:E,INDEX($L$21:$L$97,MATCH(LARGE($N$21:$N$97,29),$N$21:$N$97,0))),"")</f>
        <v/>
      </c>
      <c r="F49" s="325">
        <f>IFERROR(INDEX('계좌현황'!F:F,INDEX($L$21:$L$97,MATCH(LARGE($N$21:$N$97,29),$N$21:$N$97,0))),"")</f>
        <v/>
      </c>
      <c r="G49" s="326">
        <f>IFERROR(INDEX('계좌현황'!K:K,INDEX($L$21:$L$97,MATCH(LARGE($N$21:$N$97,29),$N$21:$N$97,0))),0)</f>
        <v/>
      </c>
      <c r="H49" s="327">
        <f>IF($B$3=0,0,G49/$B$3)</f>
        <v/>
      </c>
      <c r="I49" s="327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1,363원/$  | 연간 합계 52,382,467원 · 월평균 4,365,206원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4095248.53</v>
      </c>
      <c r="C7" s="284" t="n">
        <v>0</v>
      </c>
      <c r="D7" s="284" t="n">
        <v>4095248.53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4217509.8</v>
      </c>
      <c r="C8" s="284" t="n">
        <v>0</v>
      </c>
      <c r="D8" s="284" t="n">
        <v>4217509.8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4598598.116</v>
      </c>
      <c r="C9" s="287" t="n">
        <v>35408</v>
      </c>
      <c r="D9" s="287" t="n">
        <v>4634006.116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4210722.619</v>
      </c>
      <c r="C10" s="287" t="n">
        <v>5104</v>
      </c>
      <c r="D10" s="287" t="n">
        <v>4215826.619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4290758.709000001</v>
      </c>
      <c r="C11" s="284" t="n">
        <v>0</v>
      </c>
      <c r="D11" s="284" t="n">
        <v>4290758.709000001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4331675.74</v>
      </c>
      <c r="C12" s="287" t="n">
        <v>35492</v>
      </c>
      <c r="D12" s="287" t="n">
        <v>4367167.74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4348628.769</v>
      </c>
      <c r="C13" s="284" t="n">
        <v>0</v>
      </c>
      <c r="D13" s="284" t="n">
        <v>4348628.769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4213572.364</v>
      </c>
      <c r="C14" s="284" t="n">
        <v>0</v>
      </c>
      <c r="D14" s="284" t="n">
        <v>4213572.364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1433334.385</v>
      </c>
      <c r="C15" s="287" t="n">
        <v>2866182.074</v>
      </c>
      <c r="D15" s="287" t="n">
        <v>4299516.459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4090445.052</v>
      </c>
      <c r="D16" s="293" t="n">
        <v>4090445.052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4375085.248</v>
      </c>
      <c r="D17" s="293" t="n">
        <v>4375085.248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5234701.606000001</v>
      </c>
      <c r="D18" s="293" t="n">
        <v>5234701.606000001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0.1049</v>
      </c>
      <c r="F24" s="308" t="n">
        <v>161820620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0.102</v>
      </c>
      <c r="F25" s="308" t="n">
        <v>69403550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0.1584</v>
      </c>
      <c r="F26" s="308" t="n">
        <v>28238760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0.1504</v>
      </c>
      <c r="F27" s="308" t="n">
        <v>26500530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0.1242</v>
      </c>
      <c r="F28" s="308" t="n">
        <v>28425000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0.1389</v>
      </c>
      <c r="F29" s="308" t="n">
        <v>21741300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0.153</v>
      </c>
      <c r="F30" s="308" t="n">
        <v>12482730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0.0934</v>
      </c>
      <c r="F31" s="308" t="n">
        <v>20310000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0.0728</v>
      </c>
      <c r="F32" s="308" t="n">
        <v>21140000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0.031</v>
      </c>
      <c r="F33" s="308" t="n">
        <v>40617230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0.1134</v>
      </c>
      <c r="F34" s="308" t="n">
        <v>10632040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0.1352</v>
      </c>
      <c r="F35" s="308" t="n">
        <v>7310400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27791100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0.0308</v>
      </c>
      <c r="F37" s="308" t="n">
        <v>17582600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0.1051</v>
      </c>
      <c r="F38" s="308" t="n">
        <v>4915125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1363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19504.53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3189.42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1403.89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1690.12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2426.14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2480.66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19504.53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5561.04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5588.299999999999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1303.028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2480.66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8406.984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26067.375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19576.769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1363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12198.85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19576.769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3312.09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1690.12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1403.89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2426.14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2480.66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19576.769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5561.04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5588.299999999999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1363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1301.665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12198.85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11640.02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8276.136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19576.769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1363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19576.769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3312.09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1690.12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11837.655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1403.89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2426.14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2480.66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5561.04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19576.769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5588.299999999999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19215.574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1363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1508.841</v>
      </c>
      <c r="H266" s="283" t="inlineStr">
        <is>
          <t>실적</t>
        </is>
      </c>
    </row>
    <row r="267">
      <c r="A267" s="348" t="n">
        <v>46288</v>
      </c>
      <c r="B267" s="283" t="n">
        <v>9</v>
      </c>
      <c r="C267" s="283" t="inlineStr">
        <is>
          <t>QLD</t>
        </is>
      </c>
      <c r="D267" s="283" t="inlineStr">
        <is>
          <t>QLD</t>
        </is>
      </c>
      <c r="E267" s="284" t="n"/>
      <c r="F267" s="345" t="n">
        <v>3.78</v>
      </c>
      <c r="G267" s="284" t="n">
        <v>5152.139999999999</v>
      </c>
      <c r="H267" s="283" t="inlineStr">
        <is>
          <t>실적</t>
        </is>
      </c>
    </row>
    <row r="268">
      <c r="A268" s="348" t="n">
        <v>46288</v>
      </c>
      <c r="B268" s="283" t="n">
        <v>9</v>
      </c>
      <c r="C268" s="283" t="inlineStr">
        <is>
          <t>SCHD</t>
        </is>
      </c>
      <c r="D268" s="283" t="inlineStr">
        <is>
          <t>SCHD</t>
        </is>
      </c>
      <c r="E268" s="284" t="n"/>
      <c r="F268" s="345" t="n">
        <v>6.408</v>
      </c>
      <c r="G268" s="284" t="n">
        <v>8734.104000000001</v>
      </c>
      <c r="H268" s="283" t="inlineStr">
        <is>
          <t>실적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11585.5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11040.3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1226.7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19360.052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3128.085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19287.813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1676.49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1376.63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2276.21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2371.62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5179.4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5520.15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8881.308000000001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19287.813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5104.435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11312.9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2026-09-28T06:19:35Z</dcterms:modified>
  <cp:lastModifiedBy>Hyoyol Park</cp:lastModifiedBy>
</cp:coreProperties>
</file>