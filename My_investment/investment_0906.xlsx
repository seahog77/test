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￦1,344</t>
        </is>
      </c>
      <c r="J5" s="73" t="n">
        <v>1344.18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10155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9215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11280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14160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10290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6980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15060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10155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12792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21630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11505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25935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11940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10155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15060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18315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7290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112150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14820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6330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11895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174250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10855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9600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9490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272250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272250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20650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378.7300109863281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53.77000045776367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42.97000122070312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332.8900146484375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156400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99.83999633789062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99.83999633789062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8385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171.0899963378906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162.2599945068359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238.8999938964844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32.72000122070312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525.1799926757812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164.6399993896484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37.54000091552734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189.3999938964844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73.01999664306641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11.09000015258789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33.95999908447266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485.7999877929688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188.2200012207031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141.4400024414062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142.4799957275391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5.78000020980835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94.43000030517578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7.679999828338623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14210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35.97000122070312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15200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185055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21630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206.4700012207031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105.0699996948242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5" t="n">
        <v>23</v>
      </c>
      <c r="B43" s="295">
        <f>IFERROR(INDEX('계좌현황'!A:A,INDEX($L$21:$L$97,MATCH(LARGE($N$21:$N$97,23),$N$21:$N$97,0))),"")</f>
        <v/>
      </c>
      <c r="C43" s="295">
        <f>IFERROR(INDEX('계좌현황'!C:C,INDEX($L$21:$L$97,MATCH(LARGE($N$21:$N$97,23),$N$21:$N$97,0))),"")</f>
        <v/>
      </c>
      <c r="D43" s="295">
        <f>IFERROR(INDEX('계좌현황'!D:D,INDEX($L$21:$L$97,MATCH(LARGE($N$21:$N$97,23),$N$21:$N$97,0))),"")</f>
        <v/>
      </c>
      <c r="E43" s="295">
        <f>IFERROR(INDEX('계좌현황'!E:E,INDEX($L$21:$L$97,MATCH(LARGE($N$21:$N$97,23),$N$21:$N$97,0))),"")</f>
        <v/>
      </c>
      <c r="F43" s="322">
        <f>IFERROR(INDEX('계좌현황'!F:F,INDEX($L$21:$L$97,MATCH(LARGE($N$21:$N$97,23),$N$21:$N$97,0))),"")</f>
        <v/>
      </c>
      <c r="G43" s="323">
        <f>IFERROR(INDEX('계좌현황'!K:K,INDEX($L$21:$L$97,MATCH(LARGE($N$21:$N$97,23),$N$21:$N$97,0))),0)</f>
        <v/>
      </c>
      <c r="H43" s="324">
        <f>IF($B$3=0,0,G43/$B$3)</f>
        <v/>
      </c>
      <c r="I43" s="324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1,344원/$  | 연간 합계 53,624,872원 · 월평균 4,468,739원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4094957.64</v>
      </c>
      <c r="C7" s="287" t="n">
        <v>207240</v>
      </c>
      <c r="D7" s="287" t="n">
        <v>4302197.640000001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4217004.399999999</v>
      </c>
      <c r="C8" s="287" t="n">
        <v>207240</v>
      </c>
      <c r="D8" s="287" t="n">
        <v>4424244.399999999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4597714.008</v>
      </c>
      <c r="C9" s="287" t="n">
        <v>242648</v>
      </c>
      <c r="D9" s="287" t="n">
        <v>4840362.008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4210260.672</v>
      </c>
      <c r="C10" s="287" t="n">
        <v>212344</v>
      </c>
      <c r="D10" s="287" t="n">
        <v>4422604.672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4290250.592</v>
      </c>
      <c r="C11" s="287" t="n">
        <v>207240</v>
      </c>
      <c r="D11" s="287" t="n">
        <v>4497490.592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4330840.12</v>
      </c>
      <c r="C12" s="287" t="n">
        <v>242732</v>
      </c>
      <c r="D12" s="287" t="n">
        <v>4573572.12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4348336.872</v>
      </c>
      <c r="C13" s="284" t="n">
        <v>0</v>
      </c>
      <c r="D13" s="284" t="n">
        <v>4348336.872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4212899.232</v>
      </c>
      <c r="C14" s="284" t="n">
        <v>0</v>
      </c>
      <c r="D14" s="284" t="n">
        <v>4212899.232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4213999.784</v>
      </c>
      <c r="C15" s="287" t="n">
        <v>71724</v>
      </c>
      <c r="D15" s="287" t="n">
        <v>4285723.784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4096284.176</v>
      </c>
      <c r="D16" s="293" t="n">
        <v>4096284.176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4380873.223999999</v>
      </c>
      <c r="D17" s="293" t="n">
        <v>4380873.223999999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5240283.128</v>
      </c>
      <c r="D18" s="293" t="n">
        <v>5240283.128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0.1091</v>
      </c>
      <c r="F24" s="308" t="n">
        <v>155909715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</v>
      </c>
      <c r="F25" s="308" t="n">
        <v>69426600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0.1658</v>
      </c>
      <c r="F26" s="308" t="n">
        <v>26812560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0.1508</v>
      </c>
      <c r="F27" s="308" t="n">
        <v>26578440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0.1277</v>
      </c>
      <c r="F28" s="308" t="n">
        <v>27645000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0.1414</v>
      </c>
      <c r="F29" s="308" t="n">
        <v>21358800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0.2361</v>
      </c>
      <c r="F30" s="308" t="n">
        <v>10531560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0.1514</v>
      </c>
      <c r="F31" s="308" t="n">
        <v>12617150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0.0925</v>
      </c>
      <c r="F32" s="308" t="n">
        <v>20200000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0.07480000000000001</v>
      </c>
      <c r="F33" s="308" t="n">
        <v>20580000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0.0319</v>
      </c>
      <c r="F34" s="308" t="n">
        <v>39547350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0.1367</v>
      </c>
      <c r="F35" s="308" t="n">
        <v>6998400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27909360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0.0322</v>
      </c>
      <c r="F37" s="308" t="n">
        <v>17013360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0.1057</v>
      </c>
      <c r="F38" s="308" t="n">
        <v>4889625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1344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19232.64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3144.96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1384.32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1666.56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2392.32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2446.08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19232.64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5483.52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5510.4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1284.864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2446.08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8289.791999999999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25704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19303.872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1344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12028.8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19303.872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3265.92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1666.56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1384.32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2392.32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2446.08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19303.872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5483.52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5510.4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1344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1283.52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12028.8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11477.76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8160.768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19303.872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1344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19303.872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3265.92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1666.56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11672.64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1384.32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2392.32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2446.08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5483.52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19303.872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5510.4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1344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1487.808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5080.32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8612.352000000001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12028.8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19375.104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10886.4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1209.6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19090.176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3084.48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19018.944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1653.12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1357.44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2244.48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2338.56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5107.2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5443.2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8757.504000000001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19018.944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5033.28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11155.2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2026-10-06T06:15:16Z</dcterms:modified>
  <cp:lastModifiedBy>Hyoyol Park</cp:lastModifiedBy>
</cp:coreProperties>
</file>