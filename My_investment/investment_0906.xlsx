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￦1,352</t>
        </is>
      </c>
      <c r="J5" s="73" t="n">
        <v>1351.58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10260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10465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9290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11290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14040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10385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7025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4050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27465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14960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10265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12905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21560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11470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31600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25850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11750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10260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14970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17685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7410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111800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15050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6375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12220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172700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10255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9740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9485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275000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275000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20800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354.1099853515625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53.52999877929688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43.9900016784668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330.3200073242188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154700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96.23999786376953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96.23999786376953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167000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8435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148.0700073242188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161.0599975585938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230.8600006103516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32.65999984741211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512.7999877929688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161.7299957275391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37.40000152587891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190.0399932861328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70.45999908447266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11.10999965667725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35.15000152587891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459.2000122070312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189.2899932861328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139.1100006103516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138.0700073242188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5.960000038146973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94.87999725341797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7.789999961853027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14330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36.13999938964844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15200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183685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31435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21560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207.1000061035156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163.8200073242188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104.2600021362305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3" t="n">
        <v>12</v>
      </c>
      <c r="B32" s="283">
        <f>IFERROR(INDEX('계좌현황'!A:A,INDEX($L$21:$L$97,MATCH(LARGE($N$21:$N$97,12),$N$21:$N$97,0))),"")</f>
        <v/>
      </c>
      <c r="C32" s="283">
        <f>IFERROR(INDEX('계좌현황'!C:C,INDEX($L$21:$L$97,MATCH(LARGE($N$21:$N$97,12),$N$21:$N$97,0))),"")</f>
        <v/>
      </c>
      <c r="D32" s="283">
        <f>IFERROR(INDEX('계좌현황'!D:D,INDEX($L$21:$L$97,MATCH(LARGE($N$21:$N$97,12),$N$21:$N$97,0))),"")</f>
        <v/>
      </c>
      <c r="E32" s="283">
        <f>IFERROR(INDEX('계좌현황'!E:E,INDEX($L$21:$L$97,MATCH(LARGE($N$21:$N$97,12),$N$21:$N$97,0))),"")</f>
        <v/>
      </c>
      <c r="F32" s="313">
        <f>IFERROR(INDEX('계좌현황'!F:F,INDEX($L$21:$L$97,MATCH(LARGE($N$21:$N$97,12),$N$21:$N$97,0))),"")</f>
        <v/>
      </c>
      <c r="G32" s="314">
        <f>IFERROR(INDEX('계좌현황'!K:K,INDEX($L$21:$L$97,MATCH(LARGE($N$21:$N$97,12),$N$21:$N$97,0))),0)</f>
        <v/>
      </c>
      <c r="H32" s="315">
        <f>IF($B$3=0,0,G32/$B$3)</f>
        <v/>
      </c>
      <c r="I32" s="315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1,352원/$  | 연간 합계 53,627,751원 · 월평균 4,468,979원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4095080.12</v>
      </c>
      <c r="C7" s="287" t="n">
        <v>207240</v>
      </c>
      <c r="D7" s="287" t="n">
        <v>4302320.12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4217217.2</v>
      </c>
      <c r="C8" s="287" t="n">
        <v>207240</v>
      </c>
      <c r="D8" s="287" t="n">
        <v>4424457.2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4598086.264</v>
      </c>
      <c r="C9" s="287" t="n">
        <v>242648</v>
      </c>
      <c r="D9" s="287" t="n">
        <v>4840734.264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4210455.176</v>
      </c>
      <c r="C10" s="287" t="n">
        <v>212344</v>
      </c>
      <c r="D10" s="287" t="n">
        <v>4422799.176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4290464.535999999</v>
      </c>
      <c r="C11" s="287" t="n">
        <v>207240</v>
      </c>
      <c r="D11" s="287" t="n">
        <v>4497704.535999999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4331191.96</v>
      </c>
      <c r="C12" s="287" t="n">
        <v>242732</v>
      </c>
      <c r="D12" s="287" t="n">
        <v>4573923.96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4348459.776</v>
      </c>
      <c r="C13" s="284" t="n">
        <v>0</v>
      </c>
      <c r="D13" s="284" t="n">
        <v>4348459.776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4213182.655999999</v>
      </c>
      <c r="C14" s="284" t="n">
        <v>0</v>
      </c>
      <c r="D14" s="284" t="n">
        <v>4213182.655999999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4214317.872</v>
      </c>
      <c r="C15" s="287" t="n">
        <v>71724</v>
      </c>
      <c r="D15" s="287" t="n">
        <v>4286041.872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4096469.808</v>
      </c>
      <c r="D16" s="293" t="n">
        <v>4096469.808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4381080.392</v>
      </c>
      <c r="D17" s="293" t="n">
        <v>4381080.392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5240577.223999999</v>
      </c>
      <c r="D18" s="293" t="n">
        <v>5240577.223999999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0.108</v>
      </c>
      <c r="F24" s="308" t="n">
        <v>157542055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0.1027</v>
      </c>
      <c r="F25" s="308" t="n">
        <v>68979100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0.1656</v>
      </c>
      <c r="F26" s="308" t="n">
        <v>26836330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0.1533</v>
      </c>
      <c r="F27" s="308" t="n">
        <v>26155500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0.1267</v>
      </c>
      <c r="F28" s="308" t="n">
        <v>27870000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0.1405</v>
      </c>
      <c r="F29" s="308" t="n">
        <v>21496500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0.2347</v>
      </c>
      <c r="F30" s="308" t="n">
        <v>10594360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0.1503</v>
      </c>
      <c r="F31" s="308" t="n">
        <v>12708800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0.0922</v>
      </c>
      <c r="F32" s="308" t="n">
        <v>20250000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0.0741</v>
      </c>
      <c r="F33" s="308" t="n">
        <v>20770000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0.0315</v>
      </c>
      <c r="F34" s="308" t="n">
        <v>39986765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0.1345</v>
      </c>
      <c r="F35" s="308" t="n">
        <v>7113600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27672840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0.0319</v>
      </c>
      <c r="F37" s="308" t="n">
        <v>17163650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</v>
      </c>
      <c r="F38" s="308" t="n">
        <v>4874750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1352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19347.12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3163.68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1392.56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1676.48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2406.56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2460.64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19347.12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5516.16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5543.2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1292.512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2460.64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8339.136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25857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19418.776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1352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12100.4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19418.776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3285.36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1676.48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1392.56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2406.56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2460.64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19418.776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5516.16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5543.2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1352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1291.16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12100.4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11546.08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8209.344000000001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19418.776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1352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19418.776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3285.36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1676.48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11742.12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1392.56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2406.56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2460.64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5516.16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19418.776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5543.2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1352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1496.664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5110.559999999999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8663.616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12100.4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19490.432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10951.2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1216.8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19203.808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3102.84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19132.152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1662.96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1365.52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2257.84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2352.48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5137.599999999999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5475.599999999999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8809.632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19132.152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5063.24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11221.6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2026-10-02T06:02:50Z</dcterms:modified>
  <cp:lastModifiedBy>Hyoyol Park</cp:lastModifiedBy>
</cp:coreProperties>
</file>