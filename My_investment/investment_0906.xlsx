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￦1,339</t>
        </is>
      </c>
      <c r="J5" s="73" t="n">
        <v>1338.98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10160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10375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9225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11350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14175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10305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6995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27730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15090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10155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12820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21715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11540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31880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26030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11990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10160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15090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18305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7285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111200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14870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6335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11980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172000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10640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9640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9580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279250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279250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20775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380.6799926757812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54.25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43.29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333.6300048828125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20150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163600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100.7699966430664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100.7699966430664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168200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8440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171.92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164.7799987792969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239.2400054931641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32.84999847412109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529.2999877929688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165.9299926757812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37.52999877929688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192.07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75.06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11.24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34.61000061035156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482.2999877929688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185.74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153.8800048828125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144.7700042724609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5.78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96.11000061035156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8.02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14260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38.55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15195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185390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31955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21705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207.5800018310547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164.4799957275391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107.1999969482422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5" t="n">
        <v>22</v>
      </c>
      <c r="B42" s="295">
        <f>IFERROR(INDEX('계좌현황'!A:A,INDEX($L$21:$L$97,MATCH(LARGE($N$21:$N$97,22),$N$21:$N$97,0))),"")</f>
        <v/>
      </c>
      <c r="C42" s="295">
        <f>IFERROR(INDEX('계좌현황'!C:C,INDEX($L$21:$L$97,MATCH(LARGE($N$21:$N$97,22),$N$21:$N$97,0))),"")</f>
        <v/>
      </c>
      <c r="D42" s="295">
        <f>IFERROR(INDEX('계좌현황'!D:D,INDEX($L$21:$L$97,MATCH(LARGE($N$21:$N$97,22),$N$21:$N$97,0))),"")</f>
        <v/>
      </c>
      <c r="E42" s="295">
        <f>IFERROR(INDEX('계좌현황'!E:E,INDEX($L$21:$L$97,MATCH(LARGE($N$21:$N$97,22),$N$21:$N$97,0))),"")</f>
        <v/>
      </c>
      <c r="F42" s="322">
        <f>IFERROR(INDEX('계좌현황'!F:F,INDEX($L$21:$L$97,MATCH(LARGE($N$21:$N$97,22),$N$21:$N$97,0))),"")</f>
        <v/>
      </c>
      <c r="G42" s="323">
        <f>IFERROR(INDEX('계좌현황'!K:K,INDEX($L$21:$L$97,MATCH(LARGE($N$21:$N$97,22),$N$21:$N$97,0))),0)</f>
        <v/>
      </c>
      <c r="H42" s="324">
        <f>IF($B$3=0,0,G42/$B$3)</f>
        <v/>
      </c>
      <c r="I42" s="324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1" t="n">
        <v>25</v>
      </c>
      <c r="B45" s="301">
        <f>IFERROR(INDEX('계좌현황'!A:A,INDEX($L$21:$L$97,MATCH(LARGE($N$21:$N$97,25),$N$21:$N$97,0))),"")</f>
        <v/>
      </c>
      <c r="C45" s="301">
        <f>IFERROR(INDEX('계좌현황'!C:C,INDEX($L$21:$L$97,MATCH(LARGE($N$21:$N$97,25),$N$21:$N$97,0))),"")</f>
        <v/>
      </c>
      <c r="D45" s="301">
        <f>IFERROR(INDEX('계좌현황'!D:D,INDEX($L$21:$L$97,MATCH(LARGE($N$21:$N$97,25),$N$21:$N$97,0))),"")</f>
        <v/>
      </c>
      <c r="E45" s="301">
        <f>IFERROR(INDEX('계좌현황'!E:E,INDEX($L$21:$L$97,MATCH(LARGE($N$21:$N$97,25),$N$21:$N$97,0))),"")</f>
        <v/>
      </c>
      <c r="F45" s="325">
        <f>IFERROR(INDEX('계좌현황'!F:F,INDEX($L$21:$L$97,MATCH(LARGE($N$21:$N$97,25),$N$21:$N$97,0))),"")</f>
        <v/>
      </c>
      <c r="G45" s="326">
        <f>IFERROR(INDEX('계좌현황'!K:K,INDEX($L$21:$L$97,MATCH(LARGE($N$21:$N$97,25),$N$21:$N$97,0))),0)</f>
        <v/>
      </c>
      <c r="H45" s="327">
        <f>IF($B$3=0,0,G45/$B$3)</f>
        <v/>
      </c>
      <c r="I45" s="327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1,339원/$  | 연간 합계 53,623,072원 · 월평균 4,468,589원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4094881.09</v>
      </c>
      <c r="C7" s="287" t="n">
        <v>207240</v>
      </c>
      <c r="D7" s="287" t="n">
        <v>4302121.09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4216871.4</v>
      </c>
      <c r="C8" s="287" t="n">
        <v>207240</v>
      </c>
      <c r="D8" s="287" t="n">
        <v>4424111.4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4597481.348</v>
      </c>
      <c r="C9" s="287" t="n">
        <v>242648</v>
      </c>
      <c r="D9" s="287" t="n">
        <v>4840129.348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4210139.107</v>
      </c>
      <c r="C10" s="287" t="n">
        <v>212344</v>
      </c>
      <c r="D10" s="287" t="n">
        <v>4422483.107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4290116.877</v>
      </c>
      <c r="C11" s="287" t="n">
        <v>207240</v>
      </c>
      <c r="D11" s="287" t="n">
        <v>4497356.877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4330620.220000001</v>
      </c>
      <c r="C12" s="287" t="n">
        <v>242732</v>
      </c>
      <c r="D12" s="287" t="n">
        <v>4573352.220000001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4348260.057</v>
      </c>
      <c r="C13" s="284" t="n">
        <v>0</v>
      </c>
      <c r="D13" s="284" t="n">
        <v>4348260.057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4212722.092</v>
      </c>
      <c r="C14" s="284" t="n">
        <v>0</v>
      </c>
      <c r="D14" s="284" t="n">
        <v>4212722.092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4213800.979</v>
      </c>
      <c r="C15" s="287" t="n">
        <v>71724</v>
      </c>
      <c r="D15" s="287" t="n">
        <v>4285524.979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4096168.156</v>
      </c>
      <c r="D16" s="293" t="n">
        <v>4096168.156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4380743.744</v>
      </c>
      <c r="D17" s="293" t="n">
        <v>4380743.744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5240099.318</v>
      </c>
      <c r="D18" s="293" t="n">
        <v>5240099.318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0.1091</v>
      </c>
      <c r="F24" s="308" t="n">
        <v>155966205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0.1018</v>
      </c>
      <c r="F25" s="308" t="n">
        <v>69564900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0.1648</v>
      </c>
      <c r="F26" s="308" t="n">
        <v>26978950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0.1502</v>
      </c>
      <c r="F27" s="308" t="n">
        <v>26689740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0.1276</v>
      </c>
      <c r="F28" s="308" t="n">
        <v>27675000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0.1411</v>
      </c>
      <c r="F29" s="308" t="n">
        <v>21404700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0.2346</v>
      </c>
      <c r="F30" s="308" t="n">
        <v>10600640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0.1505</v>
      </c>
      <c r="F31" s="308" t="n">
        <v>12693525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0.0925</v>
      </c>
      <c r="F32" s="308" t="n">
        <v>20185000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0.0747</v>
      </c>
      <c r="F33" s="308" t="n">
        <v>20610000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0.0318</v>
      </c>
      <c r="F34" s="308" t="n">
        <v>39642875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0.1368</v>
      </c>
      <c r="F35" s="308" t="n">
        <v>6993600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0.0205</v>
      </c>
      <c r="F36" s="308" t="n">
        <v>27938925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0.0321</v>
      </c>
      <c r="F37" s="308" t="n">
        <v>17050600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0.1054</v>
      </c>
      <c r="F38" s="308" t="n">
        <v>4904500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1339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19161.09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3133.26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1379.17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1660.36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2383.42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2436.98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19161.09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5463.12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5489.9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1280.084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2436.98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8258.951999999999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25608.375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19232.057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1339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11984.05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19232.057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3253.77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1660.36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1379.17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2383.42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2436.98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19232.057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5463.12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5489.9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1339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1278.745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11984.05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11435.06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8130.408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19232.057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1339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19232.057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3253.77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1660.36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11629.215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1379.17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2383.42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2436.98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5463.12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19232.057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5489.9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1339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1482.273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5061.42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8580.312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11984.05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19303.024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10845.9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1205.1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19019.156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3073.005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18948.189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1646.97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1352.39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2236.13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2329.86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5088.2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5422.95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8724.924000000001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18948.189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5014.555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11113.7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2026-10-07T01:04:10Z</dcterms:modified>
  <cp:lastModifiedBy>Hyoyol Park</cp:lastModifiedBy>
</cp:coreProperties>
</file>