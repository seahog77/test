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￦1,339</t>
        </is>
      </c>
      <c r="J5" s="73" t="n">
        <v>1339.4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10070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10305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9125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11075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14130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10310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6970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27525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15080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10070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12680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21565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11460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31640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25865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11910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10070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15080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18060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7240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106800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14430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6300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11845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166800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10945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9750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9480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262000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262000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19805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375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54.16999816894531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39.45000076293945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340.4200134277344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19750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163900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97.54000091552734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97.54000091552734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162800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8090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160.5700073242188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166.7299957275391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230.4799957275391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33.15000152587891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522.6099853515625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171.3099975585938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38.18000030517578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198.7799987792969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68.40000152587891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11.34000015258789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34.7400016784668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457.989990234375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172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142.0899963378906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135.6900024414062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5.75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93.20999908447266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7.320000171661377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14100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34.56999969482422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15130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184090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31815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21565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211.5500030517578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168.5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110.5599975585938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2" t="n">
        <v>7</v>
      </c>
      <c r="B27" s="292">
        <f>IFERROR(INDEX('계좌현황'!A:A,INDEX($L$21:$L$97,MATCH(LARGE($N$21:$N$97,7),$N$21:$N$97,0))),"")</f>
        <v/>
      </c>
      <c r="C27" s="292">
        <f>IFERROR(INDEX('계좌현황'!C:C,INDEX($L$21:$L$97,MATCH(LARGE($N$21:$N$97,7),$N$21:$N$97,0))),"")</f>
        <v/>
      </c>
      <c r="D27" s="292">
        <f>IFERROR(INDEX('계좌현황'!D:D,INDEX($L$21:$L$97,MATCH(LARGE($N$21:$N$97,7),$N$21:$N$97,0))),"")</f>
        <v/>
      </c>
      <c r="E27" s="292">
        <f>IFERROR(INDEX('계좌현황'!E:E,INDEX($L$21:$L$97,MATCH(LARGE($N$21:$N$97,7),$N$21:$N$97,0))),"")</f>
        <v/>
      </c>
      <c r="F27" s="319">
        <f>IFERROR(INDEX('계좌현황'!F:F,INDEX($L$21:$L$97,MATCH(LARGE($N$21:$N$97,7),$N$21:$N$97,0))),"")</f>
        <v/>
      </c>
      <c r="G27" s="320">
        <f>IFERROR(INDEX('계좌현황'!K:K,INDEX($L$21:$L$97,MATCH(LARGE($N$21:$N$97,7),$N$21:$N$97,0))),0)</f>
        <v/>
      </c>
      <c r="H27" s="321">
        <f>IF($B$3=0,0,G27/$B$3)</f>
        <v/>
      </c>
      <c r="I27" s="321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3" t="n">
        <v>8</v>
      </c>
      <c r="B28" s="283">
        <f>IFERROR(INDEX('계좌현황'!A:A,INDEX($L$21:$L$97,MATCH(LARGE($N$21:$N$97,8),$N$21:$N$97,0))),"")</f>
        <v/>
      </c>
      <c r="C28" s="283">
        <f>IFERROR(INDEX('계좌현황'!C:C,INDEX($L$21:$L$97,MATCH(LARGE($N$21:$N$97,8),$N$21:$N$97,0))),"")</f>
        <v/>
      </c>
      <c r="D28" s="283">
        <f>IFERROR(INDEX('계좌현황'!D:D,INDEX($L$21:$L$97,MATCH(LARGE($N$21:$N$97,8),$N$21:$N$97,0))),"")</f>
        <v/>
      </c>
      <c r="E28" s="283">
        <f>IFERROR(INDEX('계좌현황'!E:E,INDEX($L$21:$L$97,MATCH(LARGE($N$21:$N$97,8),$N$21:$N$97,0))),"")</f>
        <v/>
      </c>
      <c r="F28" s="313">
        <f>IFERROR(INDEX('계좌현황'!F:F,INDEX($L$21:$L$97,MATCH(LARGE($N$21:$N$97,8),$N$21:$N$97,0))),"")</f>
        <v/>
      </c>
      <c r="G28" s="314">
        <f>IFERROR(INDEX('계좌현황'!K:K,INDEX($L$21:$L$97,MATCH(LARGE($N$21:$N$97,8),$N$21:$N$97,0))),0)</f>
        <v/>
      </c>
      <c r="H28" s="315">
        <f>IF($B$3=0,0,G28/$B$3)</f>
        <v/>
      </c>
      <c r="I28" s="315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83" t="n">
        <v>17</v>
      </c>
      <c r="B37" s="283">
        <f>IFERROR(INDEX('계좌현황'!A:A,INDEX($L$21:$L$97,MATCH(LARGE($N$21:$N$97,17),$N$21:$N$97,0))),"")</f>
        <v/>
      </c>
      <c r="C37" s="283">
        <f>IFERROR(INDEX('계좌현황'!C:C,INDEX($L$21:$L$97,MATCH(LARGE($N$21:$N$97,17),$N$21:$N$97,0))),"")</f>
        <v/>
      </c>
      <c r="D37" s="283">
        <f>IFERROR(INDEX('계좌현황'!D:D,INDEX($L$21:$L$97,MATCH(LARGE($N$21:$N$97,17),$N$21:$N$97,0))),"")</f>
        <v/>
      </c>
      <c r="E37" s="283">
        <f>IFERROR(INDEX('계좌현황'!E:E,INDEX($L$21:$L$97,MATCH(LARGE($N$21:$N$97,17),$N$21:$N$97,0))),"")</f>
        <v/>
      </c>
      <c r="F37" s="313">
        <f>IFERROR(INDEX('계좌현황'!F:F,INDEX($L$21:$L$97,MATCH(LARGE($N$21:$N$97,17),$N$21:$N$97,0))),"")</f>
        <v/>
      </c>
      <c r="G37" s="314">
        <f>IFERROR(INDEX('계좌현황'!K:K,INDEX($L$21:$L$97,MATCH(LARGE($N$21:$N$97,17),$N$21:$N$97,0))),0)</f>
        <v/>
      </c>
      <c r="H37" s="315">
        <f>IF($B$3=0,0,G37/$B$3)</f>
        <v/>
      </c>
      <c r="I37" s="315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1" t="n">
        <v>22</v>
      </c>
      <c r="B42" s="301">
        <f>IFERROR(INDEX('계좌현황'!A:A,INDEX($L$21:$L$97,MATCH(LARGE($N$21:$N$97,22),$N$21:$N$97,0))),"")</f>
        <v/>
      </c>
      <c r="C42" s="301">
        <f>IFERROR(INDEX('계좌현황'!C:C,INDEX($L$21:$L$97,MATCH(LARGE($N$21:$N$97,22),$N$21:$N$97,0))),"")</f>
        <v/>
      </c>
      <c r="D42" s="301">
        <f>IFERROR(INDEX('계좌현황'!D:D,INDEX($L$21:$L$97,MATCH(LARGE($N$21:$N$97,22),$N$21:$N$97,0))),"")</f>
        <v/>
      </c>
      <c r="E42" s="301">
        <f>IFERROR(INDEX('계좌현황'!E:E,INDEX($L$21:$L$97,MATCH(LARGE($N$21:$N$97,22),$N$21:$N$97,0))),"")</f>
        <v/>
      </c>
      <c r="F42" s="325">
        <f>IFERROR(INDEX('계좌현황'!F:F,INDEX($L$21:$L$97,MATCH(LARGE($N$21:$N$97,22),$N$21:$N$97,0))),"")</f>
        <v/>
      </c>
      <c r="G42" s="326">
        <f>IFERROR(INDEX('계좌현황'!K:K,INDEX($L$21:$L$97,MATCH(LARGE($N$21:$N$97,22),$N$21:$N$97,0))),0)</f>
        <v/>
      </c>
      <c r="H42" s="327">
        <f>IF($B$3=0,0,G42/$B$3)</f>
        <v/>
      </c>
      <c r="I42" s="327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5" t="n">
        <v>25</v>
      </c>
      <c r="B45" s="295">
        <f>IFERROR(INDEX('계좌현황'!A:A,INDEX($L$21:$L$97,MATCH(LARGE($N$21:$N$97,25),$N$21:$N$97,0))),"")</f>
        <v/>
      </c>
      <c r="C45" s="295">
        <f>IFERROR(INDEX('계좌현황'!C:C,INDEX($L$21:$L$97,MATCH(LARGE($N$21:$N$97,25),$N$21:$N$97,0))),"")</f>
        <v/>
      </c>
      <c r="D45" s="295">
        <f>IFERROR(INDEX('계좌현황'!D:D,INDEX($L$21:$L$97,MATCH(LARGE($N$21:$N$97,25),$N$21:$N$97,0))),"")</f>
        <v/>
      </c>
      <c r="E45" s="295">
        <f>IFERROR(INDEX('계좌현황'!E:E,INDEX($L$21:$L$97,MATCH(LARGE($N$21:$N$97,25),$N$21:$N$97,0))),"")</f>
        <v/>
      </c>
      <c r="F45" s="322">
        <f>IFERROR(INDEX('계좌현황'!F:F,INDEX($L$21:$L$97,MATCH(LARGE($N$21:$N$97,25),$N$21:$N$97,0))),"")</f>
        <v/>
      </c>
      <c r="G45" s="323">
        <f>IFERROR(INDEX('계좌현황'!K:K,INDEX($L$21:$L$97,MATCH(LARGE($N$21:$N$97,25),$N$21:$N$97,0))),0)</f>
        <v/>
      </c>
      <c r="H45" s="324">
        <f>IF($B$3=0,0,G45/$B$3)</f>
        <v/>
      </c>
      <c r="I45" s="324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307" t="n">
        <v>69</v>
      </c>
      <c r="B89" s="307">
        <f>IFERROR(INDEX('계좌현황'!A:A,INDEX($L$21:$L$97,MATCH(LARGE($N$21:$N$97,69),$N$21:$N$97,0))),"")</f>
        <v/>
      </c>
      <c r="C89" s="307">
        <f>IFERROR(INDEX('계좌현황'!C:C,INDEX($L$21:$L$97,MATCH(LARGE($N$21:$N$97,69),$N$21:$N$97,0))),"")</f>
        <v/>
      </c>
      <c r="D89" s="307">
        <f>IFERROR(INDEX('계좌현황'!D:D,INDEX($L$21:$L$97,MATCH(LARGE($N$21:$N$97,69),$N$21:$N$97,0))),"")</f>
        <v/>
      </c>
      <c r="E89" s="307">
        <f>IFERROR(INDEX('계좌현황'!E:E,INDEX($L$21:$L$97,MATCH(LARGE($N$21:$N$97,69),$N$21:$N$97,0))),"")</f>
        <v/>
      </c>
      <c r="F89" s="331">
        <f>IFERROR(INDEX('계좌현황'!F:F,INDEX($L$21:$L$97,MATCH(LARGE($N$21:$N$97,69),$N$21:$N$97,0))),"")</f>
        <v/>
      </c>
      <c r="G89" s="332">
        <f>IFERROR(INDEX('계좌현황'!K:K,INDEX($L$21:$L$97,MATCH(LARGE($N$21:$N$97,69),$N$21:$N$97,0))),0)</f>
        <v/>
      </c>
      <c r="H89" s="333">
        <f>IF($B$3=0,0,G89/$B$3)</f>
        <v/>
      </c>
      <c r="I89" s="33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5" t="n">
        <v>70</v>
      </c>
      <c r="B90" s="295">
        <f>IFERROR(INDEX('계좌현황'!A:A,INDEX($L$21:$L$97,MATCH(LARGE($N$21:$N$97,70),$N$21:$N$97,0))),"")</f>
        <v/>
      </c>
      <c r="C90" s="295">
        <f>IFERROR(INDEX('계좌현황'!C:C,INDEX($L$21:$L$97,MATCH(LARGE($N$21:$N$97,70),$N$21:$N$97,0))),"")</f>
        <v/>
      </c>
      <c r="D90" s="295">
        <f>IFERROR(INDEX('계좌현황'!D:D,INDEX($L$21:$L$97,MATCH(LARGE($N$21:$N$97,70),$N$21:$N$97,0))),"")</f>
        <v/>
      </c>
      <c r="E90" s="295">
        <f>IFERROR(INDEX('계좌현황'!E:E,INDEX($L$21:$L$97,MATCH(LARGE($N$21:$N$97,70),$N$21:$N$97,0))),"")</f>
        <v/>
      </c>
      <c r="F90" s="322">
        <f>IFERROR(INDEX('계좌현황'!F:F,INDEX($L$21:$L$97,MATCH(LARGE($N$21:$N$97,70),$N$21:$N$97,0))),"")</f>
        <v/>
      </c>
      <c r="G90" s="323">
        <f>IFERROR(INDEX('계좌현황'!K:K,INDEX($L$21:$L$97,MATCH(LARGE($N$21:$N$97,70),$N$21:$N$97,0))),0)</f>
        <v/>
      </c>
      <c r="H90" s="324">
        <f>IF($B$3=0,0,G90/$B$3)</f>
        <v/>
      </c>
      <c r="I90" s="324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1,339원/$  | 연간 합계 53,623,072원 · 월평균 4,468,589원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4094881.09</v>
      </c>
      <c r="C7" s="287" t="n">
        <v>207240</v>
      </c>
      <c r="D7" s="287" t="n">
        <v>4302121.09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4216871.4</v>
      </c>
      <c r="C8" s="287" t="n">
        <v>207240</v>
      </c>
      <c r="D8" s="287" t="n">
        <v>4424111.4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4597481.348</v>
      </c>
      <c r="C9" s="287" t="n">
        <v>242648</v>
      </c>
      <c r="D9" s="287" t="n">
        <v>4840129.348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4210139.107</v>
      </c>
      <c r="C10" s="287" t="n">
        <v>212344</v>
      </c>
      <c r="D10" s="287" t="n">
        <v>4422483.107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4290116.877</v>
      </c>
      <c r="C11" s="287" t="n">
        <v>207240</v>
      </c>
      <c r="D11" s="287" t="n">
        <v>4497356.877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4330620.220000001</v>
      </c>
      <c r="C12" s="287" t="n">
        <v>242732</v>
      </c>
      <c r="D12" s="287" t="n">
        <v>4573352.220000001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4348260.057</v>
      </c>
      <c r="C13" s="284" t="n">
        <v>0</v>
      </c>
      <c r="D13" s="284" t="n">
        <v>4348260.057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4212722.092</v>
      </c>
      <c r="C14" s="284" t="n">
        <v>0</v>
      </c>
      <c r="D14" s="284" t="n">
        <v>4212722.092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4213800.979</v>
      </c>
      <c r="C15" s="287" t="n">
        <v>71724</v>
      </c>
      <c r="D15" s="287" t="n">
        <v>4285524.979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4096168.156</v>
      </c>
      <c r="D16" s="293" t="n">
        <v>4096168.156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4380743.744</v>
      </c>
      <c r="D17" s="293" t="n">
        <v>4380743.744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5240099.318</v>
      </c>
      <c r="D18" s="293" t="n">
        <v>5240099.318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0.11</v>
      </c>
      <c r="F24" s="308" t="n">
        <v>154604710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0.1019</v>
      </c>
      <c r="F25" s="308" t="n">
        <v>69518800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0.1688</v>
      </c>
      <c r="F26" s="308" t="n">
        <v>26325275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0.1512</v>
      </c>
      <c r="F27" s="308" t="n">
        <v>26511660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0.129</v>
      </c>
      <c r="F28" s="308" t="n">
        <v>27375000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0.1416</v>
      </c>
      <c r="F29" s="308" t="n">
        <v>21328200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0.2447</v>
      </c>
      <c r="F30" s="308" t="n">
        <v>10161040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0.1578</v>
      </c>
      <c r="F31" s="308" t="n">
        <v>12100855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0.0926</v>
      </c>
      <c r="F32" s="308" t="n">
        <v>20175000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0.0746</v>
      </c>
      <c r="F33" s="308" t="n">
        <v>20620000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0.032</v>
      </c>
      <c r="F34" s="308" t="n">
        <v>39375405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0.1376</v>
      </c>
      <c r="F35" s="308" t="n">
        <v>6950400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27850230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0.0325</v>
      </c>
      <c r="F37" s="308" t="n">
        <v>16864400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0.1061</v>
      </c>
      <c r="F38" s="308" t="n">
        <v>4870500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1339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19161.09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3133.26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1379.17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1660.36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2383.42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2436.98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19161.09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5463.12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5489.9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1280.084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2436.98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8258.951999999999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25608.375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19232.057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1339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11984.05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19232.057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3253.77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1660.36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1379.17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2383.42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2436.98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19232.057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5463.12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5489.9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1339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1278.745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11984.05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11435.06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8130.408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19232.057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1339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19232.057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3253.77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1660.36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11629.215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1379.17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2383.42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2436.98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5463.12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19232.057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5489.9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1339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1482.273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5061.42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8580.312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11984.05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19303.024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10845.9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1205.1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19019.156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3073.005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18948.189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1646.97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1352.39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2236.13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2329.86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5088.2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5422.95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8724.924000000001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18948.189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5014.555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11113.7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2026-10-09T06:02:57Z</dcterms:modified>
  <cp:lastModifiedBy>Hyoyol Park</cp:lastModifiedBy>
</cp:coreProperties>
</file>