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'월별배당'!$A$43:$H$371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￦1,338</t>
        </is>
      </c>
      <c r="J5" s="73" t="n">
        <v>1337.58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10080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10305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9140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11185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14165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10315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6990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4037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27615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15105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10080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12705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21610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11490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31750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25910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11950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10080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15102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18145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7275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107400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14585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6330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11810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169000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11120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9795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9480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266750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266750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20110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377.81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53.35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41.34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336.67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20025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160800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100.23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100.23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166000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8165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73300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167.6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166.18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237.47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32.65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529.76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167.65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38.26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194.12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71.92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11.23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34.36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472.2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178.45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147.14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143.56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5.75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93.58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7.67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14020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36.82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15165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184625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31930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21600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205.15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164.05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108.16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92" t="n">
        <v>7</v>
      </c>
      <c r="B27" s="292">
        <f>IFERROR(INDEX('계좌현황'!A:A,INDEX($L$21:$L$97,MATCH(LARGE($N$21:$N$97,7),$N$21:$N$97,0))),"")</f>
        <v/>
      </c>
      <c r="C27" s="292">
        <f>IFERROR(INDEX('계좌현황'!C:C,INDEX($L$21:$L$97,MATCH(LARGE($N$21:$N$97,7),$N$21:$N$97,0))),"")</f>
        <v/>
      </c>
      <c r="D27" s="292">
        <f>IFERROR(INDEX('계좌현황'!D:D,INDEX($L$21:$L$97,MATCH(LARGE($N$21:$N$97,7),$N$21:$N$97,0))),"")</f>
        <v/>
      </c>
      <c r="E27" s="292">
        <f>IFERROR(INDEX('계좌현황'!E:E,INDEX($L$21:$L$97,MATCH(LARGE($N$21:$N$97,7),$N$21:$N$97,0))),"")</f>
        <v/>
      </c>
      <c r="F27" s="319">
        <f>IFERROR(INDEX('계좌현황'!F:F,INDEX($L$21:$L$97,MATCH(LARGE($N$21:$N$97,7),$N$21:$N$97,0))),"")</f>
        <v/>
      </c>
      <c r="G27" s="320">
        <f>IFERROR(INDEX('계좌현황'!K:K,INDEX($L$21:$L$97,MATCH(LARGE($N$21:$N$97,7),$N$21:$N$97,0))),0)</f>
        <v/>
      </c>
      <c r="H27" s="321">
        <f>IF($B$3=0,0,G27/$B$3)</f>
        <v/>
      </c>
      <c r="I27" s="321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83" t="n">
        <v>8</v>
      </c>
      <c r="B28" s="283">
        <f>IFERROR(INDEX('계좌현황'!A:A,INDEX($L$21:$L$97,MATCH(LARGE($N$21:$N$97,8),$N$21:$N$97,0))),"")</f>
        <v/>
      </c>
      <c r="C28" s="283">
        <f>IFERROR(INDEX('계좌현황'!C:C,INDEX($L$21:$L$97,MATCH(LARGE($N$21:$N$97,8),$N$21:$N$97,0))),"")</f>
        <v/>
      </c>
      <c r="D28" s="283">
        <f>IFERROR(INDEX('계좌현황'!D:D,INDEX($L$21:$L$97,MATCH(LARGE($N$21:$N$97,8),$N$21:$N$97,0))),"")</f>
        <v/>
      </c>
      <c r="E28" s="283">
        <f>IFERROR(INDEX('계좌현황'!E:E,INDEX($L$21:$L$97,MATCH(LARGE($N$21:$N$97,8),$N$21:$N$97,0))),"")</f>
        <v/>
      </c>
      <c r="F28" s="313">
        <f>IFERROR(INDEX('계좌현황'!F:F,INDEX($L$21:$L$97,MATCH(LARGE($N$21:$N$97,8),$N$21:$N$97,0))),"")</f>
        <v/>
      </c>
      <c r="G28" s="314">
        <f>IFERROR(INDEX('계좌현황'!K:K,INDEX($L$21:$L$97,MATCH(LARGE($N$21:$N$97,8),$N$21:$N$97,0))),0)</f>
        <v/>
      </c>
      <c r="H28" s="315">
        <f>IF($B$3=0,0,G28/$B$3)</f>
        <v/>
      </c>
      <c r="I28" s="315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6" t="n">
        <v>10</v>
      </c>
      <c r="B30" s="286">
        <f>IFERROR(INDEX('계좌현황'!A:A,INDEX($L$21:$L$97,MATCH(LARGE($N$21:$N$97,10),$N$21:$N$97,0))),"")</f>
        <v/>
      </c>
      <c r="C30" s="286">
        <f>IFERROR(INDEX('계좌현황'!C:C,INDEX($L$21:$L$97,MATCH(LARGE($N$21:$N$97,10),$N$21:$N$97,0))),"")</f>
        <v/>
      </c>
      <c r="D30" s="286">
        <f>IFERROR(INDEX('계좌현황'!D:D,INDEX($L$21:$L$97,MATCH(LARGE($N$21:$N$97,10),$N$21:$N$97,0))),"")</f>
        <v/>
      </c>
      <c r="E30" s="286">
        <f>IFERROR(INDEX('계좌현황'!E:E,INDEX($L$21:$L$97,MATCH(LARGE($N$21:$N$97,10),$N$21:$N$97,0))),"")</f>
        <v/>
      </c>
      <c r="F30" s="316">
        <f>IFERROR(INDEX('계좌현황'!F:F,INDEX($L$21:$L$97,MATCH(LARGE($N$21:$N$97,10),$N$21:$N$97,0))),"")</f>
        <v/>
      </c>
      <c r="G30" s="317">
        <f>IFERROR(INDEX('계좌현황'!K:K,INDEX($L$21:$L$97,MATCH(LARGE($N$21:$N$97,10),$N$21:$N$97,0))),0)</f>
        <v/>
      </c>
      <c r="H30" s="318">
        <f>IF($B$3=0,0,G30/$B$3)</f>
        <v/>
      </c>
      <c r="I30" s="318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3" t="n">
        <v>11</v>
      </c>
      <c r="B31" s="283">
        <f>IFERROR(INDEX('계좌현황'!A:A,INDEX($L$21:$L$97,MATCH(LARGE($N$21:$N$97,11),$N$21:$N$97,0))),"")</f>
        <v/>
      </c>
      <c r="C31" s="283">
        <f>IFERROR(INDEX('계좌현황'!C:C,INDEX($L$21:$L$97,MATCH(LARGE($N$21:$N$97,11),$N$21:$N$97,0))),"")</f>
        <v/>
      </c>
      <c r="D31" s="283">
        <f>IFERROR(INDEX('계좌현황'!D:D,INDEX($L$21:$L$97,MATCH(LARGE($N$21:$N$97,11),$N$21:$N$97,0))),"")</f>
        <v/>
      </c>
      <c r="E31" s="283">
        <f>IFERROR(INDEX('계좌현황'!E:E,INDEX($L$21:$L$97,MATCH(LARGE($N$21:$N$97,11),$N$21:$N$97,0))),"")</f>
        <v/>
      </c>
      <c r="F31" s="313">
        <f>IFERROR(INDEX('계좌현황'!F:F,INDEX($L$21:$L$97,MATCH(LARGE($N$21:$N$97,11),$N$21:$N$97,0))),"")</f>
        <v/>
      </c>
      <c r="G31" s="314">
        <f>IFERROR(INDEX('계좌현황'!K:K,INDEX($L$21:$L$97,MATCH(LARGE($N$21:$N$97,11),$N$21:$N$97,0))),0)</f>
        <v/>
      </c>
      <c r="H31" s="315">
        <f>IF($B$3=0,0,G31/$B$3)</f>
        <v/>
      </c>
      <c r="I31" s="315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83" t="n">
        <v>17</v>
      </c>
      <c r="B37" s="283">
        <f>IFERROR(INDEX('계좌현황'!A:A,INDEX($L$21:$L$97,MATCH(LARGE($N$21:$N$97,17),$N$21:$N$97,0))),"")</f>
        <v/>
      </c>
      <c r="C37" s="283">
        <f>IFERROR(INDEX('계좌현황'!C:C,INDEX($L$21:$L$97,MATCH(LARGE($N$21:$N$97,17),$N$21:$N$97,0))),"")</f>
        <v/>
      </c>
      <c r="D37" s="283">
        <f>IFERROR(INDEX('계좌현황'!D:D,INDEX($L$21:$L$97,MATCH(LARGE($N$21:$N$97,17),$N$21:$N$97,0))),"")</f>
        <v/>
      </c>
      <c r="E37" s="283">
        <f>IFERROR(INDEX('계좌현황'!E:E,INDEX($L$21:$L$97,MATCH(LARGE($N$21:$N$97,17),$N$21:$N$97,0))),"")</f>
        <v/>
      </c>
      <c r="F37" s="313">
        <f>IFERROR(INDEX('계좌현황'!F:F,INDEX($L$21:$L$97,MATCH(LARGE($N$21:$N$97,17),$N$21:$N$97,0))),"")</f>
        <v/>
      </c>
      <c r="G37" s="314">
        <f>IFERROR(INDEX('계좌현황'!K:K,INDEX($L$21:$L$97,MATCH(LARGE($N$21:$N$97,17),$N$21:$N$97,0))),0)</f>
        <v/>
      </c>
      <c r="H37" s="315">
        <f>IF($B$3=0,0,G37/$B$3)</f>
        <v/>
      </c>
      <c r="I37" s="315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95" t="n">
        <v>18</v>
      </c>
      <c r="B38" s="295">
        <f>IFERROR(INDEX('계좌현황'!A:A,INDEX($L$21:$L$97,MATCH(LARGE($N$21:$N$97,18),$N$21:$N$97,0))),"")</f>
        <v/>
      </c>
      <c r="C38" s="295">
        <f>IFERROR(INDEX('계좌현황'!C:C,INDEX($L$21:$L$97,MATCH(LARGE($N$21:$N$97,18),$N$21:$N$97,0))),"")</f>
        <v/>
      </c>
      <c r="D38" s="295">
        <f>IFERROR(INDEX('계좌현황'!D:D,INDEX($L$21:$L$97,MATCH(LARGE($N$21:$N$97,18),$N$21:$N$97,0))),"")</f>
        <v/>
      </c>
      <c r="E38" s="295">
        <f>IFERROR(INDEX('계좌현황'!E:E,INDEX($L$21:$L$97,MATCH(LARGE($N$21:$N$97,18),$N$21:$N$97,0))),"")</f>
        <v/>
      </c>
      <c r="F38" s="322">
        <f>IFERROR(INDEX('계좌현황'!F:F,INDEX($L$21:$L$97,MATCH(LARGE($N$21:$N$97,18),$N$21:$N$97,0))),"")</f>
        <v/>
      </c>
      <c r="G38" s="323">
        <f>IFERROR(INDEX('계좌현황'!K:K,INDEX($L$21:$L$97,MATCH(LARGE($N$21:$N$97,18),$N$21:$N$97,0))),0)</f>
        <v/>
      </c>
      <c r="H38" s="324">
        <f>IF($B$3=0,0,G38/$B$3)</f>
        <v/>
      </c>
      <c r="I38" s="324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301" t="n">
        <v>19</v>
      </c>
      <c r="B39" s="301">
        <f>IFERROR(INDEX('계좌현황'!A:A,INDEX($L$21:$L$97,MATCH(LARGE($N$21:$N$97,19),$N$21:$N$97,0))),"")</f>
        <v/>
      </c>
      <c r="C39" s="301">
        <f>IFERROR(INDEX('계좌현황'!C:C,INDEX($L$21:$L$97,MATCH(LARGE($N$21:$N$97,19),$N$21:$N$97,0))),"")</f>
        <v/>
      </c>
      <c r="D39" s="301">
        <f>IFERROR(INDEX('계좌현황'!D:D,INDEX($L$21:$L$97,MATCH(LARGE($N$21:$N$97,19),$N$21:$N$97,0))),"")</f>
        <v/>
      </c>
      <c r="E39" s="301">
        <f>IFERROR(INDEX('계좌현황'!E:E,INDEX($L$21:$L$97,MATCH(LARGE($N$21:$N$97,19),$N$21:$N$97,0))),"")</f>
        <v/>
      </c>
      <c r="F39" s="325">
        <f>IFERROR(INDEX('계좌현황'!F:F,INDEX($L$21:$L$97,MATCH(LARGE($N$21:$N$97,19),$N$21:$N$97,0))),"")</f>
        <v/>
      </c>
      <c r="G39" s="326">
        <f>IFERROR(INDEX('계좌현황'!K:K,INDEX($L$21:$L$97,MATCH(LARGE($N$21:$N$97,19),$N$21:$N$97,0))),0)</f>
        <v/>
      </c>
      <c r="H39" s="327">
        <f>IF($B$3=0,0,G39/$B$3)</f>
        <v/>
      </c>
      <c r="I39" s="327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295" t="n">
        <v>20</v>
      </c>
      <c r="B40" s="295">
        <f>IFERROR(INDEX('계좌현황'!A:A,INDEX($L$21:$L$97,MATCH(LARGE($N$21:$N$97,20),$N$21:$N$97,0))),"")</f>
        <v/>
      </c>
      <c r="C40" s="295">
        <f>IFERROR(INDEX('계좌현황'!C:C,INDEX($L$21:$L$97,MATCH(LARGE($N$21:$N$97,20),$N$21:$N$97,0))),"")</f>
        <v/>
      </c>
      <c r="D40" s="295">
        <f>IFERROR(INDEX('계좌현황'!D:D,INDEX($L$21:$L$97,MATCH(LARGE($N$21:$N$97,20),$N$21:$N$97,0))),"")</f>
        <v/>
      </c>
      <c r="E40" s="295">
        <f>IFERROR(INDEX('계좌현황'!E:E,INDEX($L$21:$L$97,MATCH(LARGE($N$21:$N$97,20),$N$21:$N$97,0))),"")</f>
        <v/>
      </c>
      <c r="F40" s="322">
        <f>IFERROR(INDEX('계좌현황'!F:F,INDEX($L$21:$L$97,MATCH(LARGE($N$21:$N$97,20),$N$21:$N$97,0))),"")</f>
        <v/>
      </c>
      <c r="G40" s="323">
        <f>IFERROR(INDEX('계좌현황'!K:K,INDEX($L$21:$L$97,MATCH(LARGE($N$21:$N$97,20),$N$21:$N$97,0))),0)</f>
        <v/>
      </c>
      <c r="H40" s="324">
        <f>IF($B$3=0,0,G40/$B$3)</f>
        <v/>
      </c>
      <c r="I40" s="324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89" t="n">
        <v>21</v>
      </c>
      <c r="B41" s="289">
        <f>IFERROR(INDEX('계좌현황'!A:A,INDEX($L$21:$L$97,MATCH(LARGE($N$21:$N$97,21),$N$21:$N$97,0))),"")</f>
        <v/>
      </c>
      <c r="C41" s="289">
        <f>IFERROR(INDEX('계좌현황'!C:C,INDEX($L$21:$L$97,MATCH(LARGE($N$21:$N$97,21),$N$21:$N$97,0))),"")</f>
        <v/>
      </c>
      <c r="D41" s="289">
        <f>IFERROR(INDEX('계좌현황'!D:D,INDEX($L$21:$L$97,MATCH(LARGE($N$21:$N$97,21),$N$21:$N$97,0))),"")</f>
        <v/>
      </c>
      <c r="E41" s="289">
        <f>IFERROR(INDEX('계좌현황'!E:E,INDEX($L$21:$L$97,MATCH(LARGE($N$21:$N$97,21),$N$21:$N$97,0))),"")</f>
        <v/>
      </c>
      <c r="F41" s="328">
        <f>IFERROR(INDEX('계좌현황'!F:F,INDEX($L$21:$L$97,MATCH(LARGE($N$21:$N$97,21),$N$21:$N$97,0))),"")</f>
        <v/>
      </c>
      <c r="G41" s="329">
        <f>IFERROR(INDEX('계좌현황'!K:K,INDEX($L$21:$L$97,MATCH(LARGE($N$21:$N$97,21),$N$21:$N$97,0))),0)</f>
        <v/>
      </c>
      <c r="H41" s="330">
        <f>IF($B$3=0,0,G41/$B$3)</f>
        <v/>
      </c>
      <c r="I41" s="330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301" t="n">
        <v>22</v>
      </c>
      <c r="B42" s="301">
        <f>IFERROR(INDEX('계좌현황'!A:A,INDEX($L$21:$L$97,MATCH(LARGE($N$21:$N$97,22),$N$21:$N$97,0))),"")</f>
        <v/>
      </c>
      <c r="C42" s="301">
        <f>IFERROR(INDEX('계좌현황'!C:C,INDEX($L$21:$L$97,MATCH(LARGE($N$21:$N$97,22),$N$21:$N$97,0))),"")</f>
        <v/>
      </c>
      <c r="D42" s="301">
        <f>IFERROR(INDEX('계좌현황'!D:D,INDEX($L$21:$L$97,MATCH(LARGE($N$21:$N$97,22),$N$21:$N$97,0))),"")</f>
        <v/>
      </c>
      <c r="E42" s="301">
        <f>IFERROR(INDEX('계좌현황'!E:E,INDEX($L$21:$L$97,MATCH(LARGE($N$21:$N$97,22),$N$21:$N$97,0))),"")</f>
        <v/>
      </c>
      <c r="F42" s="325">
        <f>IFERROR(INDEX('계좌현황'!F:F,INDEX($L$21:$L$97,MATCH(LARGE($N$21:$N$97,22),$N$21:$N$97,0))),"")</f>
        <v/>
      </c>
      <c r="G42" s="326">
        <f>IFERROR(INDEX('계좌현황'!K:K,INDEX($L$21:$L$97,MATCH(LARGE($N$21:$N$97,22),$N$21:$N$97,0))),0)</f>
        <v/>
      </c>
      <c r="H42" s="327">
        <f>IF($B$3=0,0,G42/$B$3)</f>
        <v/>
      </c>
      <c r="I42" s="327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7" t="n">
        <v>23</v>
      </c>
      <c r="B43" s="307">
        <f>IFERROR(INDEX('계좌현황'!A:A,INDEX($L$21:$L$97,MATCH(LARGE($N$21:$N$97,23),$N$21:$N$97,0))),"")</f>
        <v/>
      </c>
      <c r="C43" s="307">
        <f>IFERROR(INDEX('계좌현황'!C:C,INDEX($L$21:$L$97,MATCH(LARGE($N$21:$N$97,23),$N$21:$N$97,0))),"")</f>
        <v/>
      </c>
      <c r="D43" s="307">
        <f>IFERROR(INDEX('계좌현황'!D:D,INDEX($L$21:$L$97,MATCH(LARGE($N$21:$N$97,23),$N$21:$N$97,0))),"")</f>
        <v/>
      </c>
      <c r="E43" s="307">
        <f>IFERROR(INDEX('계좌현황'!E:E,INDEX($L$21:$L$97,MATCH(LARGE($N$21:$N$97,23),$N$21:$N$97,0))),"")</f>
        <v/>
      </c>
      <c r="F43" s="331">
        <f>IFERROR(INDEX('계좌현황'!F:F,INDEX($L$21:$L$97,MATCH(LARGE($N$21:$N$97,23),$N$21:$N$97,0))),"")</f>
        <v/>
      </c>
      <c r="G43" s="332">
        <f>IFERROR(INDEX('계좌현황'!K:K,INDEX($L$21:$L$97,MATCH(LARGE($N$21:$N$97,23),$N$21:$N$97,0))),0)</f>
        <v/>
      </c>
      <c r="H43" s="333">
        <f>IF($B$3=0,0,G43/$B$3)</f>
        <v/>
      </c>
      <c r="I43" s="333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295" t="n">
        <v>25</v>
      </c>
      <c r="B45" s="295">
        <f>IFERROR(INDEX('계좌현황'!A:A,INDEX($L$21:$L$97,MATCH(LARGE($N$21:$N$97,25),$N$21:$N$97,0))),"")</f>
        <v/>
      </c>
      <c r="C45" s="295">
        <f>IFERROR(INDEX('계좌현황'!C:C,INDEX($L$21:$L$97,MATCH(LARGE($N$21:$N$97,25),$N$21:$N$97,0))),"")</f>
        <v/>
      </c>
      <c r="D45" s="295">
        <f>IFERROR(INDEX('계좌현황'!D:D,INDEX($L$21:$L$97,MATCH(LARGE($N$21:$N$97,25),$N$21:$N$97,0))),"")</f>
        <v/>
      </c>
      <c r="E45" s="295">
        <f>IFERROR(INDEX('계좌현황'!E:E,INDEX($L$21:$L$97,MATCH(LARGE($N$21:$N$97,25),$N$21:$N$97,0))),"")</f>
        <v/>
      </c>
      <c r="F45" s="322">
        <f>IFERROR(INDEX('계좌현황'!F:F,INDEX($L$21:$L$97,MATCH(LARGE($N$21:$N$97,25),$N$21:$N$97,0))),"")</f>
        <v/>
      </c>
      <c r="G45" s="323">
        <f>IFERROR(INDEX('계좌현황'!K:K,INDEX($L$21:$L$97,MATCH(LARGE($N$21:$N$97,25),$N$21:$N$97,0))),0)</f>
        <v/>
      </c>
      <c r="H45" s="324">
        <f>IF($B$3=0,0,G45/$B$3)</f>
        <v/>
      </c>
      <c r="I45" s="324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295" t="n">
        <v>28</v>
      </c>
      <c r="B48" s="295">
        <f>IFERROR(INDEX('계좌현황'!A:A,INDEX($L$21:$L$97,MATCH(LARGE($N$21:$N$97,28),$N$21:$N$97,0))),"")</f>
        <v/>
      </c>
      <c r="C48" s="295">
        <f>IFERROR(INDEX('계좌현황'!C:C,INDEX($L$21:$L$97,MATCH(LARGE($N$21:$N$97,28),$N$21:$N$97,0))),"")</f>
        <v/>
      </c>
      <c r="D48" s="295">
        <f>IFERROR(INDEX('계좌현황'!D:D,INDEX($L$21:$L$97,MATCH(LARGE($N$21:$N$97,28),$N$21:$N$97,0))),"")</f>
        <v/>
      </c>
      <c r="E48" s="295">
        <f>IFERROR(INDEX('계좌현황'!E:E,INDEX($L$21:$L$97,MATCH(LARGE($N$21:$N$97,28),$N$21:$N$97,0))),"")</f>
        <v/>
      </c>
      <c r="F48" s="322">
        <f>IFERROR(INDEX('계좌현황'!F:F,INDEX($L$21:$L$97,MATCH(LARGE($N$21:$N$97,28),$N$21:$N$97,0))),"")</f>
        <v/>
      </c>
      <c r="G48" s="323">
        <f>IFERROR(INDEX('계좌현황'!K:K,INDEX($L$21:$L$97,MATCH(LARGE($N$21:$N$97,28),$N$21:$N$97,0))),0)</f>
        <v/>
      </c>
      <c r="H48" s="324">
        <f>IF($B$3=0,0,G48/$B$3)</f>
        <v/>
      </c>
      <c r="I48" s="324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301" t="n">
        <v>29</v>
      </c>
      <c r="B49" s="301">
        <f>IFERROR(INDEX('계좌현황'!A:A,INDEX($L$21:$L$97,MATCH(LARGE($N$21:$N$97,29),$N$21:$N$97,0))),"")</f>
        <v/>
      </c>
      <c r="C49" s="301">
        <f>IFERROR(INDEX('계좌현황'!C:C,INDEX($L$21:$L$97,MATCH(LARGE($N$21:$N$97,29),$N$21:$N$97,0))),"")</f>
        <v/>
      </c>
      <c r="D49" s="301">
        <f>IFERROR(INDEX('계좌현황'!D:D,INDEX($L$21:$L$97,MATCH(LARGE($N$21:$N$97,29),$N$21:$N$97,0))),"")</f>
        <v/>
      </c>
      <c r="E49" s="301">
        <f>IFERROR(INDEX('계좌현황'!E:E,INDEX($L$21:$L$97,MATCH(LARGE($N$21:$N$97,29),$N$21:$N$97,0))),"")</f>
        <v/>
      </c>
      <c r="F49" s="325">
        <f>IFERROR(INDEX('계좌현황'!F:F,INDEX($L$21:$L$97,MATCH(LARGE($N$21:$N$97,29),$N$21:$N$97,0))),"")</f>
        <v/>
      </c>
      <c r="G49" s="326">
        <f>IFERROR(INDEX('계좌현황'!K:K,INDEX($L$21:$L$97,MATCH(LARGE($N$21:$N$97,29),$N$21:$N$97,0))),0)</f>
        <v/>
      </c>
      <c r="H49" s="327">
        <f>IF($B$3=0,0,G49/$B$3)</f>
        <v/>
      </c>
      <c r="I49" s="327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95" t="n">
        <v>32</v>
      </c>
      <c r="B52" s="295">
        <f>IFERROR(INDEX('계좌현황'!A:A,INDEX($L$21:$L$97,MATCH(LARGE($N$21:$N$97,32),$N$21:$N$97,0))),"")</f>
        <v/>
      </c>
      <c r="C52" s="295">
        <f>IFERROR(INDEX('계좌현황'!C:C,INDEX($L$21:$L$97,MATCH(LARGE($N$21:$N$97,32),$N$21:$N$97,0))),"")</f>
        <v/>
      </c>
      <c r="D52" s="295">
        <f>IFERROR(INDEX('계좌현황'!D:D,INDEX($L$21:$L$97,MATCH(LARGE($N$21:$N$97,32),$N$21:$N$97,0))),"")</f>
        <v/>
      </c>
      <c r="E52" s="295">
        <f>IFERROR(INDEX('계좌현황'!E:E,INDEX($L$21:$L$97,MATCH(LARGE($N$21:$N$97,32),$N$21:$N$97,0))),"")</f>
        <v/>
      </c>
      <c r="F52" s="322">
        <f>IFERROR(INDEX('계좌현황'!F:F,INDEX($L$21:$L$97,MATCH(LARGE($N$21:$N$97,32),$N$21:$N$97,0))),"")</f>
        <v/>
      </c>
      <c r="G52" s="323">
        <f>IFERROR(INDEX('계좌현황'!K:K,INDEX($L$21:$L$97,MATCH(LARGE($N$21:$N$97,32),$N$21:$N$97,0))),0)</f>
        <v/>
      </c>
      <c r="H52" s="324">
        <f>IF($B$3=0,0,G52/$B$3)</f>
        <v/>
      </c>
      <c r="I52" s="324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86" t="n">
        <v>33</v>
      </c>
      <c r="B53" s="286">
        <f>IFERROR(INDEX('계좌현황'!A:A,INDEX($L$21:$L$97,MATCH(LARGE($N$21:$N$97,33),$N$21:$N$97,0))),"")</f>
        <v/>
      </c>
      <c r="C53" s="286">
        <f>IFERROR(INDEX('계좌현황'!C:C,INDEX($L$21:$L$97,MATCH(LARGE($N$21:$N$97,33),$N$21:$N$97,0))),"")</f>
        <v/>
      </c>
      <c r="D53" s="286">
        <f>IFERROR(INDEX('계좌현황'!D:D,INDEX($L$21:$L$97,MATCH(LARGE($N$21:$N$97,33),$N$21:$N$97,0))),"")</f>
        <v/>
      </c>
      <c r="E53" s="286">
        <f>IFERROR(INDEX('계좌현황'!E:E,INDEX($L$21:$L$97,MATCH(LARGE($N$21:$N$97,33),$N$21:$N$97,0))),"")</f>
        <v/>
      </c>
      <c r="F53" s="316">
        <f>IFERROR(INDEX('계좌현황'!F:F,INDEX($L$21:$L$97,MATCH(LARGE($N$21:$N$97,33),$N$21:$N$97,0))),"")</f>
        <v/>
      </c>
      <c r="G53" s="317">
        <f>IFERROR(INDEX('계좌현황'!K:K,INDEX($L$21:$L$97,MATCH(LARGE($N$21:$N$97,33),$N$21:$N$97,0))),0)</f>
        <v/>
      </c>
      <c r="H53" s="318">
        <f>IF($B$3=0,0,G53/$B$3)</f>
        <v/>
      </c>
      <c r="I53" s="318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2" t="n">
        <v>34</v>
      </c>
      <c r="B54" s="292">
        <f>IFERROR(INDEX('계좌현황'!A:A,INDEX($L$21:$L$97,MATCH(LARGE($N$21:$N$97,34),$N$21:$N$97,0))),"")</f>
        <v/>
      </c>
      <c r="C54" s="292">
        <f>IFERROR(INDEX('계좌현황'!C:C,INDEX($L$21:$L$97,MATCH(LARGE($N$21:$N$97,34),$N$21:$N$97,0))),"")</f>
        <v/>
      </c>
      <c r="D54" s="292">
        <f>IFERROR(INDEX('계좌현황'!D:D,INDEX($L$21:$L$97,MATCH(LARGE($N$21:$N$97,34),$N$21:$N$97,0))),"")</f>
        <v/>
      </c>
      <c r="E54" s="292">
        <f>IFERROR(INDEX('계좌현황'!E:E,INDEX($L$21:$L$97,MATCH(LARGE($N$21:$N$97,34),$N$21:$N$97,0))),"")</f>
        <v/>
      </c>
      <c r="F54" s="319">
        <f>IFERROR(INDEX('계좌현황'!F:F,INDEX($L$21:$L$97,MATCH(LARGE($N$21:$N$97,34),$N$21:$N$97,0))),"")</f>
        <v/>
      </c>
      <c r="G54" s="320">
        <f>IFERROR(INDEX('계좌현황'!K:K,INDEX($L$21:$L$97,MATCH(LARGE($N$21:$N$97,34),$N$21:$N$97,0))),0)</f>
        <v/>
      </c>
      <c r="H54" s="321">
        <f>IF($B$3=0,0,G54/$B$3)</f>
        <v/>
      </c>
      <c r="I54" s="321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5" t="n">
        <v>35</v>
      </c>
      <c r="B55" s="295">
        <f>IFERROR(INDEX('계좌현황'!A:A,INDEX($L$21:$L$97,MATCH(LARGE($N$21:$N$97,35),$N$21:$N$97,0))),"")</f>
        <v/>
      </c>
      <c r="C55" s="295">
        <f>IFERROR(INDEX('계좌현황'!C:C,INDEX($L$21:$L$97,MATCH(LARGE($N$21:$N$97,35),$N$21:$N$97,0))),"")</f>
        <v/>
      </c>
      <c r="D55" s="295">
        <f>IFERROR(INDEX('계좌현황'!D:D,INDEX($L$21:$L$97,MATCH(LARGE($N$21:$N$97,35),$N$21:$N$97,0))),"")</f>
        <v/>
      </c>
      <c r="E55" s="295">
        <f>IFERROR(INDEX('계좌현황'!E:E,INDEX($L$21:$L$97,MATCH(LARGE($N$21:$N$97,35),$N$21:$N$97,0))),"")</f>
        <v/>
      </c>
      <c r="F55" s="322">
        <f>IFERROR(INDEX('계좌현황'!F:F,INDEX($L$21:$L$97,MATCH(LARGE($N$21:$N$97,35),$N$21:$N$97,0))),"")</f>
        <v/>
      </c>
      <c r="G55" s="323">
        <f>IFERROR(INDEX('계좌현황'!K:K,INDEX($L$21:$L$97,MATCH(LARGE($N$21:$N$97,35),$N$21:$N$97,0))),0)</f>
        <v/>
      </c>
      <c r="H55" s="324">
        <f>IF($B$3=0,0,G55/$B$3)</f>
        <v/>
      </c>
      <c r="I55" s="324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5" t="n">
        <v>36</v>
      </c>
      <c r="B56" s="295">
        <f>IFERROR(INDEX('계좌현황'!A:A,INDEX($L$21:$L$97,MATCH(LARGE($N$21:$N$97,36),$N$21:$N$97,0))),"")</f>
        <v/>
      </c>
      <c r="C56" s="295">
        <f>IFERROR(INDEX('계좌현황'!C:C,INDEX($L$21:$L$97,MATCH(LARGE($N$21:$N$97,36),$N$21:$N$97,0))),"")</f>
        <v/>
      </c>
      <c r="D56" s="295">
        <f>IFERROR(INDEX('계좌현황'!D:D,INDEX($L$21:$L$97,MATCH(LARGE($N$21:$N$97,36),$N$21:$N$97,0))),"")</f>
        <v/>
      </c>
      <c r="E56" s="295">
        <f>IFERROR(INDEX('계좌현황'!E:E,INDEX($L$21:$L$97,MATCH(LARGE($N$21:$N$97,36),$N$21:$N$97,0))),"")</f>
        <v/>
      </c>
      <c r="F56" s="322">
        <f>IFERROR(INDEX('계좌현황'!F:F,INDEX($L$21:$L$97,MATCH(LARGE($N$21:$N$97,36),$N$21:$N$97,0))),"")</f>
        <v/>
      </c>
      <c r="G56" s="323">
        <f>IFERROR(INDEX('계좌현황'!K:K,INDEX($L$21:$L$97,MATCH(LARGE($N$21:$N$97,36),$N$21:$N$97,0))),0)</f>
        <v/>
      </c>
      <c r="H56" s="324">
        <f>IF($B$3=0,0,G56/$B$3)</f>
        <v/>
      </c>
      <c r="I56" s="324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2" t="n">
        <v>37</v>
      </c>
      <c r="B57" s="292">
        <f>IFERROR(INDEX('계좌현황'!A:A,INDEX($L$21:$L$97,MATCH(LARGE($N$21:$N$97,37),$N$21:$N$97,0))),"")</f>
        <v/>
      </c>
      <c r="C57" s="292">
        <f>IFERROR(INDEX('계좌현황'!C:C,INDEX($L$21:$L$97,MATCH(LARGE($N$21:$N$97,37),$N$21:$N$97,0))),"")</f>
        <v/>
      </c>
      <c r="D57" s="292">
        <f>IFERROR(INDEX('계좌현황'!D:D,INDEX($L$21:$L$97,MATCH(LARGE($N$21:$N$97,37),$N$21:$N$97,0))),"")</f>
        <v/>
      </c>
      <c r="E57" s="292">
        <f>IFERROR(INDEX('계좌현황'!E:E,INDEX($L$21:$L$97,MATCH(LARGE($N$21:$N$97,37),$N$21:$N$97,0))),"")</f>
        <v/>
      </c>
      <c r="F57" s="319">
        <f>IFERROR(INDEX('계좌현황'!F:F,INDEX($L$21:$L$97,MATCH(LARGE($N$21:$N$97,37),$N$21:$N$97,0))),"")</f>
        <v/>
      </c>
      <c r="G57" s="320">
        <f>IFERROR(INDEX('계좌현황'!K:K,INDEX($L$21:$L$97,MATCH(LARGE($N$21:$N$97,37),$N$21:$N$97,0))),0)</f>
        <v/>
      </c>
      <c r="H57" s="321">
        <f>IF($B$3=0,0,G57/$B$3)</f>
        <v/>
      </c>
      <c r="I57" s="321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2" t="n">
        <v>44</v>
      </c>
      <c r="B64" s="292">
        <f>IFERROR(INDEX('계좌현황'!A:A,INDEX($L$21:$L$97,MATCH(LARGE($N$21:$N$97,44),$N$21:$N$97,0))),"")</f>
        <v/>
      </c>
      <c r="C64" s="292">
        <f>IFERROR(INDEX('계좌현황'!C:C,INDEX($L$21:$L$97,MATCH(LARGE($N$21:$N$97,44),$N$21:$N$97,0))),"")</f>
        <v/>
      </c>
      <c r="D64" s="292">
        <f>IFERROR(INDEX('계좌현황'!D:D,INDEX($L$21:$L$97,MATCH(LARGE($N$21:$N$97,44),$N$21:$N$97,0))),"")</f>
        <v/>
      </c>
      <c r="E64" s="292">
        <f>IFERROR(INDEX('계좌현황'!E:E,INDEX($L$21:$L$97,MATCH(LARGE($N$21:$N$97,44),$N$21:$N$97,0))),"")</f>
        <v/>
      </c>
      <c r="F64" s="319">
        <f>IFERROR(INDEX('계좌현황'!F:F,INDEX($L$21:$L$97,MATCH(LARGE($N$21:$N$97,44),$N$21:$N$97,0))),"")</f>
        <v/>
      </c>
      <c r="G64" s="320">
        <f>IFERROR(INDEX('계좌현황'!K:K,INDEX($L$21:$L$97,MATCH(LARGE($N$21:$N$97,44),$N$21:$N$97,0))),0)</f>
        <v/>
      </c>
      <c r="H64" s="321">
        <f>IF($B$3=0,0,G64/$B$3)</f>
        <v/>
      </c>
      <c r="I64" s="321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5" t="n">
        <v>45</v>
      </c>
      <c r="B65" s="295">
        <f>IFERROR(INDEX('계좌현황'!A:A,INDEX($L$21:$L$97,MATCH(LARGE($N$21:$N$97,45),$N$21:$N$97,0))),"")</f>
        <v/>
      </c>
      <c r="C65" s="295">
        <f>IFERROR(INDEX('계좌현황'!C:C,INDEX($L$21:$L$97,MATCH(LARGE($N$21:$N$97,45),$N$21:$N$97,0))),"")</f>
        <v/>
      </c>
      <c r="D65" s="295">
        <f>IFERROR(INDEX('계좌현황'!D:D,INDEX($L$21:$L$97,MATCH(LARGE($N$21:$N$97,45),$N$21:$N$97,0))),"")</f>
        <v/>
      </c>
      <c r="E65" s="295">
        <f>IFERROR(INDEX('계좌현황'!E:E,INDEX($L$21:$L$97,MATCH(LARGE($N$21:$N$97,45),$N$21:$N$97,0))),"")</f>
        <v/>
      </c>
      <c r="F65" s="322">
        <f>IFERROR(INDEX('계좌현황'!F:F,INDEX($L$21:$L$97,MATCH(LARGE($N$21:$N$97,45),$N$21:$N$97,0))),"")</f>
        <v/>
      </c>
      <c r="G65" s="323">
        <f>IFERROR(INDEX('계좌현황'!K:K,INDEX($L$21:$L$97,MATCH(LARGE($N$21:$N$97,45),$N$21:$N$97,0))),0)</f>
        <v/>
      </c>
      <c r="H65" s="324">
        <f>IF($B$3=0,0,G65/$B$3)</f>
        <v/>
      </c>
      <c r="I65" s="324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5" t="n">
        <v>51</v>
      </c>
      <c r="B71" s="295">
        <f>IFERROR(INDEX('계좌현황'!A:A,INDEX($L$21:$L$97,MATCH(LARGE($N$21:$N$97,51),$N$21:$N$97,0))),"")</f>
        <v/>
      </c>
      <c r="C71" s="295">
        <f>IFERROR(INDEX('계좌현황'!C:C,INDEX($L$21:$L$97,MATCH(LARGE($N$21:$N$97,51),$N$21:$N$97,0))),"")</f>
        <v/>
      </c>
      <c r="D71" s="295">
        <f>IFERROR(INDEX('계좌현황'!D:D,INDEX($L$21:$L$97,MATCH(LARGE($N$21:$N$97,51),$N$21:$N$97,0))),"")</f>
        <v/>
      </c>
      <c r="E71" s="295">
        <f>IFERROR(INDEX('계좌현황'!E:E,INDEX($L$21:$L$97,MATCH(LARGE($N$21:$N$97,51),$N$21:$N$97,0))),"")</f>
        <v/>
      </c>
      <c r="F71" s="322">
        <f>IFERROR(INDEX('계좌현황'!F:F,INDEX($L$21:$L$97,MATCH(LARGE($N$21:$N$97,51),$N$21:$N$97,0))),"")</f>
        <v/>
      </c>
      <c r="G71" s="323">
        <f>IFERROR(INDEX('계좌현황'!K:K,INDEX($L$21:$L$97,MATCH(LARGE($N$21:$N$97,51),$N$21:$N$97,0))),0)</f>
        <v/>
      </c>
      <c r="H71" s="324">
        <f>IF($B$3=0,0,G71/$B$3)</f>
        <v/>
      </c>
      <c r="I71" s="324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2" t="n">
        <v>53</v>
      </c>
      <c r="B73" s="292">
        <f>IFERROR(INDEX('계좌현황'!A:A,INDEX($L$21:$L$97,MATCH(LARGE($N$21:$N$97,53),$N$21:$N$97,0))),"")</f>
        <v/>
      </c>
      <c r="C73" s="292">
        <f>IFERROR(INDEX('계좌현황'!C:C,INDEX($L$21:$L$97,MATCH(LARGE($N$21:$N$97,53),$N$21:$N$97,0))),"")</f>
        <v/>
      </c>
      <c r="D73" s="292">
        <f>IFERROR(INDEX('계좌현황'!D:D,INDEX($L$21:$L$97,MATCH(LARGE($N$21:$N$97,53),$N$21:$N$97,0))),"")</f>
        <v/>
      </c>
      <c r="E73" s="292">
        <f>IFERROR(INDEX('계좌현황'!E:E,INDEX($L$21:$L$97,MATCH(LARGE($N$21:$N$97,53),$N$21:$N$97,0))),"")</f>
        <v/>
      </c>
      <c r="F73" s="319">
        <f>IFERROR(INDEX('계좌현황'!F:F,INDEX($L$21:$L$97,MATCH(LARGE($N$21:$N$97,53),$N$21:$N$97,0))),"")</f>
        <v/>
      </c>
      <c r="G73" s="320">
        <f>IFERROR(INDEX('계좌현황'!K:K,INDEX($L$21:$L$97,MATCH(LARGE($N$21:$N$97,53),$N$21:$N$97,0))),0)</f>
        <v/>
      </c>
      <c r="H73" s="321">
        <f>IF($B$3=0,0,G73/$B$3)</f>
        <v/>
      </c>
      <c r="I73" s="321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307" t="n">
        <v>63</v>
      </c>
      <c r="B83" s="307">
        <f>IFERROR(INDEX('계좌현황'!A:A,INDEX($L$21:$L$97,MATCH(LARGE($N$21:$N$97,63),$N$21:$N$97,0))),"")</f>
        <v/>
      </c>
      <c r="C83" s="307">
        <f>IFERROR(INDEX('계좌현황'!C:C,INDEX($L$21:$L$97,MATCH(LARGE($N$21:$N$97,63),$N$21:$N$97,0))),"")</f>
        <v/>
      </c>
      <c r="D83" s="307">
        <f>IFERROR(INDEX('계좌현황'!D:D,INDEX($L$21:$L$97,MATCH(LARGE($N$21:$N$97,63),$N$21:$N$97,0))),"")</f>
        <v/>
      </c>
      <c r="E83" s="307">
        <f>IFERROR(INDEX('계좌현황'!E:E,INDEX($L$21:$L$97,MATCH(LARGE($N$21:$N$97,63),$N$21:$N$97,0))),"")</f>
        <v/>
      </c>
      <c r="F83" s="331">
        <f>IFERROR(INDEX('계좌현황'!F:F,INDEX($L$21:$L$97,MATCH(LARGE($N$21:$N$97,63),$N$21:$N$97,0))),"")</f>
        <v/>
      </c>
      <c r="G83" s="332">
        <f>IFERROR(INDEX('계좌현황'!K:K,INDEX($L$21:$L$97,MATCH(LARGE($N$21:$N$97,63),$N$21:$N$97,0))),0)</f>
        <v/>
      </c>
      <c r="H83" s="333">
        <f>IF($B$3=0,0,G83/$B$3)</f>
        <v/>
      </c>
      <c r="I83" s="333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295" t="n">
        <v>65</v>
      </c>
      <c r="B85" s="295">
        <f>IFERROR(INDEX('계좌현황'!A:A,INDEX($L$21:$L$97,MATCH(LARGE($N$21:$N$97,65),$N$21:$N$97,0))),"")</f>
        <v/>
      </c>
      <c r="C85" s="295">
        <f>IFERROR(INDEX('계좌현황'!C:C,INDEX($L$21:$L$97,MATCH(LARGE($N$21:$N$97,65),$N$21:$N$97,0))),"")</f>
        <v/>
      </c>
      <c r="D85" s="295">
        <f>IFERROR(INDEX('계좌현황'!D:D,INDEX($L$21:$L$97,MATCH(LARGE($N$21:$N$97,65),$N$21:$N$97,0))),"")</f>
        <v/>
      </c>
      <c r="E85" s="295">
        <f>IFERROR(INDEX('계좌현황'!E:E,INDEX($L$21:$L$97,MATCH(LARGE($N$21:$N$97,65),$N$21:$N$97,0))),"")</f>
        <v/>
      </c>
      <c r="F85" s="322">
        <f>IFERROR(INDEX('계좌현황'!F:F,INDEX($L$21:$L$97,MATCH(LARGE($N$21:$N$97,65),$N$21:$N$97,0))),"")</f>
        <v/>
      </c>
      <c r="G85" s="323">
        <f>IFERROR(INDEX('계좌현황'!K:K,INDEX($L$21:$L$97,MATCH(LARGE($N$21:$N$97,65),$N$21:$N$97,0))),0)</f>
        <v/>
      </c>
      <c r="H85" s="324">
        <f>IF($B$3=0,0,G85/$B$3)</f>
        <v/>
      </c>
      <c r="I85" s="324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307" t="n">
        <v>66</v>
      </c>
      <c r="B86" s="307">
        <f>IFERROR(INDEX('계좌현황'!A:A,INDEX($L$21:$L$97,MATCH(LARGE($N$21:$N$97,66),$N$21:$N$97,0))),"")</f>
        <v/>
      </c>
      <c r="C86" s="307">
        <f>IFERROR(INDEX('계좌현황'!C:C,INDEX($L$21:$L$97,MATCH(LARGE($N$21:$N$97,66),$N$21:$N$97,0))),"")</f>
        <v/>
      </c>
      <c r="D86" s="307">
        <f>IFERROR(INDEX('계좌현황'!D:D,INDEX($L$21:$L$97,MATCH(LARGE($N$21:$N$97,66),$N$21:$N$97,0))),"")</f>
        <v/>
      </c>
      <c r="E86" s="307">
        <f>IFERROR(INDEX('계좌현황'!E:E,INDEX($L$21:$L$97,MATCH(LARGE($N$21:$N$97,66),$N$21:$N$97,0))),"")</f>
        <v/>
      </c>
      <c r="F86" s="331">
        <f>IFERROR(INDEX('계좌현황'!F:F,INDEX($L$21:$L$97,MATCH(LARGE($N$21:$N$97,66),$N$21:$N$97,0))),"")</f>
        <v/>
      </c>
      <c r="G86" s="332">
        <f>IFERROR(INDEX('계좌현황'!K:K,INDEX($L$21:$L$97,MATCH(LARGE($N$21:$N$97,66),$N$21:$N$97,0))),0)</f>
        <v/>
      </c>
      <c r="H86" s="333">
        <f>IF($B$3=0,0,G86/$B$3)</f>
        <v/>
      </c>
      <c r="I86" s="333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295" t="n">
        <v>68</v>
      </c>
      <c r="B88" s="295">
        <f>IFERROR(INDEX('계좌현황'!A:A,INDEX($L$21:$L$97,MATCH(LARGE($N$21:$N$97,68),$N$21:$N$97,0))),"")</f>
        <v/>
      </c>
      <c r="C88" s="295">
        <f>IFERROR(INDEX('계좌현황'!C:C,INDEX($L$21:$L$97,MATCH(LARGE($N$21:$N$97,68),$N$21:$N$97,0))),"")</f>
        <v/>
      </c>
      <c r="D88" s="295">
        <f>IFERROR(INDEX('계좌현황'!D:D,INDEX($L$21:$L$97,MATCH(LARGE($N$21:$N$97,68),$N$21:$N$97,0))),"")</f>
        <v/>
      </c>
      <c r="E88" s="295">
        <f>IFERROR(INDEX('계좌현황'!E:E,INDEX($L$21:$L$97,MATCH(LARGE($N$21:$N$97,68),$N$21:$N$97,0))),"")</f>
        <v/>
      </c>
      <c r="F88" s="322">
        <f>IFERROR(INDEX('계좌현황'!F:F,INDEX($L$21:$L$97,MATCH(LARGE($N$21:$N$97,68),$N$21:$N$97,0))),"")</f>
        <v/>
      </c>
      <c r="G88" s="323">
        <f>IFERROR(INDEX('계좌현황'!K:K,INDEX($L$21:$L$97,MATCH(LARGE($N$21:$N$97,68),$N$21:$N$97,0))),0)</f>
        <v/>
      </c>
      <c r="H88" s="324">
        <f>IF($B$3=0,0,G88/$B$3)</f>
        <v/>
      </c>
      <c r="I88" s="324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71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1,338원/$  | 연간 합계 53,622,712원 · 월평균 4,468,559원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6" t="inlineStr">
        <is>
          <t>1월</t>
        </is>
      </c>
      <c r="B7" s="287" t="n">
        <v>4094865.78</v>
      </c>
      <c r="C7" s="287" t="n">
        <v>207240</v>
      </c>
      <c r="D7" s="287" t="n">
        <v>4302105.779999999</v>
      </c>
      <c r="E7" s="286" t="inlineStr">
        <is>
          <t>혼합</t>
        </is>
      </c>
    </row>
    <row r="8">
      <c r="A8" s="286" t="inlineStr">
        <is>
          <t>2월</t>
        </is>
      </c>
      <c r="B8" s="287" t="n">
        <v>4216844.8</v>
      </c>
      <c r="C8" s="287" t="n">
        <v>207240</v>
      </c>
      <c r="D8" s="287" t="n">
        <v>4424084.8</v>
      </c>
      <c r="E8" s="286" t="inlineStr">
        <is>
          <t>혼합</t>
        </is>
      </c>
    </row>
    <row r="9">
      <c r="A9" s="286" t="inlineStr">
        <is>
          <t>3월</t>
        </is>
      </c>
      <c r="B9" s="287" t="n">
        <v>4597434.816</v>
      </c>
      <c r="C9" s="287" t="n">
        <v>242648</v>
      </c>
      <c r="D9" s="287" t="n">
        <v>4840082.816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4210114.794</v>
      </c>
      <c r="C10" s="287" t="n">
        <v>212344</v>
      </c>
      <c r="D10" s="287" t="n">
        <v>4422458.794</v>
      </c>
      <c r="E10" s="286" t="inlineStr">
        <is>
          <t>혼합</t>
        </is>
      </c>
    </row>
    <row r="11">
      <c r="A11" s="286" t="inlineStr">
        <is>
          <t>5월</t>
        </is>
      </c>
      <c r="B11" s="287" t="n">
        <v>4290090.134000001</v>
      </c>
      <c r="C11" s="287" t="n">
        <v>207240</v>
      </c>
      <c r="D11" s="287" t="n">
        <v>4497330.134000001</v>
      </c>
      <c r="E11" s="286" t="inlineStr">
        <is>
          <t>혼합</t>
        </is>
      </c>
    </row>
    <row r="12">
      <c r="A12" s="286" t="inlineStr">
        <is>
          <t>6월</t>
        </is>
      </c>
      <c r="B12" s="287" t="n">
        <v>4330576.24</v>
      </c>
      <c r="C12" s="287" t="n">
        <v>242732</v>
      </c>
      <c r="D12" s="287" t="n">
        <v>4573308.24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4348244.694</v>
      </c>
      <c r="C13" s="284" t="n">
        <v>0</v>
      </c>
      <c r="D13" s="284" t="n">
        <v>4348244.694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4212686.664</v>
      </c>
      <c r="C14" s="284" t="n">
        <v>0</v>
      </c>
      <c r="D14" s="284" t="n">
        <v>4212686.664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4213761.217999999</v>
      </c>
      <c r="C15" s="287" t="n">
        <v>71724</v>
      </c>
      <c r="D15" s="287" t="n">
        <v>4285485.217999999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4096144.952</v>
      </c>
      <c r="D16" s="293" t="n">
        <v>4096144.952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4380717.847999999</v>
      </c>
      <c r="D17" s="293" t="n">
        <v>4380717.847999999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5240062.556</v>
      </c>
      <c r="D18" s="293" t="n">
        <v>5240062.556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17011125</v>
      </c>
      <c r="E24" s="333" t="n">
        <v>0.1099</v>
      </c>
      <c r="F24" s="308" t="n">
        <v>154758240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7080960</v>
      </c>
      <c r="E25" s="333" t="n">
        <v>0.1017</v>
      </c>
      <c r="F25" s="308" t="n">
        <v>69630000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4444990</v>
      </c>
      <c r="E26" s="333" t="n">
        <v>0.1672</v>
      </c>
      <c r="F26" s="308" t="n">
        <v>26586745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4009026</v>
      </c>
      <c r="E27" s="333" t="n">
        <v>0.1507</v>
      </c>
      <c r="F27" s="308" t="n">
        <v>26600700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3531000</v>
      </c>
      <c r="E28" s="333" t="n">
        <v>0.1288</v>
      </c>
      <c r="F28" s="308" t="n">
        <v>27420000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3020220</v>
      </c>
      <c r="E29" s="333" t="n">
        <v>0.1412</v>
      </c>
      <c r="F29" s="308" t="n">
        <v>21389400</v>
      </c>
    </row>
    <row r="30">
      <c r="A30" s="307" t="inlineStr">
        <is>
          <t>0219E0</t>
        </is>
      </c>
      <c r="B30" s="307" t="inlineStr">
        <is>
          <t>KODEX 200커버드콜액티브</t>
        </is>
      </c>
      <c r="C30" s="307" t="inlineStr">
        <is>
          <t>월배당</t>
        </is>
      </c>
      <c r="D30" s="308" t="n">
        <v>2486880</v>
      </c>
      <c r="E30" s="333" t="n">
        <v>0.2425</v>
      </c>
      <c r="F30" s="308" t="n">
        <v>10255240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1909986</v>
      </c>
      <c r="E31" s="333" t="n">
        <v>0.1554</v>
      </c>
      <c r="F31" s="308" t="n">
        <v>12287210</v>
      </c>
    </row>
    <row r="32">
      <c r="A32" s="307" t="inlineStr">
        <is>
          <t>329200</t>
        </is>
      </c>
      <c r="B32" s="307" t="inlineStr">
        <is>
          <t>TIGER리츠부동산인프라</t>
        </is>
      </c>
      <c r="C32" s="307" t="inlineStr">
        <is>
          <t>월배당</t>
        </is>
      </c>
      <c r="D32" s="308" t="n">
        <v>1867500</v>
      </c>
      <c r="E32" s="333" t="n">
        <v>0.0925</v>
      </c>
      <c r="F32" s="308" t="n">
        <v>20185000</v>
      </c>
    </row>
    <row r="33">
      <c r="A33" s="307" t="inlineStr">
        <is>
          <t>468380</t>
        </is>
      </c>
      <c r="B33" s="307" t="inlineStr">
        <is>
          <t>KODEX iShares미국하이일드액티브</t>
        </is>
      </c>
      <c r="C33" s="307" t="inlineStr">
        <is>
          <t>월배당</t>
        </is>
      </c>
      <c r="D33" s="308" t="n">
        <v>1539000</v>
      </c>
      <c r="E33" s="333" t="n">
        <v>0.0746</v>
      </c>
      <c r="F33" s="308" t="n">
        <v>20630000</v>
      </c>
    </row>
    <row r="34">
      <c r="A34" s="307" t="inlineStr">
        <is>
          <t>490490</t>
        </is>
      </c>
      <c r="B34" s="307" t="inlineStr">
        <is>
          <t>SOL미국배당미국채혼합50</t>
        </is>
      </c>
      <c r="C34" s="307" t="inlineStr">
        <is>
          <t>월배당</t>
        </is>
      </c>
      <c r="D34" s="308" t="n">
        <v>1260930</v>
      </c>
      <c r="E34" s="333" t="n">
        <v>0.032</v>
      </c>
      <c r="F34" s="308" t="n">
        <v>39375405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956640</v>
      </c>
      <c r="E35" s="333" t="n">
        <v>0.137</v>
      </c>
      <c r="F35" s="308" t="n">
        <v>6984000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0.0205</v>
      </c>
      <c r="F36" s="308" t="n">
        <v>27919215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547295</v>
      </c>
      <c r="E37" s="333" t="n">
        <v>0.03240000000000001</v>
      </c>
      <c r="F37" s="308" t="n">
        <v>16897650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516800</v>
      </c>
      <c r="E38" s="333" t="n">
        <v>0.1058</v>
      </c>
      <c r="F38" s="308" t="n">
        <v>4883250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1338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19146.78</v>
      </c>
      <c r="H67" s="283" t="inlineStr">
        <is>
          <t>실적</t>
        </is>
      </c>
    </row>
    <row r="68">
      <c r="A68" s="349" t="n">
        <v>46053</v>
      </c>
      <c r="B68" s="292" t="n">
        <v>1</v>
      </c>
      <c r="C68" s="292" t="inlineStr">
        <is>
          <t>0219E0</t>
        </is>
      </c>
      <c r="D68" s="292" t="inlineStr">
        <is>
          <t>KODEX 200커버드콜액티브</t>
        </is>
      </c>
      <c r="E68" s="293" t="n">
        <v>207240</v>
      </c>
      <c r="F68" s="347" t="n"/>
      <c r="G68" s="293" t="n">
        <v>207240</v>
      </c>
      <c r="H68" s="292" t="inlineStr">
        <is>
          <t>예측</t>
        </is>
      </c>
    </row>
    <row r="69">
      <c r="A69" s="348" t="n">
        <v>46062</v>
      </c>
      <c r="B69" s="283" t="n">
        <v>2</v>
      </c>
      <c r="C69" s="283" t="inlineStr">
        <is>
          <t>AAPL</t>
        </is>
      </c>
      <c r="D69" s="283" t="inlineStr">
        <is>
          <t>애플</t>
        </is>
      </c>
      <c r="E69" s="284" t="n"/>
      <c r="F69" s="345" t="n">
        <v>2.34</v>
      </c>
      <c r="G69" s="284" t="n">
        <v>3130.92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0008S0</t>
        </is>
      </c>
      <c r="D70" s="283" t="inlineStr">
        <is>
          <t>TIGER 미국배당다우존스타겟데일리커버드콜</t>
        </is>
      </c>
      <c r="E70" s="284" t="n">
        <v>306000</v>
      </c>
      <c r="F70" s="345" t="n"/>
      <c r="G70" s="284" t="n">
        <v>306000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474220</t>
        </is>
      </c>
      <c r="D71" s="283" t="inlineStr">
        <is>
          <t>TIGER미국테크TOP10커버드콜</t>
        </is>
      </c>
      <c r="E71" s="284" t="n">
        <v>594690</v>
      </c>
      <c r="F71" s="345" t="n"/>
      <c r="G71" s="284" t="n">
        <v>594690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481060</t>
        </is>
      </c>
      <c r="D72" s="283" t="inlineStr">
        <is>
          <t>KODEX 미국30년국채타겟커버드콜(H)</t>
        </is>
      </c>
      <c r="E72" s="284" t="n">
        <v>253980</v>
      </c>
      <c r="F72" s="345" t="n"/>
      <c r="G72" s="284" t="n">
        <v>253980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490490</t>
        </is>
      </c>
      <c r="D73" s="283" t="inlineStr">
        <is>
          <t>SOL미국배당미국채혼합50</t>
        </is>
      </c>
      <c r="E73" s="284" t="n">
        <v>91704</v>
      </c>
      <c r="F73" s="345" t="n"/>
      <c r="G73" s="284" t="n">
        <v>91704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498400</t>
        </is>
      </c>
      <c r="D74" s="283" t="inlineStr">
        <is>
          <t>KODEX 200타켓위클리커버드콜</t>
        </is>
      </c>
      <c r="E74" s="284" t="n">
        <v>149084</v>
      </c>
      <c r="F74" s="345" t="n"/>
      <c r="G74" s="284" t="n">
        <v>149084</v>
      </c>
      <c r="H74" s="283" t="inlineStr">
        <is>
          <t>실적</t>
        </is>
      </c>
    </row>
    <row r="75">
      <c r="A75" s="348" t="n">
        <v>46065</v>
      </c>
      <c r="B75" s="283" t="n">
        <v>2</v>
      </c>
      <c r="C75" s="283" t="inlineStr">
        <is>
          <t>XOM</t>
        </is>
      </c>
      <c r="D75" s="283" t="inlineStr">
        <is>
          <t>엑슨모빌</t>
        </is>
      </c>
      <c r="E75" s="284" t="n"/>
      <c r="F75" s="345" t="n">
        <v>1.03</v>
      </c>
      <c r="G75" s="284" t="n">
        <v>1378.14</v>
      </c>
      <c r="H75" s="283" t="inlineStr">
        <is>
          <t>실적</t>
        </is>
      </c>
    </row>
    <row r="76">
      <c r="A76" s="348" t="n">
        <v>46066</v>
      </c>
      <c r="B76" s="283" t="n">
        <v>2</v>
      </c>
      <c r="C76" s="283" t="inlineStr">
        <is>
          <t>SBUX</t>
        </is>
      </c>
      <c r="D76" s="283" t="inlineStr">
        <is>
          <t>스타벅스</t>
        </is>
      </c>
      <c r="E76" s="284" t="n"/>
      <c r="F76" s="345" t="n">
        <v>1.24</v>
      </c>
      <c r="G76" s="284" t="n">
        <v>1659.12</v>
      </c>
      <c r="H76" s="283" t="inlineStr">
        <is>
          <t>실적</t>
        </is>
      </c>
    </row>
    <row r="77">
      <c r="A77" s="348" t="n">
        <v>46070</v>
      </c>
      <c r="B77" s="283" t="n">
        <v>2</v>
      </c>
      <c r="C77" s="283" t="inlineStr">
        <is>
          <t>CVX</t>
        </is>
      </c>
      <c r="D77" s="283" t="inlineStr">
        <is>
          <t>셰브론</t>
        </is>
      </c>
      <c r="E77" s="284" t="n"/>
      <c r="F77" s="345" t="n">
        <v>1.78</v>
      </c>
      <c r="G77" s="284" t="n">
        <v>2381.64</v>
      </c>
      <c r="H77" s="283" t="inlineStr">
        <is>
          <t>실적</t>
        </is>
      </c>
    </row>
    <row r="78">
      <c r="A78" s="348" t="n">
        <v>46072</v>
      </c>
      <c r="B78" s="283" t="n">
        <v>2</v>
      </c>
      <c r="C78" s="283" t="inlineStr">
        <is>
          <t>MSFT</t>
        </is>
      </c>
      <c r="D78" s="283" t="inlineStr">
        <is>
          <t>마이크로소프트</t>
        </is>
      </c>
      <c r="E78" s="284" t="n"/>
      <c r="F78" s="345" t="n">
        <v>1.82</v>
      </c>
      <c r="G78" s="284" t="n">
        <v>2435.16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inlineStr">
        <is>
          <t>005389</t>
        </is>
      </c>
      <c r="D79" s="283" t="inlineStr">
        <is>
          <t>현대차3우B</t>
        </is>
      </c>
      <c r="E79" s="284" t="n">
        <v>33150</v>
      </c>
      <c r="F79" s="345" t="n"/>
      <c r="G79" s="284" t="n">
        <v>33150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n">
        <v>105560</v>
      </c>
      <c r="D80" s="283" t="inlineStr">
        <is>
          <t>KB금융</t>
        </is>
      </c>
      <c r="E80" s="284" t="n">
        <v>19260</v>
      </c>
      <c r="F80" s="345" t="n"/>
      <c r="G80" s="284" t="n">
        <v>19260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329200</t>
        </is>
      </c>
      <c r="D81" s="283" t="inlineStr">
        <is>
          <t>TIGER리츠부동산인프라</t>
        </is>
      </c>
      <c r="E81" s="284" t="n">
        <v>165000</v>
      </c>
      <c r="F81" s="345" t="n"/>
      <c r="G81" s="284" t="n">
        <v>165000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433330</t>
        </is>
      </c>
      <c r="D82" s="283" t="inlineStr">
        <is>
          <t>SOL 미국 S&amp;P500</t>
        </is>
      </c>
      <c r="E82" s="284" t="n">
        <v>18984</v>
      </c>
      <c r="F82" s="345" t="n"/>
      <c r="G82" s="284" t="n">
        <v>18984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446720</t>
        </is>
      </c>
      <c r="D83" s="283" t="inlineStr">
        <is>
          <t>SOL 미국배당다우존스</t>
        </is>
      </c>
      <c r="E83" s="284" t="n">
        <v>46550</v>
      </c>
      <c r="F83" s="345" t="n"/>
      <c r="G83" s="284" t="n">
        <v>46550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458760</t>
        </is>
      </c>
      <c r="D84" s="283" t="inlineStr">
        <is>
          <t>TIGER 미배당다우커버드콜2호</t>
        </is>
      </c>
      <c r="E84" s="284" t="n">
        <v>1443182</v>
      </c>
      <c r="F84" s="345" t="n"/>
      <c r="G84" s="284" t="n">
        <v>1443182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468380</t>
        </is>
      </c>
      <c r="D85" s="283" t="inlineStr">
        <is>
          <t>KODEX iShares미국하이일드액티브</t>
        </is>
      </c>
      <c r="E85" s="284" t="n">
        <v>128000</v>
      </c>
      <c r="F85" s="345" t="n"/>
      <c r="G85" s="284" t="n">
        <v>128000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473330</t>
        </is>
      </c>
      <c r="D86" s="283" t="inlineStr">
        <is>
          <t>SOL 미국 30년국채커버드콜(합성)</t>
        </is>
      </c>
      <c r="E86" s="284" t="n">
        <v>72000</v>
      </c>
      <c r="F86" s="345" t="n"/>
      <c r="G86" s="284" t="n">
        <v>72000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475380</t>
        </is>
      </c>
      <c r="D87" s="283" t="inlineStr">
        <is>
          <t>RISE 글로벌리얼티인컴</t>
        </is>
      </c>
      <c r="E87" s="284" t="n">
        <v>3131</v>
      </c>
      <c r="F87" s="345" t="n"/>
      <c r="G87" s="284" t="n">
        <v>3131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476550</t>
        </is>
      </c>
      <c r="D88" s="283" t="inlineStr">
        <is>
          <t>TIGER 미국30년국채커버드콜액티브(H)</t>
        </is>
      </c>
      <c r="E88" s="284" t="n">
        <v>33187</v>
      </c>
      <c r="F88" s="345" t="n"/>
      <c r="G88" s="284" t="n">
        <v>33187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476690</t>
        </is>
      </c>
      <c r="D89" s="283" t="inlineStr">
        <is>
          <t>TIGER 글로벌비만치료제 TOP2 Plus</t>
        </is>
      </c>
      <c r="E89" s="284" t="n">
        <v>1200</v>
      </c>
      <c r="F89" s="345" t="n"/>
      <c r="G89" s="284" t="n">
        <v>1200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482730</t>
        </is>
      </c>
      <c r="D90" s="283" t="inlineStr">
        <is>
          <t>미국S&amp;P500타겟데일리커버드콜</t>
        </is>
      </c>
      <c r="E90" s="284" t="n">
        <v>41225</v>
      </c>
      <c r="F90" s="345" t="n"/>
      <c r="G90" s="284" t="n">
        <v>41225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483280</t>
        </is>
      </c>
      <c r="D91" s="283" t="inlineStr">
        <is>
          <t>KODEX 미국AI테크TOP10타겟커버드콜</t>
        </is>
      </c>
      <c r="E91" s="284" t="n">
        <v>331674</v>
      </c>
      <c r="F91" s="345" t="n"/>
      <c r="G91" s="284" t="n">
        <v>331674</v>
      </c>
      <c r="H91" s="283" t="inlineStr">
        <is>
          <t>실적</t>
        </is>
      </c>
    </row>
    <row r="92">
      <c r="A92" s="348" t="n">
        <v>46079</v>
      </c>
      <c r="B92" s="283" t="n">
        <v>2</v>
      </c>
      <c r="C92" s="283" t="inlineStr">
        <is>
          <t>498410</t>
        </is>
      </c>
      <c r="D92" s="283" t="inlineStr">
        <is>
          <t>KODEX금융고배당TOP10타겟위클리커버드콜</t>
        </is>
      </c>
      <c r="E92" s="284" t="n">
        <v>449253</v>
      </c>
      <c r="F92" s="345" t="n"/>
      <c r="G92" s="284" t="n">
        <v>449253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O</t>
        </is>
      </c>
      <c r="D93" s="283" t="inlineStr">
        <is>
          <t>리얼티인컴</t>
        </is>
      </c>
      <c r="E93" s="284" t="n"/>
      <c r="F93" s="345" t="n">
        <v>14.31</v>
      </c>
      <c r="G93" s="284" t="n">
        <v>19146.78</v>
      </c>
      <c r="H93" s="283" t="inlineStr">
        <is>
          <t>실적</t>
        </is>
      </c>
    </row>
    <row r="94">
      <c r="A94" s="348" t="n">
        <v>46080</v>
      </c>
      <c r="B94" s="283" t="n">
        <v>2</v>
      </c>
      <c r="C94" s="283" t="inlineStr">
        <is>
          <t>TMUS</t>
        </is>
      </c>
      <c r="D94" s="283" t="inlineStr">
        <is>
          <t>T-모바일</t>
        </is>
      </c>
      <c r="E94" s="284" t="n"/>
      <c r="F94" s="345" t="n">
        <v>4.08</v>
      </c>
      <c r="G94" s="284" t="n">
        <v>5459.04</v>
      </c>
      <c r="H94" s="283" t="inlineStr">
        <is>
          <t>실적</t>
        </is>
      </c>
    </row>
    <row r="95">
      <c r="A95" s="349" t="n">
        <v>46081</v>
      </c>
      <c r="B95" s="292" t="n">
        <v>2</v>
      </c>
      <c r="C95" s="292" t="inlineStr">
        <is>
          <t>0219E0</t>
        </is>
      </c>
      <c r="D95" s="292" t="inlineStr">
        <is>
          <t>KODEX 200커버드콜액티브</t>
        </is>
      </c>
      <c r="E95" s="293" t="n">
        <v>207240</v>
      </c>
      <c r="F95" s="347" t="n"/>
      <c r="G95" s="293" t="n">
        <v>207240</v>
      </c>
      <c r="H95" s="292" t="inlineStr">
        <is>
          <t>예측</t>
        </is>
      </c>
    </row>
    <row r="96">
      <c r="A96" s="348" t="n">
        <v>46083</v>
      </c>
      <c r="B96" s="283" t="n">
        <v>3</v>
      </c>
      <c r="C96" s="283" t="inlineStr">
        <is>
          <t>NKE</t>
        </is>
      </c>
      <c r="D96" s="283" t="inlineStr">
        <is>
          <t>나이키</t>
        </is>
      </c>
      <c r="E96" s="284" t="n"/>
      <c r="F96" s="345" t="n">
        <v>4.1</v>
      </c>
      <c r="G96" s="284" t="n">
        <v>5485.799999999999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0008S0</t>
        </is>
      </c>
      <c r="D97" s="283" t="inlineStr">
        <is>
          <t>TIGER 미국배당다우존스타겟데일리커버드콜</t>
        </is>
      </c>
      <c r="E97" s="284" t="n">
        <v>303000</v>
      </c>
      <c r="F97" s="345" t="n"/>
      <c r="G97" s="284" t="n">
        <v>303000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352820</t>
        </is>
      </c>
      <c r="D98" s="283" t="inlineStr">
        <is>
          <t>하이브</t>
        </is>
      </c>
      <c r="E98" s="284" t="n">
        <v>9000</v>
      </c>
      <c r="F98" s="345" t="n"/>
      <c r="G98" s="284" t="n">
        <v>9000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474220</t>
        </is>
      </c>
      <c r="D99" s="283" t="inlineStr">
        <is>
          <t>TIGER미국테크TOP10커버드콜</t>
        </is>
      </c>
      <c r="E99" s="284" t="n">
        <v>580860</v>
      </c>
      <c r="F99" s="345" t="n"/>
      <c r="G99" s="284" t="n">
        <v>580860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481060</t>
        </is>
      </c>
      <c r="D100" s="283" t="inlineStr">
        <is>
          <t>KODEX 미국30년국채타겟커버드콜(H)</t>
        </is>
      </c>
      <c r="E100" s="284" t="n">
        <v>250920</v>
      </c>
      <c r="F100" s="345" t="n"/>
      <c r="G100" s="284" t="n">
        <v>250920</v>
      </c>
      <c r="H100" s="283" t="inlineStr">
        <is>
          <t>실적</t>
        </is>
      </c>
    </row>
    <row r="101">
      <c r="A101" s="348" t="n">
        <v>46093</v>
      </c>
      <c r="B101" s="283" t="n">
        <v>3</v>
      </c>
      <c r="C101" s="283" t="inlineStr">
        <is>
          <t>490490</t>
        </is>
      </c>
      <c r="D101" s="283" t="inlineStr">
        <is>
          <t>SOL미국배당미국채혼합50</t>
        </is>
      </c>
      <c r="E101" s="284" t="n">
        <v>114630</v>
      </c>
      <c r="F101" s="345" t="n"/>
      <c r="G101" s="284" t="n">
        <v>114630</v>
      </c>
      <c r="H101" s="283" t="inlineStr">
        <is>
          <t>실적</t>
        </is>
      </c>
    </row>
    <row r="102">
      <c r="A102" s="348" t="n">
        <v>46093</v>
      </c>
      <c r="B102" s="283" t="n">
        <v>3</v>
      </c>
      <c r="C102" s="283" t="inlineStr">
        <is>
          <t>498400</t>
        </is>
      </c>
      <c r="D102" s="283" t="inlineStr">
        <is>
          <t>KODEX 200타켓위클리커버드콜</t>
        </is>
      </c>
      <c r="E102" s="284" t="n">
        <v>153972</v>
      </c>
      <c r="F102" s="345" t="n"/>
      <c r="G102" s="284" t="n">
        <v>153972</v>
      </c>
      <c r="H102" s="283" t="inlineStr">
        <is>
          <t>실적</t>
        </is>
      </c>
    </row>
    <row r="103">
      <c r="A103" s="348" t="n">
        <v>46098</v>
      </c>
      <c r="B103" s="283" t="n">
        <v>3</v>
      </c>
      <c r="C103" s="283" t="inlineStr">
        <is>
          <t>TSM</t>
        </is>
      </c>
      <c r="D103" s="283" t="inlineStr">
        <is>
          <t>TSMC</t>
        </is>
      </c>
      <c r="E103" s="284" t="n"/>
      <c r="F103" s="345" t="n">
        <v>0.956</v>
      </c>
      <c r="G103" s="284" t="n">
        <v>1279.128</v>
      </c>
      <c r="H103" s="283" t="inlineStr">
        <is>
          <t>실적</t>
        </is>
      </c>
    </row>
    <row r="104">
      <c r="A104" s="348" t="n">
        <v>46105</v>
      </c>
      <c r="B104" s="283" t="n">
        <v>3</v>
      </c>
      <c r="C104" s="283" t="inlineStr">
        <is>
          <t>000270</t>
        </is>
      </c>
      <c r="D104" s="283" t="inlineStr">
        <is>
          <t>기아</t>
        </is>
      </c>
      <c r="E104" s="284" t="n">
        <v>231200</v>
      </c>
      <c r="F104" s="345" t="n"/>
      <c r="G104" s="284" t="n">
        <v>231200</v>
      </c>
      <c r="H104" s="283" t="inlineStr">
        <is>
          <t>실적</t>
        </is>
      </c>
    </row>
    <row r="105">
      <c r="A105" s="348" t="n">
        <v>46106</v>
      </c>
      <c r="B105" s="283" t="n">
        <v>3</v>
      </c>
      <c r="C105" s="283" t="inlineStr">
        <is>
          <t>QLD</t>
        </is>
      </c>
      <c r="D105" s="283" t="inlineStr">
        <is>
          <t>QLD</t>
        </is>
      </c>
      <c r="E105" s="284" t="n"/>
      <c r="F105" s="345" t="n">
        <v>1.82</v>
      </c>
      <c r="G105" s="284" t="n">
        <v>2435.16</v>
      </c>
      <c r="H105" s="283" t="inlineStr">
        <is>
          <t>실적</t>
        </is>
      </c>
    </row>
    <row r="106">
      <c r="A106" s="348" t="n">
        <v>46106</v>
      </c>
      <c r="B106" s="283" t="n">
        <v>3</v>
      </c>
      <c r="C106" s="283" t="inlineStr">
        <is>
          <t>SCHD</t>
        </is>
      </c>
      <c r="D106" s="283" t="inlineStr">
        <is>
          <t>SCHD</t>
        </is>
      </c>
      <c r="E106" s="284" t="n"/>
      <c r="F106" s="345" t="n">
        <v>6.168</v>
      </c>
      <c r="G106" s="284" t="n">
        <v>8252.784</v>
      </c>
      <c r="H106" s="283" t="inlineStr">
        <is>
          <t>실적</t>
        </is>
      </c>
    </row>
    <row r="107">
      <c r="A107" s="349" t="n">
        <v>46109</v>
      </c>
      <c r="B107" s="292" t="n">
        <v>3</v>
      </c>
      <c r="C107" s="292" t="inlineStr">
        <is>
          <t>005389</t>
        </is>
      </c>
      <c r="D107" s="292" t="inlineStr">
        <is>
          <t>현대차3우B</t>
        </is>
      </c>
      <c r="E107" s="293" t="n">
        <v>26000</v>
      </c>
      <c r="F107" s="347" t="n"/>
      <c r="G107" s="293" t="n">
        <v>26000</v>
      </c>
      <c r="H107" s="292" t="inlineStr">
        <is>
          <t>예측</t>
        </is>
      </c>
    </row>
    <row r="108">
      <c r="A108" s="349" t="n">
        <v>46109</v>
      </c>
      <c r="B108" s="292" t="n">
        <v>3</v>
      </c>
      <c r="C108" s="292" t="n">
        <v>105560</v>
      </c>
      <c r="D108" s="292" t="inlineStr">
        <is>
          <t>KB금융</t>
        </is>
      </c>
      <c r="E108" s="293" t="n">
        <v>9408</v>
      </c>
      <c r="F108" s="347" t="n"/>
      <c r="G108" s="293" t="n">
        <v>9408</v>
      </c>
      <c r="H108" s="292" t="inlineStr">
        <is>
          <t>예측</t>
        </is>
      </c>
    </row>
    <row r="109">
      <c r="A109" s="348" t="n">
        <v>46111</v>
      </c>
      <c r="B109" s="283" t="n">
        <v>3</v>
      </c>
      <c r="C109" s="283" t="inlineStr">
        <is>
          <t>005930</t>
        </is>
      </c>
      <c r="D109" s="283" t="inlineStr">
        <is>
          <t>삼성전자</t>
        </is>
      </c>
      <c r="E109" s="284" t="n">
        <v>36828</v>
      </c>
      <c r="F109" s="345" t="n"/>
      <c r="G109" s="284" t="n">
        <v>36828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024110</t>
        </is>
      </c>
      <c r="D110" s="283" t="inlineStr">
        <is>
          <t>기업은행</t>
        </is>
      </c>
      <c r="E110" s="284" t="n">
        <v>187592</v>
      </c>
      <c r="F110" s="345" t="n"/>
      <c r="G110" s="284" t="n">
        <v>187592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329200</t>
        </is>
      </c>
      <c r="D111" s="283" t="inlineStr">
        <is>
          <t>TIGER리츠부동산인프라</t>
        </is>
      </c>
      <c r="E111" s="284" t="n">
        <v>165000</v>
      </c>
      <c r="F111" s="345" t="n"/>
      <c r="G111" s="284" t="n">
        <v>165000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433330</t>
        </is>
      </c>
      <c r="D112" s="283" t="inlineStr">
        <is>
          <t>SOL 미국 S&amp;P500</t>
        </is>
      </c>
      <c r="E112" s="284" t="n">
        <v>28476</v>
      </c>
      <c r="F112" s="345" t="n"/>
      <c r="G112" s="284" t="n">
        <v>28476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446720</t>
        </is>
      </c>
      <c r="D113" s="283" t="inlineStr">
        <is>
          <t>SOL 미국배당다우존스</t>
        </is>
      </c>
      <c r="E113" s="284" t="n">
        <v>43890</v>
      </c>
      <c r="F113" s="345" t="n"/>
      <c r="G113" s="284" t="n">
        <v>43890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458760</t>
        </is>
      </c>
      <c r="D114" s="283" t="inlineStr">
        <is>
          <t>TIGER 미배당다우커버드콜2호</t>
        </is>
      </c>
      <c r="E114" s="284" t="n">
        <v>1443182</v>
      </c>
      <c r="F114" s="345" t="n"/>
      <c r="G114" s="284" t="n">
        <v>1443182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468380</t>
        </is>
      </c>
      <c r="D115" s="283" t="inlineStr">
        <is>
          <t>KODEX iShares미국하이일드액티브</t>
        </is>
      </c>
      <c r="E115" s="284" t="n">
        <v>118000</v>
      </c>
      <c r="F115" s="345" t="n"/>
      <c r="G115" s="284" t="n">
        <v>118000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473330</t>
        </is>
      </c>
      <c r="D116" s="283" t="inlineStr">
        <is>
          <t>SOL 미국 30년국채커버드콜(합성)</t>
        </is>
      </c>
      <c r="E116" s="284" t="n">
        <v>73920</v>
      </c>
      <c r="F116" s="345" t="n"/>
      <c r="G116" s="284" t="n">
        <v>73920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475380</t>
        </is>
      </c>
      <c r="D117" s="283" t="inlineStr">
        <is>
          <t>RISE 글로벌리얼티인컴</t>
        </is>
      </c>
      <c r="E117" s="284" t="n">
        <v>3333</v>
      </c>
      <c r="F117" s="345" t="n"/>
      <c r="G117" s="284" t="n">
        <v>3333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476550</t>
        </is>
      </c>
      <c r="D118" s="283" t="inlineStr">
        <is>
          <t>TIGER 미국30년국채커버드콜액티브(H)</t>
        </is>
      </c>
      <c r="E118" s="284" t="n">
        <v>32325</v>
      </c>
      <c r="F118" s="345" t="n"/>
      <c r="G118" s="284" t="n">
        <v>32325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476690</t>
        </is>
      </c>
      <c r="D119" s="283" t="inlineStr">
        <is>
          <t>TIGER 글로벌비만치료제 TOP2 Plus</t>
        </is>
      </c>
      <c r="E119" s="284" t="n">
        <v>3300</v>
      </c>
      <c r="F119" s="345" t="n"/>
      <c r="G119" s="284" t="n">
        <v>3300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482730</t>
        </is>
      </c>
      <c r="D120" s="283" t="inlineStr">
        <is>
          <t>미국S&amp;P500타겟데일리커버드콜</t>
        </is>
      </c>
      <c r="E120" s="284" t="n">
        <v>41225</v>
      </c>
      <c r="F120" s="345" t="n"/>
      <c r="G120" s="284" t="n">
        <v>41225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483280</t>
        </is>
      </c>
      <c r="D121" s="283" t="inlineStr">
        <is>
          <t>KODEX 미국AI테크TOP10타겟커버드콜</t>
        </is>
      </c>
      <c r="E121" s="284" t="n">
        <v>329448</v>
      </c>
      <c r="F121" s="345" t="n"/>
      <c r="G121" s="284" t="n">
        <v>329448</v>
      </c>
      <c r="H121" s="283" t="inlineStr">
        <is>
          <t>실적</t>
        </is>
      </c>
    </row>
    <row r="122">
      <c r="A122" s="348" t="n">
        <v>46111</v>
      </c>
      <c r="B122" s="283" t="n">
        <v>3</v>
      </c>
      <c r="C122" s="283" t="inlineStr">
        <is>
          <t>498410</t>
        </is>
      </c>
      <c r="D122" s="283" t="inlineStr">
        <is>
          <t>KODEX금융고배당TOP10타겟위클리커버드콜</t>
        </is>
      </c>
      <c r="E122" s="284" t="n">
        <v>385074</v>
      </c>
      <c r="F122" s="345" t="n"/>
      <c r="G122" s="284" t="n">
        <v>385074</v>
      </c>
      <c r="H122" s="283" t="inlineStr">
        <is>
          <t>실적</t>
        </is>
      </c>
    </row>
    <row r="123">
      <c r="A123" s="348" t="n">
        <v>46111</v>
      </c>
      <c r="B123" s="283" t="n">
        <v>3</v>
      </c>
      <c r="C123" s="283" t="inlineStr">
        <is>
          <t>NVO</t>
        </is>
      </c>
      <c r="D123" s="283" t="inlineStr">
        <is>
          <t>노보 노디스크</t>
        </is>
      </c>
      <c r="E123" s="284" t="n"/>
      <c r="F123" s="345" t="n">
        <v>19.125</v>
      </c>
      <c r="G123" s="284" t="n">
        <v>25589.25</v>
      </c>
      <c r="H123" s="283" t="inlineStr">
        <is>
          <t>실적</t>
        </is>
      </c>
    </row>
    <row r="124">
      <c r="A124" s="349" t="n">
        <v>46112</v>
      </c>
      <c r="B124" s="292" t="n">
        <v>3</v>
      </c>
      <c r="C124" s="292" t="inlineStr">
        <is>
          <t>0219E0</t>
        </is>
      </c>
      <c r="D124" s="292" t="inlineStr">
        <is>
          <t>KODEX 200커버드콜액티브</t>
        </is>
      </c>
      <c r="E124" s="293" t="n">
        <v>207240</v>
      </c>
      <c r="F124" s="347" t="n"/>
      <c r="G124" s="293" t="n">
        <v>207240</v>
      </c>
      <c r="H124" s="292" t="inlineStr">
        <is>
          <t>예측</t>
        </is>
      </c>
    </row>
    <row r="125">
      <c r="A125" s="348" t="n">
        <v>46112</v>
      </c>
      <c r="B125" s="283" t="n">
        <v>3</v>
      </c>
      <c r="C125" s="283" t="inlineStr">
        <is>
          <t>O</t>
        </is>
      </c>
      <c r="D125" s="283" t="inlineStr">
        <is>
          <t>리얼티인컴</t>
        </is>
      </c>
      <c r="E125" s="284" t="n"/>
      <c r="F125" s="345" t="n">
        <v>14.363</v>
      </c>
      <c r="G125" s="284" t="n">
        <v>19217.694</v>
      </c>
      <c r="H125" s="283" t="inlineStr">
        <is>
          <t>실적</t>
        </is>
      </c>
    </row>
    <row r="126">
      <c r="A126" s="348" t="n">
        <v>46114</v>
      </c>
      <c r="B126" s="283" t="n">
        <v>4</v>
      </c>
      <c r="C126" s="283" t="inlineStr">
        <is>
          <t>475560</t>
        </is>
      </c>
      <c r="D126" s="283" t="inlineStr">
        <is>
          <t>더본코리아</t>
        </is>
      </c>
      <c r="E126" s="284" t="n">
        <v>7500</v>
      </c>
      <c r="F126" s="345" t="n"/>
      <c r="G126" s="284" t="n">
        <v>7500</v>
      </c>
      <c r="H126" s="283" t="inlineStr">
        <is>
          <t>실적</t>
        </is>
      </c>
    </row>
    <row r="127">
      <c r="A127" s="348" t="n">
        <v>46121</v>
      </c>
      <c r="B127" s="283" t="n">
        <v>4</v>
      </c>
      <c r="C127" s="283" t="inlineStr">
        <is>
          <t>ORCL</t>
        </is>
      </c>
      <c r="D127" s="283" t="inlineStr">
        <is>
          <t>오라클</t>
        </is>
      </c>
      <c r="E127" s="284" t="n"/>
      <c r="F127" s="345" t="n">
        <v>1</v>
      </c>
      <c r="G127" s="284" t="n">
        <v>1338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0008S0</t>
        </is>
      </c>
      <c r="D128" s="283" t="inlineStr">
        <is>
          <t>TIGER 미국배당다우존스타겟데일리커버드콜</t>
        </is>
      </c>
      <c r="E128" s="284" t="n">
        <v>303000</v>
      </c>
      <c r="F128" s="345" t="n"/>
      <c r="G128" s="284" t="n">
        <v>303000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474220</t>
        </is>
      </c>
      <c r="D129" s="283" t="inlineStr">
        <is>
          <t>TIGER미국테크TOP10커버드콜</t>
        </is>
      </c>
      <c r="E129" s="284" t="n">
        <v>580860</v>
      </c>
      <c r="F129" s="345" t="n"/>
      <c r="G129" s="284" t="n">
        <v>580860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481060</t>
        </is>
      </c>
      <c r="D130" s="283" t="inlineStr">
        <is>
          <t>KODEX 미국30년국채타겟커버드콜(H)</t>
        </is>
      </c>
      <c r="E130" s="284" t="n">
        <v>244800</v>
      </c>
      <c r="F130" s="345" t="n"/>
      <c r="G130" s="284" t="n">
        <v>244800</v>
      </c>
      <c r="H130" s="283" t="inlineStr">
        <is>
          <t>실적</t>
        </is>
      </c>
    </row>
    <row r="131">
      <c r="A131" s="348" t="n">
        <v>46126</v>
      </c>
      <c r="B131" s="283" t="n">
        <v>4</v>
      </c>
      <c r="C131" s="283" t="inlineStr">
        <is>
          <t>490490</t>
        </is>
      </c>
      <c r="D131" s="283" t="inlineStr">
        <is>
          <t>SOL미국배당미국채혼합50</t>
        </is>
      </c>
      <c r="E131" s="284" t="n">
        <v>114630</v>
      </c>
      <c r="F131" s="345" t="n"/>
      <c r="G131" s="284" t="n">
        <v>114630</v>
      </c>
      <c r="H131" s="283" t="inlineStr">
        <is>
          <t>실적</t>
        </is>
      </c>
    </row>
    <row r="132">
      <c r="A132" s="348" t="n">
        <v>46126</v>
      </c>
      <c r="B132" s="283" t="n">
        <v>4</v>
      </c>
      <c r="C132" s="283" t="inlineStr">
        <is>
          <t>498400</t>
        </is>
      </c>
      <c r="D132" s="283" t="inlineStr">
        <is>
          <t>KODEX 200타켓위클리커버드콜</t>
        </is>
      </c>
      <c r="E132" s="284" t="n">
        <v>160082</v>
      </c>
      <c r="F132" s="345" t="n"/>
      <c r="G132" s="284" t="n">
        <v>160082</v>
      </c>
      <c r="H132" s="283" t="inlineStr">
        <is>
          <t>실적</t>
        </is>
      </c>
    </row>
    <row r="133">
      <c r="A133" s="348" t="n">
        <v>46126</v>
      </c>
      <c r="B133" s="283" t="n">
        <v>4</v>
      </c>
      <c r="C133" s="283" t="inlineStr">
        <is>
          <t>AMT</t>
        </is>
      </c>
      <c r="D133" s="283" t="inlineStr">
        <is>
          <t>아메리칸타워</t>
        </is>
      </c>
      <c r="E133" s="284" t="n"/>
      <c r="F133" s="345" t="n">
        <v>8.949999999999999</v>
      </c>
      <c r="G133" s="284" t="n">
        <v>11975.1</v>
      </c>
      <c r="H133" s="283" t="inlineStr">
        <is>
          <t>실적</t>
        </is>
      </c>
    </row>
    <row r="134">
      <c r="A134" s="348" t="n">
        <v>46141</v>
      </c>
      <c r="B134" s="283" t="n">
        <v>4</v>
      </c>
      <c r="C134" s="283" t="inlineStr">
        <is>
          <t>133690</t>
        </is>
      </c>
      <c r="D134" s="283" t="inlineStr">
        <is>
          <t>TIGER 미국나스닥100</t>
        </is>
      </c>
      <c r="E134" s="284" t="n">
        <v>13395</v>
      </c>
      <c r="F134" s="345" t="n"/>
      <c r="G134" s="284" t="n">
        <v>13395</v>
      </c>
      <c r="H134" s="283" t="inlineStr">
        <is>
          <t>실적</t>
        </is>
      </c>
    </row>
    <row r="135">
      <c r="A135" s="348" t="n">
        <v>46141</v>
      </c>
      <c r="B135" s="283" t="n">
        <v>4</v>
      </c>
      <c r="C135" s="283" t="inlineStr">
        <is>
          <t>329200</t>
        </is>
      </c>
      <c r="D135" s="283" t="inlineStr">
        <is>
          <t>TIGER리츠부동산인프라</t>
        </is>
      </c>
      <c r="E135" s="284" t="n">
        <v>165000</v>
      </c>
      <c r="F135" s="345" t="n"/>
      <c r="G135" s="284" t="n">
        <v>165000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360750</t>
        </is>
      </c>
      <c r="D136" s="283" t="inlineStr">
        <is>
          <t>TIGER미국S&amp;P500</t>
        </is>
      </c>
      <c r="E136" s="284" t="n">
        <v>13578</v>
      </c>
      <c r="F136" s="345" t="n"/>
      <c r="G136" s="284" t="n">
        <v>13578</v>
      </c>
      <c r="H136" s="283" t="inlineStr">
        <is>
          <t>실적</t>
        </is>
      </c>
    </row>
    <row r="137">
      <c r="A137" s="349" t="n">
        <v>46141</v>
      </c>
      <c r="B137" s="292" t="n">
        <v>4</v>
      </c>
      <c r="C137" s="292" t="inlineStr">
        <is>
          <t>364980</t>
        </is>
      </c>
      <c r="D137" s="292" t="inlineStr">
        <is>
          <t>TIGER 2차전지TOP10</t>
        </is>
      </c>
      <c r="E137" s="293" t="n">
        <v>5104</v>
      </c>
      <c r="F137" s="347" t="n"/>
      <c r="G137" s="293" t="n">
        <v>5104</v>
      </c>
      <c r="H137" s="292" t="inlineStr">
        <is>
          <t>예측</t>
        </is>
      </c>
    </row>
    <row r="138">
      <c r="A138" s="348" t="n">
        <v>46141</v>
      </c>
      <c r="B138" s="283" t="n">
        <v>4</v>
      </c>
      <c r="C138" s="283" t="inlineStr">
        <is>
          <t>367380</t>
        </is>
      </c>
      <c r="D138" s="283" t="inlineStr">
        <is>
          <t>ACE 미국나스닥100</t>
        </is>
      </c>
      <c r="E138" s="284" t="n">
        <v>13520</v>
      </c>
      <c r="F138" s="345" t="n"/>
      <c r="G138" s="284" t="n">
        <v>13520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379810</t>
        </is>
      </c>
      <c r="D139" s="283" t="inlineStr">
        <is>
          <t>KODEX 미국나스닥100</t>
        </is>
      </c>
      <c r="E139" s="284" t="n">
        <v>30600</v>
      </c>
      <c r="F139" s="345" t="n"/>
      <c r="G139" s="284" t="n">
        <v>30600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433330</t>
        </is>
      </c>
      <c r="D140" s="283" t="inlineStr">
        <is>
          <t>SOL 미국 S&amp;P500</t>
        </is>
      </c>
      <c r="E140" s="284" t="n">
        <v>13560</v>
      </c>
      <c r="F140" s="345" t="n"/>
      <c r="G140" s="284" t="n">
        <v>13560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446720</t>
        </is>
      </c>
      <c r="D141" s="283" t="inlineStr">
        <is>
          <t>SOL 미국배당다우존스</t>
        </is>
      </c>
      <c r="E141" s="284" t="n">
        <v>39900</v>
      </c>
      <c r="F141" s="345" t="n"/>
      <c r="G141" s="284" t="n">
        <v>39900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458760</t>
        </is>
      </c>
      <c r="D142" s="283" t="inlineStr">
        <is>
          <t>TIGER 미배당다우커버드콜2호</t>
        </is>
      </c>
      <c r="E142" s="284" t="n">
        <v>1412476</v>
      </c>
      <c r="F142" s="345" t="n"/>
      <c r="G142" s="284" t="n">
        <v>1412476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468380</t>
        </is>
      </c>
      <c r="D143" s="283" t="inlineStr">
        <is>
          <t>KODEX iShares미국하이일드액티브</t>
        </is>
      </c>
      <c r="E143" s="284" t="n">
        <v>142000</v>
      </c>
      <c r="F143" s="345" t="n"/>
      <c r="G143" s="284" t="n">
        <v>142000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473330</t>
        </is>
      </c>
      <c r="D144" s="283" t="inlineStr">
        <is>
          <t>SOL 미국 30년국채커버드콜(합성)</t>
        </is>
      </c>
      <c r="E144" s="284" t="n">
        <v>91200</v>
      </c>
      <c r="F144" s="345" t="n"/>
      <c r="G144" s="284" t="n">
        <v>91200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475380</t>
        </is>
      </c>
      <c r="D145" s="283" t="inlineStr">
        <is>
          <t>RISE 글로벌리얼티인컴</t>
        </is>
      </c>
      <c r="E145" s="284" t="n">
        <v>3535</v>
      </c>
      <c r="F145" s="345" t="n"/>
      <c r="G145" s="284" t="n">
        <v>3535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476550</t>
        </is>
      </c>
      <c r="D146" s="283" t="inlineStr">
        <is>
          <t>TIGER 미국30년국채커버드콜액티브(H)</t>
        </is>
      </c>
      <c r="E146" s="284" t="n">
        <v>31894</v>
      </c>
      <c r="F146" s="345" t="n"/>
      <c r="G146" s="284" t="n">
        <v>31894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476690</t>
        </is>
      </c>
      <c r="D147" s="283" t="inlineStr">
        <is>
          <t>TIGER 글로벌비만치료제 TOP2 Plus</t>
        </is>
      </c>
      <c r="E147" s="284" t="n">
        <v>1200</v>
      </c>
      <c r="F147" s="345" t="n"/>
      <c r="G147" s="284" t="n">
        <v>1200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482730</t>
        </is>
      </c>
      <c r="D148" s="283" t="inlineStr">
        <is>
          <t>미국S&amp;P500타겟데일리커버드콜</t>
        </is>
      </c>
      <c r="E148" s="284" t="n">
        <v>42925</v>
      </c>
      <c r="F148" s="345" t="n"/>
      <c r="G148" s="284" t="n">
        <v>42925</v>
      </c>
      <c r="H148" s="283" t="inlineStr">
        <is>
          <t>실적</t>
        </is>
      </c>
    </row>
    <row r="149">
      <c r="A149" s="348" t="n">
        <v>46141</v>
      </c>
      <c r="B149" s="283" t="n">
        <v>4</v>
      </c>
      <c r="C149" s="283" t="inlineStr">
        <is>
          <t>483280</t>
        </is>
      </c>
      <c r="D149" s="283" t="inlineStr">
        <is>
          <t>KODEX 미국AI테크TOP10타겟커버드콜</t>
        </is>
      </c>
      <c r="E149" s="284" t="n">
        <v>356160</v>
      </c>
      <c r="F149" s="345" t="n"/>
      <c r="G149" s="284" t="n">
        <v>356160</v>
      </c>
      <c r="H149" s="283" t="inlineStr">
        <is>
          <t>실적</t>
        </is>
      </c>
    </row>
    <row r="150">
      <c r="A150" s="348" t="n">
        <v>46141</v>
      </c>
      <c r="B150" s="283" t="n">
        <v>4</v>
      </c>
      <c r="C150" s="283" t="inlineStr">
        <is>
          <t>498270</t>
        </is>
      </c>
      <c r="D150" s="283" t="inlineStr">
        <is>
          <t>KIWOOM 미국양자컴퓨팅</t>
        </is>
      </c>
      <c r="E150" s="284" t="n">
        <v>3564</v>
      </c>
      <c r="F150" s="345" t="n"/>
      <c r="G150" s="284" t="n">
        <v>3564</v>
      </c>
      <c r="H150" s="283" t="inlineStr">
        <is>
          <t>실적</t>
        </is>
      </c>
    </row>
    <row r="151">
      <c r="A151" s="348" t="n">
        <v>46141</v>
      </c>
      <c r="B151" s="283" t="n">
        <v>4</v>
      </c>
      <c r="C151" s="283" t="inlineStr">
        <is>
          <t>498410</t>
        </is>
      </c>
      <c r="D151" s="283" t="inlineStr">
        <is>
          <t>KODEX금융고배당TOP10타겟위클리커버드콜</t>
        </is>
      </c>
      <c r="E151" s="284" t="n">
        <v>392205</v>
      </c>
      <c r="F151" s="345" t="n"/>
      <c r="G151" s="284" t="n">
        <v>392205</v>
      </c>
      <c r="H151" s="283" t="inlineStr">
        <is>
          <t>실적</t>
        </is>
      </c>
    </row>
    <row r="152">
      <c r="A152" s="349" t="n">
        <v>46142</v>
      </c>
      <c r="B152" s="292" t="n">
        <v>4</v>
      </c>
      <c r="C152" s="292" t="inlineStr">
        <is>
          <t>0219E0</t>
        </is>
      </c>
      <c r="D152" s="292" t="inlineStr">
        <is>
          <t>KODEX 200커버드콜액티브</t>
        </is>
      </c>
      <c r="E152" s="293" t="n">
        <v>207240</v>
      </c>
      <c r="F152" s="347" t="n"/>
      <c r="G152" s="293" t="n">
        <v>207240</v>
      </c>
      <c r="H152" s="292" t="inlineStr">
        <is>
          <t>예측</t>
        </is>
      </c>
    </row>
    <row r="153">
      <c r="A153" s="348" t="n">
        <v>46142</v>
      </c>
      <c r="B153" s="283" t="n">
        <v>4</v>
      </c>
      <c r="C153" s="283" t="inlineStr">
        <is>
          <t>O</t>
        </is>
      </c>
      <c r="D153" s="283" t="inlineStr">
        <is>
          <t>리얼티인컴</t>
        </is>
      </c>
      <c r="E153" s="284" t="n"/>
      <c r="F153" s="345" t="n">
        <v>14.363</v>
      </c>
      <c r="G153" s="284" t="n">
        <v>19217.694</v>
      </c>
      <c r="H153" s="283" t="inlineStr">
        <is>
          <t>실적</t>
        </is>
      </c>
    </row>
    <row r="154">
      <c r="A154" s="348" t="n">
        <v>46149</v>
      </c>
      <c r="B154" s="283" t="n">
        <v>5</v>
      </c>
      <c r="C154" s="283" t="n">
        <v>105560</v>
      </c>
      <c r="D154" s="283" t="inlineStr">
        <is>
          <t>KB금융</t>
        </is>
      </c>
      <c r="E154" s="284" t="n">
        <v>13716</v>
      </c>
      <c r="F154" s="345" t="n"/>
      <c r="G154" s="284" t="n">
        <v>13716</v>
      </c>
      <c r="H154" s="283" t="inlineStr">
        <is>
          <t>실적</t>
        </is>
      </c>
    </row>
    <row r="155">
      <c r="A155" s="348" t="n">
        <v>46153</v>
      </c>
      <c r="B155" s="283" t="n">
        <v>5</v>
      </c>
      <c r="C155" s="283" t="inlineStr">
        <is>
          <t>AAPL</t>
        </is>
      </c>
      <c r="D155" s="283" t="inlineStr">
        <is>
          <t>애플</t>
        </is>
      </c>
      <c r="E155" s="284" t="n"/>
      <c r="F155" s="345" t="n">
        <v>2.43</v>
      </c>
      <c r="G155" s="284" t="n">
        <v>3251.34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0008S0</t>
        </is>
      </c>
      <c r="D156" s="283" t="inlineStr">
        <is>
          <t>TIGER 미국배당다우존스타겟데일리커버드콜</t>
        </is>
      </c>
      <c r="E156" s="284" t="n">
        <v>306000</v>
      </c>
      <c r="F156" s="345" t="n"/>
      <c r="G156" s="284" t="n">
        <v>306000</v>
      </c>
      <c r="H156" s="283" t="inlineStr">
        <is>
          <t>실적</t>
        </is>
      </c>
    </row>
    <row r="157">
      <c r="A157" s="348" t="n">
        <v>46156</v>
      </c>
      <c r="B157" s="283" t="n">
        <v>5</v>
      </c>
      <c r="C157" s="283" t="inlineStr">
        <is>
          <t>474220</t>
        </is>
      </c>
      <c r="D157" s="283" t="inlineStr">
        <is>
          <t>TIGER미국테크TOP10커버드콜</t>
        </is>
      </c>
      <c r="E157" s="284" t="n">
        <v>636180</v>
      </c>
      <c r="F157" s="345" t="n"/>
      <c r="G157" s="284" t="n">
        <v>636180</v>
      </c>
      <c r="H157" s="283" t="inlineStr">
        <is>
          <t>실적</t>
        </is>
      </c>
    </row>
    <row r="158">
      <c r="A158" s="348" t="n">
        <v>46156</v>
      </c>
      <c r="B158" s="283" t="n">
        <v>5</v>
      </c>
      <c r="C158" s="283" t="inlineStr">
        <is>
          <t>481060</t>
        </is>
      </c>
      <c r="D158" s="283" t="inlineStr">
        <is>
          <t>KODEX 미국30년국채타겟커버드콜(H)</t>
        </is>
      </c>
      <c r="E158" s="284" t="n">
        <v>241740</v>
      </c>
      <c r="F158" s="345" t="n"/>
      <c r="G158" s="284" t="n">
        <v>241740</v>
      </c>
      <c r="H158" s="283" t="inlineStr">
        <is>
          <t>실적</t>
        </is>
      </c>
    </row>
    <row r="159">
      <c r="A159" s="348" t="n">
        <v>46156</v>
      </c>
      <c r="B159" s="283" t="n">
        <v>5</v>
      </c>
      <c r="C159" s="283" t="inlineStr">
        <is>
          <t>490490</t>
        </is>
      </c>
      <c r="D159" s="283" t="inlineStr">
        <is>
          <t>SOL미국배당미국채혼합50</t>
        </is>
      </c>
      <c r="E159" s="284" t="n">
        <v>84062</v>
      </c>
      <c r="F159" s="345" t="n"/>
      <c r="G159" s="284" t="n">
        <v>84062</v>
      </c>
      <c r="H159" s="283" t="inlineStr">
        <is>
          <t>실적</t>
        </is>
      </c>
    </row>
    <row r="160">
      <c r="A160" s="348" t="n">
        <v>46156</v>
      </c>
      <c r="B160" s="283" t="n">
        <v>5</v>
      </c>
      <c r="C160" s="283" t="inlineStr">
        <is>
          <t>498400</t>
        </is>
      </c>
      <c r="D160" s="283" t="inlineStr">
        <is>
          <t>KODEX 200타켓위클리커버드콜</t>
        </is>
      </c>
      <c r="E160" s="284" t="n">
        <v>212628</v>
      </c>
      <c r="F160" s="345" t="n"/>
      <c r="G160" s="284" t="n">
        <v>212628</v>
      </c>
      <c r="H160" s="283" t="inlineStr">
        <is>
          <t>실적</t>
        </is>
      </c>
    </row>
    <row r="161">
      <c r="A161" s="348" t="n">
        <v>46157</v>
      </c>
      <c r="B161" s="283" t="n">
        <v>5</v>
      </c>
      <c r="C161" s="283" t="inlineStr">
        <is>
          <t>SBUX</t>
        </is>
      </c>
      <c r="D161" s="283" t="inlineStr">
        <is>
          <t>스타벅스</t>
        </is>
      </c>
      <c r="E161" s="284" t="n"/>
      <c r="F161" s="345" t="n">
        <v>1.24</v>
      </c>
      <c r="G161" s="284" t="n">
        <v>1659.12</v>
      </c>
      <c r="H161" s="283" t="inlineStr">
        <is>
          <t>실적</t>
        </is>
      </c>
    </row>
    <row r="162">
      <c r="A162" s="348" t="n">
        <v>46157</v>
      </c>
      <c r="B162" s="283" t="n">
        <v>5</v>
      </c>
      <c r="C162" s="283" t="inlineStr">
        <is>
          <t>XOM</t>
        </is>
      </c>
      <c r="D162" s="283" t="inlineStr">
        <is>
          <t>엑슨모빌</t>
        </is>
      </c>
      <c r="E162" s="284" t="n"/>
      <c r="F162" s="345" t="n">
        <v>1.03</v>
      </c>
      <c r="G162" s="284" t="n">
        <v>1378.14</v>
      </c>
      <c r="H162" s="283" t="inlineStr">
        <is>
          <t>실적</t>
        </is>
      </c>
    </row>
    <row r="163">
      <c r="A163" s="348" t="n">
        <v>46161</v>
      </c>
      <c r="B163" s="283" t="n">
        <v>5</v>
      </c>
      <c r="C163" s="283" t="inlineStr">
        <is>
          <t>CVX</t>
        </is>
      </c>
      <c r="D163" s="283" t="inlineStr">
        <is>
          <t>셰브론</t>
        </is>
      </c>
      <c r="E163" s="284" t="n"/>
      <c r="F163" s="345" t="n">
        <v>1.78</v>
      </c>
      <c r="G163" s="284" t="n">
        <v>2381.64</v>
      </c>
      <c r="H163" s="283" t="inlineStr">
        <is>
          <t>실적</t>
        </is>
      </c>
    </row>
    <row r="164">
      <c r="A164" s="348" t="n">
        <v>46163</v>
      </c>
      <c r="B164" s="283" t="n">
        <v>5</v>
      </c>
      <c r="C164" s="283" t="inlineStr">
        <is>
          <t>MSFT</t>
        </is>
      </c>
      <c r="D164" s="283" t="inlineStr">
        <is>
          <t>마이크로소프트</t>
        </is>
      </c>
      <c r="E164" s="284" t="n"/>
      <c r="F164" s="345" t="n">
        <v>1.82</v>
      </c>
      <c r="G164" s="284" t="n">
        <v>2435.16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005389</t>
        </is>
      </c>
      <c r="D165" s="283" t="inlineStr">
        <is>
          <t>현대차3우B</t>
        </is>
      </c>
      <c r="E165" s="284" t="n">
        <v>32500</v>
      </c>
      <c r="F165" s="345" t="n"/>
      <c r="G165" s="284" t="n">
        <v>32500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329200</t>
        </is>
      </c>
      <c r="D166" s="283" t="inlineStr">
        <is>
          <t>TIGER리츠부동산인프라</t>
        </is>
      </c>
      <c r="E166" s="284" t="n">
        <v>165000</v>
      </c>
      <c r="F166" s="345" t="n"/>
      <c r="G166" s="284" t="n">
        <v>165000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433330</t>
        </is>
      </c>
      <c r="D167" s="283" t="inlineStr">
        <is>
          <t>SOL 미국 S&amp;P500</t>
        </is>
      </c>
      <c r="E167" s="284" t="n">
        <v>24408</v>
      </c>
      <c r="F167" s="345" t="n"/>
      <c r="G167" s="284" t="n">
        <v>24408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446720</t>
        </is>
      </c>
      <c r="D168" s="283" t="inlineStr">
        <is>
          <t>SOL 미국배당다우존스</t>
        </is>
      </c>
      <c r="E168" s="284" t="n">
        <v>43890</v>
      </c>
      <c r="F168" s="345" t="n"/>
      <c r="G168" s="284" t="n">
        <v>43890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458760</t>
        </is>
      </c>
      <c r="D169" s="283" t="inlineStr">
        <is>
          <t>TIGER 미배당다우커버드콜2호</t>
        </is>
      </c>
      <c r="E169" s="284" t="n">
        <v>1473888</v>
      </c>
      <c r="F169" s="345" t="n"/>
      <c r="G169" s="284" t="n">
        <v>1473888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468380</t>
        </is>
      </c>
      <c r="D170" s="283" t="inlineStr">
        <is>
          <t>KODEX iShares미국하이일드액티브</t>
        </is>
      </c>
      <c r="E170" s="284" t="n">
        <v>122000</v>
      </c>
      <c r="F170" s="345" t="n"/>
      <c r="G170" s="284" t="n">
        <v>122000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473330</t>
        </is>
      </c>
      <c r="D171" s="283" t="inlineStr">
        <is>
          <t>SOL 미국 30년국채커버드콜(합성)</t>
        </is>
      </c>
      <c r="E171" s="284" t="n">
        <v>72000</v>
      </c>
      <c r="F171" s="345" t="n"/>
      <c r="G171" s="284" t="n">
        <v>72000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475380</t>
        </is>
      </c>
      <c r="D172" s="283" t="inlineStr">
        <is>
          <t>RISE 글로벌리얼티인컴</t>
        </is>
      </c>
      <c r="E172" s="284" t="n">
        <v>3535</v>
      </c>
      <c r="F172" s="345" t="n"/>
      <c r="G172" s="284" t="n">
        <v>3535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476550</t>
        </is>
      </c>
      <c r="D173" s="283" t="inlineStr">
        <is>
          <t>TIGER 미국30년국채커버드콜액티브(H)</t>
        </is>
      </c>
      <c r="E173" s="284" t="n">
        <v>31032</v>
      </c>
      <c r="F173" s="345" t="n"/>
      <c r="G173" s="284" t="n">
        <v>31032</v>
      </c>
      <c r="H173" s="283" t="inlineStr">
        <is>
          <t>실적</t>
        </is>
      </c>
    </row>
    <row r="174">
      <c r="A174" s="348" t="n">
        <v>46170</v>
      </c>
      <c r="B174" s="283" t="n">
        <v>5</v>
      </c>
      <c r="C174" s="283" t="inlineStr">
        <is>
          <t>476690</t>
        </is>
      </c>
      <c r="D174" s="283" t="inlineStr">
        <is>
          <t>TIGER 글로벌비만치료제 TOP2 Plus</t>
        </is>
      </c>
      <c r="E174" s="284" t="n">
        <v>1200</v>
      </c>
      <c r="F174" s="345" t="n"/>
      <c r="G174" s="284" t="n">
        <v>1200</v>
      </c>
      <c r="H174" s="283" t="inlineStr">
        <is>
          <t>실적</t>
        </is>
      </c>
    </row>
    <row r="175">
      <c r="A175" s="348" t="n">
        <v>46170</v>
      </c>
      <c r="B175" s="283" t="n">
        <v>5</v>
      </c>
      <c r="C175" s="283" t="inlineStr">
        <is>
          <t>482730</t>
        </is>
      </c>
      <c r="D175" s="283" t="inlineStr">
        <is>
          <t>미국S&amp;P500타겟데일리커버드콜</t>
        </is>
      </c>
      <c r="E175" s="284" t="n">
        <v>45900</v>
      </c>
      <c r="F175" s="345" t="n"/>
      <c r="G175" s="284" t="n">
        <v>45900</v>
      </c>
      <c r="H175" s="283" t="inlineStr">
        <is>
          <t>실적</t>
        </is>
      </c>
    </row>
    <row r="176">
      <c r="A176" s="348" t="n">
        <v>46170</v>
      </c>
      <c r="B176" s="283" t="n">
        <v>5</v>
      </c>
      <c r="C176" s="283" t="inlineStr">
        <is>
          <t>483280</t>
        </is>
      </c>
      <c r="D176" s="283" t="inlineStr">
        <is>
          <t>KODEX 미국AI테크TOP10타겟커버드콜</t>
        </is>
      </c>
      <c r="E176" s="284" t="n">
        <v>376194</v>
      </c>
      <c r="F176" s="345" t="n"/>
      <c r="G176" s="284" t="n">
        <v>376194</v>
      </c>
      <c r="H176" s="283" t="inlineStr">
        <is>
          <t>실적</t>
        </is>
      </c>
    </row>
    <row r="177">
      <c r="A177" s="348" t="n">
        <v>46170</v>
      </c>
      <c r="B177" s="283" t="n">
        <v>5</v>
      </c>
      <c r="C177" s="283" t="inlineStr">
        <is>
          <t>498410</t>
        </is>
      </c>
      <c r="D177" s="283" t="inlineStr">
        <is>
          <t>KODEX금융고배당TOP10타겟위클리커버드콜</t>
        </is>
      </c>
      <c r="E177" s="284" t="n">
        <v>368435</v>
      </c>
      <c r="F177" s="345" t="n"/>
      <c r="G177" s="284" t="n">
        <v>368435</v>
      </c>
      <c r="H177" s="283" t="inlineStr">
        <is>
          <t>실적</t>
        </is>
      </c>
    </row>
    <row r="178">
      <c r="A178" s="348" t="n">
        <v>46171</v>
      </c>
      <c r="B178" s="283" t="n">
        <v>5</v>
      </c>
      <c r="C178" s="283" t="inlineStr">
        <is>
          <t>O</t>
        </is>
      </c>
      <c r="D178" s="283" t="inlineStr">
        <is>
          <t>리얼티인컴</t>
        </is>
      </c>
      <c r="E178" s="284" t="n"/>
      <c r="F178" s="345" t="n">
        <v>14.363</v>
      </c>
      <c r="G178" s="284" t="n">
        <v>19217.694</v>
      </c>
      <c r="H178" s="283" t="inlineStr">
        <is>
          <t>실적</t>
        </is>
      </c>
    </row>
    <row r="179">
      <c r="A179" s="348" t="n">
        <v>46171</v>
      </c>
      <c r="B179" s="283" t="n">
        <v>5</v>
      </c>
      <c r="C179" s="283" t="inlineStr">
        <is>
          <t>TMUS</t>
        </is>
      </c>
      <c r="D179" s="283" t="inlineStr">
        <is>
          <t>T-모바일</t>
        </is>
      </c>
      <c r="E179" s="284" t="n"/>
      <c r="F179" s="345" t="n">
        <v>4.08</v>
      </c>
      <c r="G179" s="284" t="n">
        <v>5459.04</v>
      </c>
      <c r="H179" s="283" t="inlineStr">
        <is>
          <t>실적</t>
        </is>
      </c>
    </row>
    <row r="180">
      <c r="A180" s="349" t="n">
        <v>46173</v>
      </c>
      <c r="B180" s="292" t="n">
        <v>5</v>
      </c>
      <c r="C180" s="292" t="inlineStr">
        <is>
          <t>0219E0</t>
        </is>
      </c>
      <c r="D180" s="292" t="inlineStr">
        <is>
          <t>KODEX 200커버드콜액티브</t>
        </is>
      </c>
      <c r="E180" s="293" t="n">
        <v>207240</v>
      </c>
      <c r="F180" s="347" t="n"/>
      <c r="G180" s="293" t="n">
        <v>207240</v>
      </c>
      <c r="H180" s="292" t="inlineStr">
        <is>
          <t>예측</t>
        </is>
      </c>
    </row>
    <row r="181">
      <c r="A181" s="348" t="n">
        <v>46174</v>
      </c>
      <c r="B181" s="283" t="n">
        <v>6</v>
      </c>
      <c r="C181" s="283" t="inlineStr">
        <is>
          <t>NKE</t>
        </is>
      </c>
      <c r="D181" s="283" t="inlineStr">
        <is>
          <t>나이키</t>
        </is>
      </c>
      <c r="E181" s="284" t="n"/>
      <c r="F181" s="345" t="n">
        <v>4.1</v>
      </c>
      <c r="G181" s="284" t="n">
        <v>5485.799999999999</v>
      </c>
      <c r="H181" s="283" t="inlineStr">
        <is>
          <t>실적</t>
        </is>
      </c>
    </row>
    <row r="182">
      <c r="A182" s="348" t="n">
        <v>46177</v>
      </c>
      <c r="B182" s="283" t="n">
        <v>6</v>
      </c>
      <c r="C182" s="283" t="inlineStr">
        <is>
          <t>NVDA</t>
        </is>
      </c>
      <c r="D182" s="283" t="inlineStr">
        <is>
          <t>엔비디아</t>
        </is>
      </c>
      <c r="E182" s="284" t="n"/>
      <c r="F182" s="345" t="n">
        <v>1</v>
      </c>
      <c r="G182" s="284" t="n">
        <v>1338</v>
      </c>
      <c r="H182" s="283" t="inlineStr">
        <is>
          <t>실적</t>
        </is>
      </c>
    </row>
    <row r="183">
      <c r="A183" s="348" t="n">
        <v>46184</v>
      </c>
      <c r="B183" s="283" t="n">
        <v>6</v>
      </c>
      <c r="C183" s="283" t="inlineStr">
        <is>
          <t>TSM</t>
        </is>
      </c>
      <c r="D183" s="283" t="inlineStr">
        <is>
          <t>TSMC</t>
        </is>
      </c>
      <c r="E183" s="284" t="n"/>
      <c r="F183" s="345" t="n">
        <v>0.955</v>
      </c>
      <c r="G183" s="284" t="n">
        <v>1277.79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0008S0</t>
        </is>
      </c>
      <c r="D184" s="283" t="inlineStr">
        <is>
          <t>TIGER 미국배당다우존스타겟데일리커버드콜</t>
        </is>
      </c>
      <c r="E184" s="284" t="n">
        <v>318000</v>
      </c>
      <c r="F184" s="345" t="n"/>
      <c r="G184" s="284" t="n">
        <v>318000</v>
      </c>
      <c r="H184" s="283" t="inlineStr">
        <is>
          <t>실적</t>
        </is>
      </c>
    </row>
    <row r="185">
      <c r="A185" s="348" t="n">
        <v>46185</v>
      </c>
      <c r="B185" s="283" t="n">
        <v>6</v>
      </c>
      <c r="C185" s="283" t="inlineStr">
        <is>
          <t>474220</t>
        </is>
      </c>
      <c r="D185" s="283" t="inlineStr">
        <is>
          <t>TIGER미국테크TOP10커버드콜</t>
        </is>
      </c>
      <c r="E185" s="284" t="n">
        <v>613130</v>
      </c>
      <c r="F185" s="345" t="n"/>
      <c r="G185" s="284" t="n">
        <v>613130</v>
      </c>
      <c r="H185" s="283" t="inlineStr">
        <is>
          <t>실적</t>
        </is>
      </c>
    </row>
    <row r="186">
      <c r="A186" s="348" t="n">
        <v>46185</v>
      </c>
      <c r="B186" s="283" t="n">
        <v>6</v>
      </c>
      <c r="C186" s="283" t="inlineStr">
        <is>
          <t>481060</t>
        </is>
      </c>
      <c r="D186" s="283" t="inlineStr">
        <is>
          <t>KODEX 미국30년국채타겟커버드콜(H)</t>
        </is>
      </c>
      <c r="E186" s="284" t="n">
        <v>238680</v>
      </c>
      <c r="F186" s="345" t="n"/>
      <c r="G186" s="284" t="n">
        <v>238680</v>
      </c>
      <c r="H186" s="283" t="inlineStr">
        <is>
          <t>실적</t>
        </is>
      </c>
    </row>
    <row r="187">
      <c r="A187" s="348" t="n">
        <v>46185</v>
      </c>
      <c r="B187" s="283" t="n">
        <v>6</v>
      </c>
      <c r="C187" s="283" t="inlineStr">
        <is>
          <t>490490</t>
        </is>
      </c>
      <c r="D187" s="283" t="inlineStr">
        <is>
          <t>SOL미국배당미국채혼합50</t>
        </is>
      </c>
      <c r="E187" s="284" t="n">
        <v>129914</v>
      </c>
      <c r="F187" s="345" t="n"/>
      <c r="G187" s="284" t="n">
        <v>129914</v>
      </c>
      <c r="H187" s="283" t="inlineStr">
        <is>
          <t>실적</t>
        </is>
      </c>
    </row>
    <row r="188">
      <c r="A188" s="348" t="n">
        <v>46185</v>
      </c>
      <c r="B188" s="283" t="n">
        <v>6</v>
      </c>
      <c r="C188" s="283" t="inlineStr">
        <is>
          <t>498400</t>
        </is>
      </c>
      <c r="D188" s="283" t="inlineStr">
        <is>
          <t>KODEX 200타켓위클리커버드콜</t>
        </is>
      </c>
      <c r="E188" s="284" t="n">
        <v>213850</v>
      </c>
      <c r="F188" s="345" t="n"/>
      <c r="G188" s="284" t="n">
        <v>213850</v>
      </c>
      <c r="H188" s="283" t="inlineStr">
        <is>
          <t>실적</t>
        </is>
      </c>
    </row>
    <row r="189">
      <c r="A189" s="348" t="n">
        <v>46185</v>
      </c>
      <c r="B189" s="283" t="n">
        <v>6</v>
      </c>
      <c r="C189" s="283" t="inlineStr">
        <is>
          <t>AMT</t>
        </is>
      </c>
      <c r="D189" s="283" t="inlineStr">
        <is>
          <t>아메리칸타워</t>
        </is>
      </c>
      <c r="E189" s="284" t="n"/>
      <c r="F189" s="345" t="n">
        <v>8.949999999999999</v>
      </c>
      <c r="G189" s="284" t="n">
        <v>11975.1</v>
      </c>
      <c r="H189" s="283" t="inlineStr">
        <is>
          <t>실적</t>
        </is>
      </c>
    </row>
    <row r="190">
      <c r="A190" s="348" t="n">
        <v>46197</v>
      </c>
      <c r="B190" s="283" t="n">
        <v>6</v>
      </c>
      <c r="C190" s="283" t="inlineStr">
        <is>
          <t>QLD</t>
        </is>
      </c>
      <c r="D190" s="283" t="inlineStr">
        <is>
          <t>QLD</t>
        </is>
      </c>
      <c r="E190" s="284" t="n"/>
      <c r="F190" s="345" t="n">
        <v>8.539999999999999</v>
      </c>
      <c r="G190" s="284" t="n">
        <v>11426.52</v>
      </c>
      <c r="H190" s="283" t="inlineStr">
        <is>
          <t>실적</t>
        </is>
      </c>
    </row>
    <row r="191">
      <c r="A191" s="348" t="n">
        <v>46197</v>
      </c>
      <c r="B191" s="283" t="n">
        <v>6</v>
      </c>
      <c r="C191" s="283" t="inlineStr">
        <is>
          <t>SCHD</t>
        </is>
      </c>
      <c r="D191" s="283" t="inlineStr">
        <is>
          <t>SCHD</t>
        </is>
      </c>
      <c r="E191" s="284" t="n"/>
      <c r="F191" s="345" t="n">
        <v>6.072</v>
      </c>
      <c r="G191" s="284" t="n">
        <v>8124.336</v>
      </c>
      <c r="H191" s="283" t="inlineStr">
        <is>
          <t>실적</t>
        </is>
      </c>
    </row>
    <row r="192">
      <c r="A192" s="349" t="n">
        <v>46200</v>
      </c>
      <c r="B192" s="292" t="n">
        <v>6</v>
      </c>
      <c r="C192" s="292" t="inlineStr">
        <is>
          <t>005389</t>
        </is>
      </c>
      <c r="D192" s="292" t="inlineStr">
        <is>
          <t>현대차3우B</t>
        </is>
      </c>
      <c r="E192" s="293" t="n">
        <v>26000</v>
      </c>
      <c r="F192" s="347" t="n"/>
      <c r="G192" s="293" t="n">
        <v>26000</v>
      </c>
      <c r="H192" s="292" t="inlineStr">
        <is>
          <t>예측</t>
        </is>
      </c>
    </row>
    <row r="193">
      <c r="A193" s="349" t="n">
        <v>46200</v>
      </c>
      <c r="B193" s="292" t="n">
        <v>6</v>
      </c>
      <c r="C193" s="292" t="n">
        <v>105560</v>
      </c>
      <c r="D193" s="292" t="inlineStr">
        <is>
          <t>KB금융</t>
        </is>
      </c>
      <c r="E193" s="293" t="n">
        <v>9492</v>
      </c>
      <c r="F193" s="347" t="n"/>
      <c r="G193" s="293" t="n">
        <v>9492</v>
      </c>
      <c r="H193" s="292" t="inlineStr">
        <is>
          <t>예측</t>
        </is>
      </c>
    </row>
    <row r="194">
      <c r="A194" s="348" t="n">
        <v>46202</v>
      </c>
      <c r="B194" s="283" t="n">
        <v>6</v>
      </c>
      <c r="C194" s="283" t="inlineStr">
        <is>
          <t>005930</t>
        </is>
      </c>
      <c r="D194" s="283" t="inlineStr">
        <is>
          <t>삼성전자</t>
        </is>
      </c>
      <c r="E194" s="284" t="n">
        <v>37026</v>
      </c>
      <c r="F194" s="345" t="n"/>
      <c r="G194" s="284" t="n">
        <v>37026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329200</t>
        </is>
      </c>
      <c r="D195" s="283" t="inlineStr">
        <is>
          <t>TIGER리츠부동산인프라</t>
        </is>
      </c>
      <c r="E195" s="284" t="n">
        <v>165000</v>
      </c>
      <c r="F195" s="345" t="n"/>
      <c r="G195" s="284" t="n">
        <v>165000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433330</t>
        </is>
      </c>
      <c r="D196" s="283" t="inlineStr">
        <is>
          <t>SOL 미국 S&amp;P500</t>
        </is>
      </c>
      <c r="E196" s="284" t="n">
        <v>32544</v>
      </c>
      <c r="F196" s="345" t="n"/>
      <c r="G196" s="284" t="n">
        <v>32544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446720</t>
        </is>
      </c>
      <c r="D197" s="283" t="inlineStr">
        <is>
          <t>SOL 미국배당다우존스</t>
        </is>
      </c>
      <c r="E197" s="284" t="n">
        <v>55860</v>
      </c>
      <c r="F197" s="345" t="n"/>
      <c r="G197" s="284" t="n">
        <v>55860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458760</t>
        </is>
      </c>
      <c r="D198" s="283" t="inlineStr">
        <is>
          <t>TIGER 미배당다우커버드콜2호</t>
        </is>
      </c>
      <c r="E198" s="284" t="n">
        <v>1489241</v>
      </c>
      <c r="F198" s="345" t="n"/>
      <c r="G198" s="284" t="n">
        <v>1489241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468380</t>
        </is>
      </c>
      <c r="D199" s="283" t="inlineStr">
        <is>
          <t>KODEX iShares미국하이일드액티브</t>
        </is>
      </c>
      <c r="E199" s="284" t="n">
        <v>130000</v>
      </c>
      <c r="F199" s="345" t="n"/>
      <c r="G199" s="284" t="n">
        <v>130000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473330</t>
        </is>
      </c>
      <c r="D200" s="283" t="inlineStr">
        <is>
          <t>SOL 미국 30년국채커버드콜(합성)</t>
        </is>
      </c>
      <c r="E200" s="284" t="n">
        <v>81600</v>
      </c>
      <c r="F200" s="345" t="n"/>
      <c r="G200" s="284" t="n">
        <v>81600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475380</t>
        </is>
      </c>
      <c r="D201" s="283" t="inlineStr">
        <is>
          <t>RISE 글로벌리얼티인컴</t>
        </is>
      </c>
      <c r="E201" s="284" t="n">
        <v>3535</v>
      </c>
      <c r="F201" s="345" t="n"/>
      <c r="G201" s="284" t="n">
        <v>3535</v>
      </c>
      <c r="H201" s="283" t="inlineStr">
        <is>
          <t>실적</t>
        </is>
      </c>
    </row>
    <row r="202">
      <c r="A202" s="348" t="n">
        <v>46202</v>
      </c>
      <c r="B202" s="283" t="n">
        <v>6</v>
      </c>
      <c r="C202" s="283" t="inlineStr">
        <is>
          <t>476550</t>
        </is>
      </c>
      <c r="D202" s="283" t="inlineStr">
        <is>
          <t>TIGER 미국30년국채커버드콜액티브(H)</t>
        </is>
      </c>
      <c r="E202" s="284" t="n">
        <v>31463</v>
      </c>
      <c r="F202" s="345" t="n"/>
      <c r="G202" s="284" t="n">
        <v>31463</v>
      </c>
      <c r="H202" s="283" t="inlineStr">
        <is>
          <t>실적</t>
        </is>
      </c>
    </row>
    <row r="203">
      <c r="A203" s="348" t="n">
        <v>46202</v>
      </c>
      <c r="B203" s="283" t="n">
        <v>6</v>
      </c>
      <c r="C203" s="283" t="inlineStr">
        <is>
          <t>476690</t>
        </is>
      </c>
      <c r="D203" s="283" t="inlineStr">
        <is>
          <t>TIGER 글로벌비만치료제 TOP2 Plus</t>
        </is>
      </c>
      <c r="E203" s="284" t="n">
        <v>1500</v>
      </c>
      <c r="F203" s="345" t="n"/>
      <c r="G203" s="284" t="n">
        <v>1500</v>
      </c>
      <c r="H203" s="283" t="inlineStr">
        <is>
          <t>실적</t>
        </is>
      </c>
    </row>
    <row r="204">
      <c r="A204" s="348" t="n">
        <v>46202</v>
      </c>
      <c r="B204" s="283" t="n">
        <v>6</v>
      </c>
      <c r="C204" s="283" t="inlineStr">
        <is>
          <t>482730</t>
        </is>
      </c>
      <c r="D204" s="283" t="inlineStr">
        <is>
          <t>미국S&amp;P500타겟데일리커버드콜</t>
        </is>
      </c>
      <c r="E204" s="284" t="n">
        <v>45900</v>
      </c>
      <c r="F204" s="345" t="n"/>
      <c r="G204" s="284" t="n">
        <v>45900</v>
      </c>
      <c r="H204" s="283" t="inlineStr">
        <is>
          <t>실적</t>
        </is>
      </c>
    </row>
    <row r="205">
      <c r="A205" s="348" t="n">
        <v>46202</v>
      </c>
      <c r="B205" s="283" t="n">
        <v>6</v>
      </c>
      <c r="C205" s="283" t="inlineStr">
        <is>
          <t>483280</t>
        </is>
      </c>
      <c r="D205" s="283" t="inlineStr">
        <is>
          <t>KODEX 미국AI테크TOP10타겟커버드콜</t>
        </is>
      </c>
      <c r="E205" s="284" t="n">
        <v>351708</v>
      </c>
      <c r="F205" s="345" t="n"/>
      <c r="G205" s="284" t="n">
        <v>351708</v>
      </c>
      <c r="H205" s="283" t="inlineStr">
        <is>
          <t>실적</t>
        </is>
      </c>
    </row>
    <row r="206">
      <c r="A206" s="348" t="n">
        <v>46202</v>
      </c>
      <c r="B206" s="283" t="n">
        <v>6</v>
      </c>
      <c r="C206" s="283" t="inlineStr">
        <is>
          <t>498410</t>
        </is>
      </c>
      <c r="D206" s="283" t="inlineStr">
        <is>
          <t>KODEX금융고배당TOP10타겟위클리커버드콜</t>
        </is>
      </c>
      <c r="E206" s="284" t="n">
        <v>332780</v>
      </c>
      <c r="F206" s="345" t="n"/>
      <c r="G206" s="284" t="n">
        <v>332780</v>
      </c>
      <c r="H206" s="283" t="inlineStr">
        <is>
          <t>실적</t>
        </is>
      </c>
    </row>
    <row r="207">
      <c r="A207" s="349" t="n">
        <v>46203</v>
      </c>
      <c r="B207" s="292" t="n">
        <v>6</v>
      </c>
      <c r="C207" s="292" t="inlineStr">
        <is>
          <t>0219E0</t>
        </is>
      </c>
      <c r="D207" s="292" t="inlineStr">
        <is>
          <t>KODEX 200커버드콜액티브</t>
        </is>
      </c>
      <c r="E207" s="293" t="n">
        <v>207240</v>
      </c>
      <c r="F207" s="347" t="n"/>
      <c r="G207" s="293" t="n">
        <v>207240</v>
      </c>
      <c r="H207" s="292" t="inlineStr">
        <is>
          <t>예측</t>
        </is>
      </c>
    </row>
    <row r="208">
      <c r="A208" s="348" t="n">
        <v>46203</v>
      </c>
      <c r="B208" s="283" t="n">
        <v>6</v>
      </c>
      <c r="C208" s="283" t="inlineStr">
        <is>
          <t>O</t>
        </is>
      </c>
      <c r="D208" s="283" t="inlineStr">
        <is>
          <t>리얼티인컴</t>
        </is>
      </c>
      <c r="E208" s="284" t="n"/>
      <c r="F208" s="345" t="n">
        <v>14.363</v>
      </c>
      <c r="G208" s="284" t="n">
        <v>19217.694</v>
      </c>
      <c r="H208" s="283" t="inlineStr">
        <is>
          <t>실적</t>
        </is>
      </c>
    </row>
    <row r="209">
      <c r="A209" s="348" t="n">
        <v>46213</v>
      </c>
      <c r="B209" s="283" t="n">
        <v>7</v>
      </c>
      <c r="C209" s="283" t="inlineStr">
        <is>
          <t>ORCL</t>
        </is>
      </c>
      <c r="D209" s="283" t="inlineStr">
        <is>
          <t>오라클</t>
        </is>
      </c>
      <c r="E209" s="284" t="n"/>
      <c r="F209" s="345" t="n">
        <v>1</v>
      </c>
      <c r="G209" s="284" t="n">
        <v>1338</v>
      </c>
      <c r="H209" s="283" t="inlineStr">
        <is>
          <t>실적</t>
        </is>
      </c>
    </row>
    <row r="210">
      <c r="A210" s="348" t="n">
        <v>46217</v>
      </c>
      <c r="B210" s="283" t="n">
        <v>7</v>
      </c>
      <c r="C210" s="283" t="inlineStr">
        <is>
          <t>0008S0</t>
        </is>
      </c>
      <c r="D210" s="283" t="inlineStr">
        <is>
          <t>TIGER 미국배당다우존스타겟데일리커버드콜</t>
        </is>
      </c>
      <c r="E210" s="284" t="n">
        <v>312000</v>
      </c>
      <c r="F210" s="345" t="n"/>
      <c r="G210" s="284" t="n">
        <v>312000</v>
      </c>
      <c r="H210" s="283" t="inlineStr">
        <is>
          <t>실적</t>
        </is>
      </c>
    </row>
    <row r="211">
      <c r="A211" s="348" t="n">
        <v>46217</v>
      </c>
      <c r="B211" s="283" t="n">
        <v>7</v>
      </c>
      <c r="C211" s="283" t="inlineStr">
        <is>
          <t>474220</t>
        </is>
      </c>
      <c r="D211" s="283" t="inlineStr">
        <is>
          <t>TIGER미국테크TOP10커버드콜</t>
        </is>
      </c>
      <c r="E211" s="284" t="n">
        <v>608520</v>
      </c>
      <c r="F211" s="345" t="n"/>
      <c r="G211" s="284" t="n">
        <v>608520</v>
      </c>
      <c r="H211" s="283" t="inlineStr">
        <is>
          <t>실적</t>
        </is>
      </c>
    </row>
    <row r="212">
      <c r="A212" s="348" t="n">
        <v>46217</v>
      </c>
      <c r="B212" s="283" t="n">
        <v>7</v>
      </c>
      <c r="C212" s="283" t="inlineStr">
        <is>
          <t>481060</t>
        </is>
      </c>
      <c r="D212" s="283" t="inlineStr">
        <is>
          <t>KODEX 미국30년국채타겟커버드콜(H)</t>
        </is>
      </c>
      <c r="E212" s="284" t="n">
        <v>238680</v>
      </c>
      <c r="F212" s="345" t="n"/>
      <c r="G212" s="284" t="n">
        <v>238680</v>
      </c>
      <c r="H212" s="283" t="inlineStr">
        <is>
          <t>실적</t>
        </is>
      </c>
    </row>
    <row r="213">
      <c r="A213" s="348" t="n">
        <v>46217</v>
      </c>
      <c r="B213" s="283" t="n">
        <v>7</v>
      </c>
      <c r="C213" s="283" t="inlineStr">
        <is>
          <t>490490</t>
        </is>
      </c>
      <c r="D213" s="283" t="inlineStr">
        <is>
          <t>SOL미국배당미국채혼합50</t>
        </is>
      </c>
      <c r="E213" s="284" t="n">
        <v>103167</v>
      </c>
      <c r="F213" s="345" t="n"/>
      <c r="G213" s="284" t="n">
        <v>103167</v>
      </c>
      <c r="H213" s="283" t="inlineStr">
        <is>
          <t>실적</t>
        </is>
      </c>
    </row>
    <row r="214">
      <c r="A214" s="348" t="n">
        <v>46217</v>
      </c>
      <c r="B214" s="283" t="n">
        <v>7</v>
      </c>
      <c r="C214" s="283" t="inlineStr">
        <is>
          <t>498400</t>
        </is>
      </c>
      <c r="D214" s="283" t="inlineStr">
        <is>
          <t>KODEX 200타켓위클리커버드콜</t>
        </is>
      </c>
      <c r="E214" s="284" t="n">
        <v>197353</v>
      </c>
      <c r="F214" s="345" t="n"/>
      <c r="G214" s="284" t="n">
        <v>197353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0219E0</t>
        </is>
      </c>
      <c r="D215" s="283" t="inlineStr">
        <is>
          <t>KODEX 200커버드콜액티브</t>
        </is>
      </c>
      <c r="E215" s="284" t="n">
        <v>192168</v>
      </c>
      <c r="F215" s="345" t="n"/>
      <c r="G215" s="284" t="n">
        <v>192168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024110</t>
        </is>
      </c>
      <c r="D216" s="283" t="inlineStr">
        <is>
          <t>기업은행</t>
        </is>
      </c>
      <c r="E216" s="284" t="n">
        <v>37590</v>
      </c>
      <c r="F216" s="345" t="n"/>
      <c r="G216" s="284" t="n">
        <v>37590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133690</t>
        </is>
      </c>
      <c r="D217" s="283" t="inlineStr">
        <is>
          <t>TIGER 미국나스닥100</t>
        </is>
      </c>
      <c r="E217" s="284" t="n">
        <v>14535</v>
      </c>
      <c r="F217" s="345" t="n"/>
      <c r="G217" s="284" t="n">
        <v>14535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329200</t>
        </is>
      </c>
      <c r="D218" s="283" t="inlineStr">
        <is>
          <t>TIGER리츠부동산인프라</t>
        </is>
      </c>
      <c r="E218" s="284" t="n">
        <v>165000</v>
      </c>
      <c r="F218" s="345" t="n"/>
      <c r="G218" s="284" t="n">
        <v>165000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360750</t>
        </is>
      </c>
      <c r="D219" s="283" t="inlineStr">
        <is>
          <t>TIGER미국S&amp;P500</t>
        </is>
      </c>
      <c r="E219" s="284" t="n">
        <v>14454</v>
      </c>
      <c r="F219" s="345" t="n"/>
      <c r="G219" s="284" t="n">
        <v>14454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367380</t>
        </is>
      </c>
      <c r="D220" s="283" t="inlineStr">
        <is>
          <t>ACE 미국나스닥100</t>
        </is>
      </c>
      <c r="E220" s="284" t="n">
        <v>15210</v>
      </c>
      <c r="F220" s="345" t="n"/>
      <c r="G220" s="284" t="n">
        <v>15210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379810</t>
        </is>
      </c>
      <c r="D221" s="283" t="inlineStr">
        <is>
          <t>KODEX 미국나스닥100</t>
        </is>
      </c>
      <c r="E221" s="284" t="n">
        <v>37350</v>
      </c>
      <c r="F221" s="345" t="n"/>
      <c r="G221" s="284" t="n">
        <v>37350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433330</t>
        </is>
      </c>
      <c r="D222" s="283" t="inlineStr">
        <is>
          <t>SOL 미국 S&amp;P500</t>
        </is>
      </c>
      <c r="E222" s="284" t="n">
        <v>16272</v>
      </c>
      <c r="F222" s="345" t="n"/>
      <c r="G222" s="284" t="n">
        <v>16272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446720</t>
        </is>
      </c>
      <c r="D223" s="283" t="inlineStr">
        <is>
          <t>SOL 미국배당다우존스</t>
        </is>
      </c>
      <c r="E223" s="284" t="n">
        <v>46550</v>
      </c>
      <c r="F223" s="345" t="n"/>
      <c r="G223" s="284" t="n">
        <v>46550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458760</t>
        </is>
      </c>
      <c r="D224" s="283" t="inlineStr">
        <is>
          <t>TIGER 미배당다우커버드콜2호</t>
        </is>
      </c>
      <c r="E224" s="284" t="n">
        <v>1427829</v>
      </c>
      <c r="F224" s="345" t="n"/>
      <c r="G224" s="284" t="n">
        <v>1427829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468380</t>
        </is>
      </c>
      <c r="D225" s="283" t="inlineStr">
        <is>
          <t>KODEX iShares미국하이일드액티브</t>
        </is>
      </c>
      <c r="E225" s="284" t="n">
        <v>130000</v>
      </c>
      <c r="F225" s="345" t="n"/>
      <c r="G225" s="284" t="n">
        <v>130000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473330</t>
        </is>
      </c>
      <c r="D226" s="283" t="inlineStr">
        <is>
          <t>SOL 미국 30년국채커버드콜(합성)</t>
        </is>
      </c>
      <c r="E226" s="284" t="n">
        <v>62400</v>
      </c>
      <c r="F226" s="345" t="n"/>
      <c r="G226" s="284" t="n">
        <v>62400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475380</t>
        </is>
      </c>
      <c r="D227" s="283" t="inlineStr">
        <is>
          <t>RISE 글로벌리얼티인컴</t>
        </is>
      </c>
      <c r="E227" s="284" t="n">
        <v>3333</v>
      </c>
      <c r="F227" s="345" t="n"/>
      <c r="G227" s="284" t="n">
        <v>3333</v>
      </c>
      <c r="H227" s="283" t="inlineStr">
        <is>
          <t>실적</t>
        </is>
      </c>
    </row>
    <row r="228">
      <c r="A228" s="348" t="n">
        <v>46233</v>
      </c>
      <c r="B228" s="283" t="n">
        <v>7</v>
      </c>
      <c r="C228" s="283" t="inlineStr">
        <is>
          <t>476550</t>
        </is>
      </c>
      <c r="D228" s="283" t="inlineStr">
        <is>
          <t>TIGER 미국30년국채커버드콜액티브(H)</t>
        </is>
      </c>
      <c r="E228" s="284" t="n">
        <v>30170</v>
      </c>
      <c r="F228" s="345" t="n"/>
      <c r="G228" s="284" t="n">
        <v>30170</v>
      </c>
      <c r="H228" s="283" t="inlineStr">
        <is>
          <t>실적</t>
        </is>
      </c>
    </row>
    <row r="229">
      <c r="A229" s="348" t="n">
        <v>46233</v>
      </c>
      <c r="B229" s="283" t="n">
        <v>7</v>
      </c>
      <c r="C229" s="283" t="inlineStr">
        <is>
          <t>476690</t>
        </is>
      </c>
      <c r="D229" s="283" t="inlineStr">
        <is>
          <t>TIGER 글로벌비만치료제 TOP2 Plus</t>
        </is>
      </c>
      <c r="E229" s="284" t="n">
        <v>1100</v>
      </c>
      <c r="F229" s="345" t="n"/>
      <c r="G229" s="284" t="n">
        <v>1100</v>
      </c>
      <c r="H229" s="283" t="inlineStr">
        <is>
          <t>실적</t>
        </is>
      </c>
    </row>
    <row r="230">
      <c r="A230" s="348" t="n">
        <v>46233</v>
      </c>
      <c r="B230" s="283" t="n">
        <v>7</v>
      </c>
      <c r="C230" s="283" t="inlineStr">
        <is>
          <t>482730</t>
        </is>
      </c>
      <c r="D230" s="283" t="inlineStr">
        <is>
          <t>미국S&amp;P500타겟데일리커버드콜</t>
        </is>
      </c>
      <c r="E230" s="284" t="n">
        <v>43350</v>
      </c>
      <c r="F230" s="345" t="n"/>
      <c r="G230" s="284" t="n">
        <v>43350</v>
      </c>
      <c r="H230" s="283" t="inlineStr">
        <is>
          <t>실적</t>
        </is>
      </c>
    </row>
    <row r="231">
      <c r="A231" s="348" t="n">
        <v>46233</v>
      </c>
      <c r="B231" s="283" t="n">
        <v>7</v>
      </c>
      <c r="C231" s="283" t="inlineStr">
        <is>
          <t>483280</t>
        </is>
      </c>
      <c r="D231" s="283" t="inlineStr">
        <is>
          <t>KODEX 미국AI테크TOP10타겟커버드콜</t>
        </is>
      </c>
      <c r="E231" s="284" t="n">
        <v>260442</v>
      </c>
      <c r="F231" s="345" t="n"/>
      <c r="G231" s="284" t="n">
        <v>260442</v>
      </c>
      <c r="H231" s="283" t="inlineStr">
        <is>
          <t>실적</t>
        </is>
      </c>
    </row>
    <row r="232">
      <c r="A232" s="348" t="n">
        <v>46233</v>
      </c>
      <c r="B232" s="283" t="n">
        <v>7</v>
      </c>
      <c r="C232" s="283" t="inlineStr">
        <is>
          <t>498270</t>
        </is>
      </c>
      <c r="D232" s="283" t="inlineStr">
        <is>
          <t>KIWOOM 미국양자컴퓨팅</t>
        </is>
      </c>
      <c r="E232" s="284" t="n">
        <v>4158</v>
      </c>
      <c r="F232" s="345" t="n"/>
      <c r="G232" s="284" t="n">
        <v>4158</v>
      </c>
      <c r="H232" s="283" t="inlineStr">
        <is>
          <t>실적</t>
        </is>
      </c>
    </row>
    <row r="233">
      <c r="A233" s="348" t="n">
        <v>46233</v>
      </c>
      <c r="B233" s="283" t="n">
        <v>7</v>
      </c>
      <c r="C233" s="283" t="inlineStr">
        <is>
          <t>498410</t>
        </is>
      </c>
      <c r="D233" s="283" t="inlineStr">
        <is>
          <t>KODEX금융고배당TOP10타겟위클리커버드콜</t>
        </is>
      </c>
      <c r="E233" s="284" t="n">
        <v>366058</v>
      </c>
      <c r="F233" s="345" t="n"/>
      <c r="G233" s="284" t="n">
        <v>366058</v>
      </c>
      <c r="H233" s="283" t="inlineStr">
        <is>
          <t>실적</t>
        </is>
      </c>
    </row>
    <row r="234">
      <c r="A234" s="348" t="n">
        <v>46234</v>
      </c>
      <c r="B234" s="283" t="n">
        <v>7</v>
      </c>
      <c r="C234" s="283" t="inlineStr">
        <is>
          <t>O</t>
        </is>
      </c>
      <c r="D234" s="283" t="inlineStr">
        <is>
          <t>리얼티인컴</t>
        </is>
      </c>
      <c r="E234" s="284" t="n"/>
      <c r="F234" s="345" t="n">
        <v>14.363</v>
      </c>
      <c r="G234" s="284" t="n">
        <v>19217.694</v>
      </c>
      <c r="H234" s="283" t="inlineStr">
        <is>
          <t>실적</t>
        </is>
      </c>
    </row>
    <row r="235">
      <c r="A235" s="348" t="n">
        <v>46240</v>
      </c>
      <c r="B235" s="283" t="n">
        <v>8</v>
      </c>
      <c r="C235" s="283" t="n">
        <v>105560</v>
      </c>
      <c r="D235" s="283" t="inlineStr">
        <is>
          <t>KB금융</t>
        </is>
      </c>
      <c r="E235" s="284" t="n">
        <v>13860</v>
      </c>
      <c r="F235" s="345" t="n"/>
      <c r="G235" s="284" t="n">
        <v>13860</v>
      </c>
      <c r="H235" s="283" t="inlineStr">
        <is>
          <t>실적</t>
        </is>
      </c>
    </row>
    <row r="236">
      <c r="A236" s="348" t="n">
        <v>46244</v>
      </c>
      <c r="B236" s="283" t="n">
        <v>8</v>
      </c>
      <c r="C236" s="283" t="inlineStr">
        <is>
          <t>AAPL</t>
        </is>
      </c>
      <c r="D236" s="283" t="inlineStr">
        <is>
          <t>애플</t>
        </is>
      </c>
      <c r="E236" s="284" t="n"/>
      <c r="F236" s="345" t="n">
        <v>2.43</v>
      </c>
      <c r="G236" s="284" t="n">
        <v>3251.34</v>
      </c>
      <c r="H236" s="283" t="inlineStr">
        <is>
          <t>실적</t>
        </is>
      </c>
    </row>
    <row r="237">
      <c r="A237" s="348" t="n">
        <v>46247</v>
      </c>
      <c r="B237" s="283" t="n">
        <v>8</v>
      </c>
      <c r="C237" s="283" t="inlineStr">
        <is>
          <t>0008S0</t>
        </is>
      </c>
      <c r="D237" s="283" t="inlineStr">
        <is>
          <t>TIGER 미국배당다우존스타겟데일리커버드콜</t>
        </is>
      </c>
      <c r="E237" s="284" t="n">
        <v>309000</v>
      </c>
      <c r="F237" s="345" t="n"/>
      <c r="G237" s="284" t="n">
        <v>309000</v>
      </c>
      <c r="H237" s="283" t="inlineStr">
        <is>
          <t>실적</t>
        </is>
      </c>
    </row>
    <row r="238">
      <c r="A238" s="348" t="n">
        <v>46247</v>
      </c>
      <c r="B238" s="283" t="n">
        <v>8</v>
      </c>
      <c r="C238" s="283" t="inlineStr">
        <is>
          <t>474220</t>
        </is>
      </c>
      <c r="D238" s="283" t="inlineStr">
        <is>
          <t>TIGER미국테크TOP10커버드콜</t>
        </is>
      </c>
      <c r="E238" s="284" t="n">
        <v>599300</v>
      </c>
      <c r="F238" s="345" t="n"/>
      <c r="G238" s="284" t="n">
        <v>599300</v>
      </c>
      <c r="H238" s="283" t="inlineStr">
        <is>
          <t>실적</t>
        </is>
      </c>
    </row>
    <row r="239">
      <c r="A239" s="348" t="n">
        <v>46247</v>
      </c>
      <c r="B239" s="283" t="n">
        <v>8</v>
      </c>
      <c r="C239" s="283" t="inlineStr">
        <is>
          <t>481060</t>
        </is>
      </c>
      <c r="D239" s="283" t="inlineStr">
        <is>
          <t>KODEX 미국30년국채타겟커버드콜(H)</t>
        </is>
      </c>
      <c r="E239" s="284" t="n">
        <v>226440</v>
      </c>
      <c r="F239" s="345" t="n"/>
      <c r="G239" s="284" t="n">
        <v>226440</v>
      </c>
      <c r="H239" s="283" t="inlineStr">
        <is>
          <t>실적</t>
        </is>
      </c>
    </row>
    <row r="240">
      <c r="A240" s="348" t="n">
        <v>46247</v>
      </c>
      <c r="B240" s="283" t="n">
        <v>8</v>
      </c>
      <c r="C240" s="283" t="inlineStr">
        <is>
          <t>490490</t>
        </is>
      </c>
      <c r="D240" s="283" t="inlineStr">
        <is>
          <t>SOL미국배당미국채혼합50</t>
        </is>
      </c>
      <c r="E240" s="284" t="n">
        <v>80241</v>
      </c>
      <c r="F240" s="345" t="n"/>
      <c r="G240" s="284" t="n">
        <v>80241</v>
      </c>
      <c r="H240" s="283" t="inlineStr">
        <is>
          <t>실적</t>
        </is>
      </c>
    </row>
    <row r="241">
      <c r="A241" s="348" t="n">
        <v>46247</v>
      </c>
      <c r="B241" s="283" t="n">
        <v>8</v>
      </c>
      <c r="C241" s="283" t="inlineStr">
        <is>
          <t>498400</t>
        </is>
      </c>
      <c r="D241" s="283" t="inlineStr">
        <is>
          <t>KODEX 200타켓위클리커버드콜</t>
        </is>
      </c>
      <c r="E241" s="284" t="n">
        <v>164970</v>
      </c>
      <c r="F241" s="345" t="n"/>
      <c r="G241" s="284" t="n">
        <v>164970</v>
      </c>
      <c r="H241" s="283" t="inlineStr">
        <is>
          <t>실적</t>
        </is>
      </c>
    </row>
    <row r="242">
      <c r="A242" s="348" t="n">
        <v>46248</v>
      </c>
      <c r="B242" s="283" t="n">
        <v>8</v>
      </c>
      <c r="C242" s="283" t="inlineStr">
        <is>
          <t>SBUX</t>
        </is>
      </c>
      <c r="D242" s="283" t="inlineStr">
        <is>
          <t>스타벅스</t>
        </is>
      </c>
      <c r="E242" s="284" t="n"/>
      <c r="F242" s="345" t="n">
        <v>1.24</v>
      </c>
      <c r="G242" s="284" t="n">
        <v>1659.12</v>
      </c>
      <c r="H242" s="283" t="inlineStr">
        <is>
          <t>실적</t>
        </is>
      </c>
    </row>
    <row r="243">
      <c r="A243" s="348" t="n">
        <v>46251</v>
      </c>
      <c r="B243" s="283" t="n">
        <v>8</v>
      </c>
      <c r="C243" s="283" t="inlineStr">
        <is>
          <t>NVO</t>
        </is>
      </c>
      <c r="D243" s="283" t="inlineStr">
        <is>
          <t>노보 노디스크</t>
        </is>
      </c>
      <c r="E243" s="284" t="n"/>
      <c r="F243" s="345" t="n">
        <v>8.685</v>
      </c>
      <c r="G243" s="284" t="n">
        <v>11620.53</v>
      </c>
      <c r="H243" s="283" t="inlineStr">
        <is>
          <t>실적</t>
        </is>
      </c>
    </row>
    <row r="244">
      <c r="A244" s="348" t="n">
        <v>46251</v>
      </c>
      <c r="B244" s="283" t="n">
        <v>8</v>
      </c>
      <c r="C244" s="283" t="inlineStr">
        <is>
          <t>XOM</t>
        </is>
      </c>
      <c r="D244" s="283" t="inlineStr">
        <is>
          <t>엑슨모빌</t>
        </is>
      </c>
      <c r="E244" s="284" t="n"/>
      <c r="F244" s="345" t="n">
        <v>1.03</v>
      </c>
      <c r="G244" s="284" t="n">
        <v>1378.14</v>
      </c>
      <c r="H244" s="283" t="inlineStr">
        <is>
          <t>실적</t>
        </is>
      </c>
    </row>
    <row r="245">
      <c r="A245" s="348" t="n">
        <v>46253</v>
      </c>
      <c r="B245" s="283" t="n">
        <v>8</v>
      </c>
      <c r="C245" s="283" t="inlineStr">
        <is>
          <t>CVX</t>
        </is>
      </c>
      <c r="D245" s="283" t="inlineStr">
        <is>
          <t>셰브론</t>
        </is>
      </c>
      <c r="E245" s="284" t="n"/>
      <c r="F245" s="345" t="n">
        <v>1.78</v>
      </c>
      <c r="G245" s="284" t="n">
        <v>2381.64</v>
      </c>
      <c r="H245" s="283" t="inlineStr">
        <is>
          <t>실적</t>
        </is>
      </c>
    </row>
    <row r="246">
      <c r="A246" s="348" t="n">
        <v>46254</v>
      </c>
      <c r="B246" s="283" t="n">
        <v>8</v>
      </c>
      <c r="C246" s="283" t="inlineStr">
        <is>
          <t>MSFT</t>
        </is>
      </c>
      <c r="D246" s="283" t="inlineStr">
        <is>
          <t>마이크로소프트</t>
        </is>
      </c>
      <c r="E246" s="284" t="n"/>
      <c r="F246" s="345" t="n">
        <v>1.82</v>
      </c>
      <c r="G246" s="284" t="n">
        <v>2435.16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005389</t>
        </is>
      </c>
      <c r="D247" s="283" t="inlineStr">
        <is>
          <t>현대차3우B</t>
        </is>
      </c>
      <c r="E247" s="284" t="n">
        <v>32500</v>
      </c>
      <c r="F247" s="345" t="n"/>
      <c r="G247" s="284" t="n">
        <v>32500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0219E0</t>
        </is>
      </c>
      <c r="D248" s="283" t="inlineStr">
        <is>
          <t>KODEX 200커버드콜액티브</t>
        </is>
      </c>
      <c r="E248" s="284" t="n">
        <v>209752</v>
      </c>
      <c r="F248" s="345" t="n"/>
      <c r="G248" s="284" t="n">
        <v>209752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329200</t>
        </is>
      </c>
      <c r="D249" s="283" t="inlineStr">
        <is>
          <t>TIGER리츠부동산인프라</t>
        </is>
      </c>
      <c r="E249" s="284" t="n">
        <v>165000</v>
      </c>
      <c r="F249" s="345" t="n"/>
      <c r="G249" s="284" t="n">
        <v>165000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433330</t>
        </is>
      </c>
      <c r="D250" s="283" t="inlineStr">
        <is>
          <t>SOL 미국 S&amp;P500</t>
        </is>
      </c>
      <c r="E250" s="284" t="n">
        <v>25764</v>
      </c>
      <c r="F250" s="345" t="n"/>
      <c r="G250" s="284" t="n">
        <v>25764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446720</t>
        </is>
      </c>
      <c r="D251" s="283" t="inlineStr">
        <is>
          <t>SOL 미국배당다우존스</t>
        </is>
      </c>
      <c r="E251" s="284" t="n">
        <v>35910</v>
      </c>
      <c r="F251" s="345" t="n"/>
      <c r="G251" s="284" t="n">
        <v>35910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458760</t>
        </is>
      </c>
      <c r="D252" s="283" t="inlineStr">
        <is>
          <t>TIGER 미배당다우커버드콜2호</t>
        </is>
      </c>
      <c r="E252" s="284" t="n">
        <v>1381770</v>
      </c>
      <c r="F252" s="345" t="n"/>
      <c r="G252" s="284" t="n">
        <v>1381770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468380</t>
        </is>
      </c>
      <c r="D253" s="283" t="inlineStr">
        <is>
          <t>KODEX iShares미국하이일드액티브</t>
        </is>
      </c>
      <c r="E253" s="284" t="n">
        <v>126000</v>
      </c>
      <c r="F253" s="345" t="n"/>
      <c r="G253" s="284" t="n">
        <v>126000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473330</t>
        </is>
      </c>
      <c r="D254" s="283" t="inlineStr">
        <is>
          <t>SOL 미국 30년국채커버드콜(합성)</t>
        </is>
      </c>
      <c r="E254" s="284" t="n">
        <v>57600</v>
      </c>
      <c r="F254" s="345" t="n"/>
      <c r="G254" s="284" t="n">
        <v>57600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475380</t>
        </is>
      </c>
      <c r="D255" s="283" t="inlineStr">
        <is>
          <t>RISE 글로벌리얼티인컴</t>
        </is>
      </c>
      <c r="E255" s="284" t="n">
        <v>3232</v>
      </c>
      <c r="F255" s="345" t="n"/>
      <c r="G255" s="284" t="n">
        <v>3232</v>
      </c>
      <c r="H255" s="283" t="inlineStr">
        <is>
          <t>실적</t>
        </is>
      </c>
    </row>
    <row r="256">
      <c r="A256" s="348" t="n">
        <v>46262</v>
      </c>
      <c r="B256" s="283" t="n">
        <v>8</v>
      </c>
      <c r="C256" s="283" t="inlineStr">
        <is>
          <t>476550</t>
        </is>
      </c>
      <c r="D256" s="283" t="inlineStr">
        <is>
          <t>TIGER 미국30년국채커버드콜액티브(H)</t>
        </is>
      </c>
      <c r="E256" s="284" t="n">
        <v>29739</v>
      </c>
      <c r="F256" s="345" t="n"/>
      <c r="G256" s="284" t="n">
        <v>29739</v>
      </c>
      <c r="H256" s="283" t="inlineStr">
        <is>
          <t>실적</t>
        </is>
      </c>
    </row>
    <row r="257">
      <c r="A257" s="348" t="n">
        <v>46262</v>
      </c>
      <c r="B257" s="283" t="n">
        <v>8</v>
      </c>
      <c r="C257" s="283" t="inlineStr">
        <is>
          <t>476690</t>
        </is>
      </c>
      <c r="D257" s="283" t="inlineStr">
        <is>
          <t>TIGER 글로벌비만치료제 TOP2 Plus</t>
        </is>
      </c>
      <c r="E257" s="284" t="n">
        <v>1100</v>
      </c>
      <c r="F257" s="345" t="n"/>
      <c r="G257" s="284" t="n">
        <v>1100</v>
      </c>
      <c r="H257" s="283" t="inlineStr">
        <is>
          <t>실적</t>
        </is>
      </c>
    </row>
    <row r="258">
      <c r="A258" s="348" t="n">
        <v>46262</v>
      </c>
      <c r="B258" s="283" t="n">
        <v>8</v>
      </c>
      <c r="C258" s="283" t="inlineStr">
        <is>
          <t>482730</t>
        </is>
      </c>
      <c r="D258" s="283" t="inlineStr">
        <is>
          <t>미국S&amp;P500타겟데일리커버드콜</t>
        </is>
      </c>
      <c r="E258" s="284" t="n">
        <v>42500</v>
      </c>
      <c r="F258" s="345" t="n"/>
      <c r="G258" s="284" t="n">
        <v>42500</v>
      </c>
      <c r="H258" s="283" t="inlineStr">
        <is>
          <t>실적</t>
        </is>
      </c>
    </row>
    <row r="259">
      <c r="A259" s="348" t="n">
        <v>46262</v>
      </c>
      <c r="B259" s="283" t="n">
        <v>8</v>
      </c>
      <c r="C259" s="283" t="inlineStr">
        <is>
          <t>483280</t>
        </is>
      </c>
      <c r="D259" s="283" t="inlineStr">
        <is>
          <t>KODEX 미국AI테크TOP10타겟커버드콜</t>
        </is>
      </c>
      <c r="E259" s="284" t="n">
        <v>318318</v>
      </c>
      <c r="F259" s="345" t="n"/>
      <c r="G259" s="284" t="n">
        <v>318318</v>
      </c>
      <c r="H259" s="283" t="inlineStr">
        <is>
          <t>실적</t>
        </is>
      </c>
    </row>
    <row r="260">
      <c r="A260" s="348" t="n">
        <v>46262</v>
      </c>
      <c r="B260" s="283" t="n">
        <v>8</v>
      </c>
      <c r="C260" s="283" t="inlineStr">
        <is>
          <t>498410</t>
        </is>
      </c>
      <c r="D260" s="283" t="inlineStr">
        <is>
          <t>KODEX금융고배당TOP10타겟위클리커버드콜</t>
        </is>
      </c>
      <c r="E260" s="284" t="n">
        <v>342288</v>
      </c>
      <c r="F260" s="345" t="n"/>
      <c r="G260" s="284" t="n">
        <v>342288</v>
      </c>
      <c r="H260" s="283" t="inlineStr">
        <is>
          <t>실적</t>
        </is>
      </c>
    </row>
    <row r="261">
      <c r="A261" s="348" t="n">
        <v>46262</v>
      </c>
      <c r="B261" s="283" t="n">
        <v>8</v>
      </c>
      <c r="C261" s="283" t="inlineStr">
        <is>
          <t>TMUS</t>
        </is>
      </c>
      <c r="D261" s="283" t="inlineStr">
        <is>
          <t>T-모바일</t>
        </is>
      </c>
      <c r="E261" s="284" t="n"/>
      <c r="F261" s="345" t="n">
        <v>4.08</v>
      </c>
      <c r="G261" s="284" t="n">
        <v>5459.04</v>
      </c>
      <c r="H261" s="283" t="inlineStr">
        <is>
          <t>실적</t>
        </is>
      </c>
    </row>
    <row r="262">
      <c r="A262" s="348" t="n">
        <v>46265</v>
      </c>
      <c r="B262" s="283" t="n">
        <v>8</v>
      </c>
      <c r="C262" s="283" t="inlineStr">
        <is>
          <t>O</t>
        </is>
      </c>
      <c r="D262" s="283" t="inlineStr">
        <is>
          <t>리얼티인컴</t>
        </is>
      </c>
      <c r="E262" s="284" t="n"/>
      <c r="F262" s="345" t="n">
        <v>14.363</v>
      </c>
      <c r="G262" s="284" t="n">
        <v>19217.694</v>
      </c>
      <c r="H262" s="283" t="inlineStr">
        <is>
          <t>실적</t>
        </is>
      </c>
    </row>
    <row r="263">
      <c r="A263" s="348" t="n">
        <v>46266</v>
      </c>
      <c r="B263" s="283" t="n">
        <v>9</v>
      </c>
      <c r="C263" s="283" t="inlineStr">
        <is>
          <t>NKE</t>
        </is>
      </c>
      <c r="D263" s="283" t="inlineStr">
        <is>
          <t>나이키</t>
        </is>
      </c>
      <c r="E263" s="284" t="n"/>
      <c r="F263" s="345" t="n">
        <v>4.1</v>
      </c>
      <c r="G263" s="284" t="n">
        <v>5485.799999999999</v>
      </c>
      <c r="H263" s="283" t="inlineStr">
        <is>
          <t>실적</t>
        </is>
      </c>
    </row>
    <row r="264">
      <c r="A264" s="348" t="n">
        <v>46275</v>
      </c>
      <c r="B264" s="283" t="n">
        <v>9</v>
      </c>
      <c r="C264" s="283" t="inlineStr">
        <is>
          <t>NVDA</t>
        </is>
      </c>
      <c r="D264" s="283" t="inlineStr">
        <is>
          <t>엔비디아</t>
        </is>
      </c>
      <c r="E264" s="284" t="n"/>
      <c r="F264" s="345" t="n">
        <v>1</v>
      </c>
      <c r="G264" s="284" t="n">
        <v>1338</v>
      </c>
      <c r="H264" s="283" t="inlineStr">
        <is>
          <t>실적</t>
        </is>
      </c>
    </row>
    <row r="265">
      <c r="A265" s="348" t="n">
        <v>46279</v>
      </c>
      <c r="B265" s="283" t="n">
        <v>9</v>
      </c>
      <c r="C265" s="283" t="inlineStr">
        <is>
          <t>0008S0</t>
        </is>
      </c>
      <c r="D265" s="283" t="inlineStr">
        <is>
          <t>TIGER 미국배당다우존스타겟데일리커버드콜</t>
        </is>
      </c>
      <c r="E265" s="284" t="n">
        <v>288000</v>
      </c>
      <c r="F265" s="345" t="n"/>
      <c r="G265" s="284" t="n">
        <v>288000</v>
      </c>
      <c r="H265" s="283" t="inlineStr">
        <is>
          <t>실적</t>
        </is>
      </c>
    </row>
    <row r="266">
      <c r="A266" s="348" t="n">
        <v>46279</v>
      </c>
      <c r="B266" s="283" t="n">
        <v>9</v>
      </c>
      <c r="C266" s="283" t="inlineStr">
        <is>
          <t>474220</t>
        </is>
      </c>
      <c r="D266" s="283" t="inlineStr">
        <is>
          <t>TIGER미국테크TOP10커버드콜</t>
        </is>
      </c>
      <c r="E266" s="284" t="n">
        <v>557810</v>
      </c>
      <c r="F266" s="345" t="n"/>
      <c r="G266" s="284" t="n">
        <v>557810</v>
      </c>
      <c r="H266" s="283" t="inlineStr">
        <is>
          <t>실적</t>
        </is>
      </c>
    </row>
    <row r="267">
      <c r="A267" s="348" t="n">
        <v>46279</v>
      </c>
      <c r="B267" s="283" t="n">
        <v>9</v>
      </c>
      <c r="C267" s="283" t="inlineStr">
        <is>
          <t>481060</t>
        </is>
      </c>
      <c r="D267" s="283" t="inlineStr">
        <is>
          <t>KODEX 미국30년국채타겟커버드콜(H)</t>
        </is>
      </c>
      <c r="E267" s="284" t="n">
        <v>226440</v>
      </c>
      <c r="F267" s="345" t="n"/>
      <c r="G267" s="284" t="n">
        <v>226440</v>
      </c>
      <c r="H267" s="283" t="inlineStr">
        <is>
          <t>실적</t>
        </is>
      </c>
    </row>
    <row r="268">
      <c r="A268" s="348" t="n">
        <v>46279</v>
      </c>
      <c r="B268" s="283" t="n">
        <v>9</v>
      </c>
      <c r="C268" s="283" t="inlineStr">
        <is>
          <t>482730</t>
        </is>
      </c>
      <c r="D268" s="283" t="inlineStr">
        <is>
          <t>미국S&amp;P500타겟데일리커버드콜</t>
        </is>
      </c>
      <c r="E268" s="284" t="n">
        <v>48450</v>
      </c>
      <c r="F268" s="345" t="n"/>
      <c r="G268" s="284" t="n">
        <v>48450</v>
      </c>
      <c r="H268" s="283" t="inlineStr">
        <is>
          <t>실적</t>
        </is>
      </c>
    </row>
    <row r="269">
      <c r="A269" s="348" t="n">
        <v>46279</v>
      </c>
      <c r="B269" s="283" t="n">
        <v>9</v>
      </c>
      <c r="C269" s="283" t="inlineStr">
        <is>
          <t>490490</t>
        </is>
      </c>
      <c r="D269" s="283" t="inlineStr">
        <is>
          <t>SOL미국배당미국채혼합50</t>
        </is>
      </c>
      <c r="E269" s="284" t="n">
        <v>106988</v>
      </c>
      <c r="F269" s="345" t="n"/>
      <c r="G269" s="284" t="n">
        <v>106988</v>
      </c>
      <c r="H269" s="283" t="inlineStr">
        <is>
          <t>실적</t>
        </is>
      </c>
    </row>
    <row r="270">
      <c r="A270" s="348" t="n">
        <v>46279</v>
      </c>
      <c r="B270" s="283" t="n">
        <v>9</v>
      </c>
      <c r="C270" s="283" t="inlineStr">
        <is>
          <t>498400</t>
        </is>
      </c>
      <c r="D270" s="283" t="inlineStr">
        <is>
          <t>KODEX 200타켓위클리커버드콜</t>
        </is>
      </c>
      <c r="E270" s="284" t="n">
        <v>183300</v>
      </c>
      <c r="F270" s="345" t="n"/>
      <c r="G270" s="284" t="n">
        <v>183300</v>
      </c>
      <c r="H270" s="283" t="inlineStr">
        <is>
          <t>실적</t>
        </is>
      </c>
    </row>
    <row r="271">
      <c r="A271" s="348" t="n">
        <v>46281</v>
      </c>
      <c r="B271" s="283" t="n">
        <v>9</v>
      </c>
      <c r="C271" s="283" t="inlineStr">
        <is>
          <t>TSM</t>
        </is>
      </c>
      <c r="D271" s="283" t="inlineStr">
        <is>
          <t>TSMC</t>
        </is>
      </c>
      <c r="E271" s="284" t="n"/>
      <c r="F271" s="345" t="n">
        <v>1.107</v>
      </c>
      <c r="G271" s="284" t="n">
        <v>1481.166</v>
      </c>
      <c r="H271" s="283" t="inlineStr">
        <is>
          <t>실적</t>
        </is>
      </c>
    </row>
    <row r="272">
      <c r="A272" s="348" t="n">
        <v>46288</v>
      </c>
      <c r="B272" s="283" t="n">
        <v>9</v>
      </c>
      <c r="C272" s="283" t="inlineStr">
        <is>
          <t>QLD</t>
        </is>
      </c>
      <c r="D272" s="283" t="inlineStr">
        <is>
          <t>QLD</t>
        </is>
      </c>
      <c r="E272" s="284" t="n"/>
      <c r="F272" s="345" t="n">
        <v>3.78</v>
      </c>
      <c r="G272" s="284" t="n">
        <v>5057.639999999999</v>
      </c>
      <c r="H272" s="283" t="inlineStr">
        <is>
          <t>실적</t>
        </is>
      </c>
    </row>
    <row r="273">
      <c r="A273" s="348" t="n">
        <v>46288</v>
      </c>
      <c r="B273" s="283" t="n">
        <v>9</v>
      </c>
      <c r="C273" s="283" t="inlineStr">
        <is>
          <t>SCHD</t>
        </is>
      </c>
      <c r="D273" s="283" t="inlineStr">
        <is>
          <t>SCHD</t>
        </is>
      </c>
      <c r="E273" s="284" t="n"/>
      <c r="F273" s="345" t="n">
        <v>6.408</v>
      </c>
      <c r="G273" s="284" t="n">
        <v>8573.904</v>
      </c>
      <c r="H273" s="283" t="inlineStr">
        <is>
          <t>실적</t>
        </is>
      </c>
    </row>
    <row r="274">
      <c r="A274" s="349" t="n">
        <v>46292</v>
      </c>
      <c r="B274" s="292" t="n">
        <v>9</v>
      </c>
      <c r="C274" s="292" t="inlineStr">
        <is>
          <t>005389</t>
        </is>
      </c>
      <c r="D274" s="292" t="inlineStr">
        <is>
          <t>현대차3우B</t>
        </is>
      </c>
      <c r="E274" s="293" t="n">
        <v>26000</v>
      </c>
      <c r="F274" s="347" t="n"/>
      <c r="G274" s="293" t="n">
        <v>26000</v>
      </c>
      <c r="H274" s="292" t="inlineStr">
        <is>
          <t>예측</t>
        </is>
      </c>
    </row>
    <row r="275">
      <c r="A275" s="349" t="n">
        <v>46292</v>
      </c>
      <c r="B275" s="292" t="n">
        <v>9</v>
      </c>
      <c r="C275" s="292" t="n">
        <v>105560</v>
      </c>
      <c r="D275" s="292" t="inlineStr">
        <is>
          <t>KB금융</t>
        </is>
      </c>
      <c r="E275" s="293" t="n">
        <v>9540</v>
      </c>
      <c r="F275" s="347" t="n"/>
      <c r="G275" s="293" t="n">
        <v>9540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005930</t>
        </is>
      </c>
      <c r="D276" s="292" t="inlineStr">
        <is>
          <t>삼성전자</t>
        </is>
      </c>
      <c r="E276" s="293" t="n">
        <v>36184</v>
      </c>
      <c r="F276" s="347" t="n"/>
      <c r="G276" s="293" t="n">
        <v>36184</v>
      </c>
      <c r="H276" s="292" t="inlineStr">
        <is>
          <t>예측</t>
        </is>
      </c>
    </row>
    <row r="277">
      <c r="A277" s="348" t="n">
        <v>46294</v>
      </c>
      <c r="B277" s="283" t="n">
        <v>9</v>
      </c>
      <c r="C277" s="283" t="inlineStr">
        <is>
          <t>0219E0</t>
        </is>
      </c>
      <c r="D277" s="283" t="inlineStr">
        <is>
          <t>KODEX 200커버드콜액티브</t>
        </is>
      </c>
      <c r="E277" s="284" t="n">
        <v>219800</v>
      </c>
      <c r="F277" s="345" t="n"/>
      <c r="G277" s="284" t="n">
        <v>219800</v>
      </c>
      <c r="H277" s="283" t="inlineStr">
        <is>
          <t>실적</t>
        </is>
      </c>
    </row>
    <row r="278">
      <c r="A278" s="348" t="n">
        <v>46294</v>
      </c>
      <c r="B278" s="283" t="n">
        <v>9</v>
      </c>
      <c r="C278" s="283" t="inlineStr">
        <is>
          <t>329200</t>
        </is>
      </c>
      <c r="D278" s="283" t="inlineStr">
        <is>
          <t>TIGER리츠부동산인프라</t>
        </is>
      </c>
      <c r="E278" s="284" t="n">
        <v>165000</v>
      </c>
      <c r="F278" s="345" t="n"/>
      <c r="G278" s="284" t="n">
        <v>165000</v>
      </c>
      <c r="H278" s="283" t="inlineStr">
        <is>
          <t>실적</t>
        </is>
      </c>
    </row>
    <row r="279">
      <c r="A279" s="348" t="n">
        <v>46294</v>
      </c>
      <c r="B279" s="283" t="n">
        <v>9</v>
      </c>
      <c r="C279" s="283" t="inlineStr">
        <is>
          <t>433330</t>
        </is>
      </c>
      <c r="D279" s="283" t="inlineStr">
        <is>
          <t>SOL 미국 S&amp;P500</t>
        </is>
      </c>
      <c r="E279" s="284" t="n">
        <v>27120</v>
      </c>
      <c r="F279" s="345" t="n"/>
      <c r="G279" s="284" t="n">
        <v>27120</v>
      </c>
      <c r="H279" s="283" t="inlineStr">
        <is>
          <t>실적</t>
        </is>
      </c>
    </row>
    <row r="280">
      <c r="A280" s="348" t="n">
        <v>46294</v>
      </c>
      <c r="B280" s="283" t="n">
        <v>9</v>
      </c>
      <c r="C280" s="283" t="inlineStr">
        <is>
          <t>446720</t>
        </is>
      </c>
      <c r="D280" s="283" t="inlineStr">
        <is>
          <t>SOL 미국배당다우존스</t>
        </is>
      </c>
      <c r="E280" s="284" t="n">
        <v>49210</v>
      </c>
      <c r="F280" s="345" t="n"/>
      <c r="G280" s="284" t="n">
        <v>49210</v>
      </c>
      <c r="H280" s="283" t="inlineStr">
        <is>
          <t>실적</t>
        </is>
      </c>
    </row>
    <row r="281">
      <c r="A281" s="348" t="n">
        <v>46294</v>
      </c>
      <c r="B281" s="283" t="n">
        <v>9</v>
      </c>
      <c r="C281" s="283" t="inlineStr">
        <is>
          <t>458760</t>
        </is>
      </c>
      <c r="D281" s="283" t="inlineStr">
        <is>
          <t>TIGER 미배당다우커버드콜2호</t>
        </is>
      </c>
      <c r="E281" s="284" t="n">
        <v>1397123</v>
      </c>
      <c r="F281" s="345" t="n"/>
      <c r="G281" s="284" t="n">
        <v>1397123</v>
      </c>
      <c r="H281" s="283" t="inlineStr">
        <is>
          <t>실적</t>
        </is>
      </c>
    </row>
    <row r="282">
      <c r="A282" s="348" t="n">
        <v>46294</v>
      </c>
      <c r="B282" s="283" t="n">
        <v>9</v>
      </c>
      <c r="C282" s="283" t="inlineStr">
        <is>
          <t>468380</t>
        </is>
      </c>
      <c r="D282" s="283" t="inlineStr">
        <is>
          <t>KODEX iShares미국하이일드액티브</t>
        </is>
      </c>
      <c r="E282" s="284" t="n">
        <v>120000</v>
      </c>
      <c r="F282" s="345" t="n"/>
      <c r="G282" s="284" t="n">
        <v>120000</v>
      </c>
      <c r="H282" s="283" t="inlineStr">
        <is>
          <t>실적</t>
        </is>
      </c>
    </row>
    <row r="283">
      <c r="A283" s="348" t="n">
        <v>46294</v>
      </c>
      <c r="B283" s="283" t="n">
        <v>9</v>
      </c>
      <c r="C283" s="283" t="inlineStr">
        <is>
          <t>473330</t>
        </is>
      </c>
      <c r="D283" s="283" t="inlineStr">
        <is>
          <t>SOL 미국 30년국채커버드콜(합성)</t>
        </is>
      </c>
      <c r="E283" s="284" t="n">
        <v>57600</v>
      </c>
      <c r="F283" s="345" t="n"/>
      <c r="G283" s="284" t="n">
        <v>57600</v>
      </c>
      <c r="H283" s="283" t="inlineStr">
        <is>
          <t>실적</t>
        </is>
      </c>
    </row>
    <row r="284">
      <c r="A284" s="348" t="n">
        <v>46294</v>
      </c>
      <c r="B284" s="283" t="n">
        <v>9</v>
      </c>
      <c r="C284" s="283" t="inlineStr">
        <is>
          <t>475380</t>
        </is>
      </c>
      <c r="D284" s="283" t="inlineStr">
        <is>
          <t>RISE 글로벌리얼티인컴</t>
        </is>
      </c>
      <c r="E284" s="284" t="n">
        <v>3232</v>
      </c>
      <c r="F284" s="345" t="n"/>
      <c r="G284" s="284" t="n">
        <v>3232</v>
      </c>
      <c r="H284" s="283" t="inlineStr">
        <is>
          <t>실적</t>
        </is>
      </c>
    </row>
    <row r="285">
      <c r="A285" s="348" t="n">
        <v>46294</v>
      </c>
      <c r="B285" s="283" t="n">
        <v>9</v>
      </c>
      <c r="C285" s="283" t="inlineStr">
        <is>
          <t>476550</t>
        </is>
      </c>
      <c r="D285" s="283" t="inlineStr">
        <is>
          <t>TIGER 미국30년국채커버드콜액티브(H)</t>
        </is>
      </c>
      <c r="E285" s="284" t="n">
        <v>28446</v>
      </c>
      <c r="F285" s="345" t="n"/>
      <c r="G285" s="284" t="n">
        <v>28446</v>
      </c>
      <c r="H285" s="283" t="inlineStr">
        <is>
          <t>실적</t>
        </is>
      </c>
    </row>
    <row r="286">
      <c r="A286" s="348" t="n">
        <v>46294</v>
      </c>
      <c r="B286" s="283" t="n">
        <v>9</v>
      </c>
      <c r="C286" s="283" t="inlineStr">
        <is>
          <t>476690</t>
        </is>
      </c>
      <c r="D286" s="283" t="inlineStr">
        <is>
          <t>TIGER 글로벌비만치료제 TOP2 Plus</t>
        </is>
      </c>
      <c r="E286" s="284" t="n">
        <v>1100</v>
      </c>
      <c r="F286" s="345" t="n"/>
      <c r="G286" s="284" t="n">
        <v>1100</v>
      </c>
      <c r="H286" s="283" t="inlineStr">
        <is>
          <t>실적</t>
        </is>
      </c>
    </row>
    <row r="287">
      <c r="A287" s="348" t="n">
        <v>46294</v>
      </c>
      <c r="B287" s="283" t="n">
        <v>9</v>
      </c>
      <c r="C287" s="283" t="inlineStr">
        <is>
          <t>483280</t>
        </is>
      </c>
      <c r="D287" s="283" t="inlineStr">
        <is>
          <t>KODEX 미국AI테크TOP10타겟커버드콜</t>
        </is>
      </c>
      <c r="E287" s="284" t="n">
        <v>333900</v>
      </c>
      <c r="F287" s="345" t="n"/>
      <c r="G287" s="284" t="n">
        <v>333900</v>
      </c>
      <c r="H287" s="283" t="inlineStr">
        <is>
          <t>실적</t>
        </is>
      </c>
    </row>
    <row r="288">
      <c r="A288" s="348" t="n">
        <v>46294</v>
      </c>
      <c r="B288" s="283" t="n">
        <v>9</v>
      </c>
      <c r="C288" s="283" t="inlineStr">
        <is>
          <t>498410</t>
        </is>
      </c>
      <c r="D288" s="283" t="inlineStr">
        <is>
          <t>KODEX금융고배당TOP10타겟위클리커버드콜</t>
        </is>
      </c>
      <c r="E288" s="284" t="n">
        <v>347042</v>
      </c>
      <c r="F288" s="345" t="n"/>
      <c r="G288" s="284" t="n">
        <v>347042</v>
      </c>
      <c r="H288" s="283" t="inlineStr">
        <is>
          <t>실적</t>
        </is>
      </c>
    </row>
    <row r="289">
      <c r="A289" s="348" t="n">
        <v>46295</v>
      </c>
      <c r="B289" s="283" t="n">
        <v>9</v>
      </c>
      <c r="C289" s="283" t="inlineStr">
        <is>
          <t>AMT</t>
        </is>
      </c>
      <c r="D289" s="283" t="inlineStr">
        <is>
          <t>아메리칸타워</t>
        </is>
      </c>
      <c r="E289" s="284" t="n"/>
      <c r="F289" s="345" t="n">
        <v>8.949999999999999</v>
      </c>
      <c r="G289" s="284" t="n">
        <v>11975.1</v>
      </c>
      <c r="H289" s="283" t="inlineStr">
        <is>
          <t>실적</t>
        </is>
      </c>
    </row>
    <row r="290">
      <c r="A290" s="348" t="n">
        <v>46295</v>
      </c>
      <c r="B290" s="283" t="n">
        <v>9</v>
      </c>
      <c r="C290" s="283" t="inlineStr">
        <is>
          <t>O</t>
        </is>
      </c>
      <c r="D290" s="283" t="inlineStr">
        <is>
          <t>리얼티인컴</t>
        </is>
      </c>
      <c r="E290" s="284" t="n"/>
      <c r="F290" s="345" t="n">
        <v>14.416</v>
      </c>
      <c r="G290" s="284" t="n">
        <v>19288.608</v>
      </c>
      <c r="H290" s="283" t="inlineStr">
        <is>
          <t>실적</t>
        </is>
      </c>
    </row>
    <row r="291">
      <c r="A291" s="349" t="n">
        <v>46304</v>
      </c>
      <c r="B291" s="292" t="n">
        <v>10</v>
      </c>
      <c r="C291" s="292" t="inlineStr">
        <is>
          <t>AMT</t>
        </is>
      </c>
      <c r="D291" s="292" t="inlineStr">
        <is>
          <t>아메리칸타워</t>
        </is>
      </c>
      <c r="E291" s="293" t="n"/>
      <c r="F291" s="347" t="n">
        <v>8.1</v>
      </c>
      <c r="G291" s="293" t="n">
        <v>10837.8</v>
      </c>
      <c r="H291" s="292" t="inlineStr">
        <is>
          <t>예측</t>
        </is>
      </c>
    </row>
    <row r="292">
      <c r="A292" s="349" t="n">
        <v>46305</v>
      </c>
      <c r="B292" s="292" t="n">
        <v>10</v>
      </c>
      <c r="C292" s="292" t="inlineStr">
        <is>
          <t>ORCL</t>
        </is>
      </c>
      <c r="D292" s="292" t="inlineStr">
        <is>
          <t>오라클</t>
        </is>
      </c>
      <c r="E292" s="293" t="n"/>
      <c r="F292" s="347" t="n">
        <v>0.9</v>
      </c>
      <c r="G292" s="293" t="n">
        <v>1204.2</v>
      </c>
      <c r="H292" s="292" t="inlineStr">
        <is>
          <t>예측</t>
        </is>
      </c>
    </row>
    <row r="293">
      <c r="A293" s="349" t="n">
        <v>46306</v>
      </c>
      <c r="B293" s="292" t="n">
        <v>10</v>
      </c>
      <c r="C293" s="292" t="inlineStr">
        <is>
          <t>O</t>
        </is>
      </c>
      <c r="D293" s="292" t="inlineStr">
        <is>
          <t>리얼티인컴</t>
        </is>
      </c>
      <c r="E293" s="293" t="n"/>
      <c r="F293" s="347" t="n">
        <v>14.204</v>
      </c>
      <c r="G293" s="293" t="n">
        <v>19004.952</v>
      </c>
      <c r="H293" s="292" t="inlineStr">
        <is>
          <t>예측</t>
        </is>
      </c>
    </row>
    <row r="294">
      <c r="A294" s="349" t="n">
        <v>46309</v>
      </c>
      <c r="B294" s="292" t="n">
        <v>10</v>
      </c>
      <c r="C294" s="292" t="inlineStr">
        <is>
          <t>0008S0</t>
        </is>
      </c>
      <c r="D294" s="292" t="inlineStr">
        <is>
          <t>TIGER 미국배당다우존스타겟데일리커버드콜</t>
        </is>
      </c>
      <c r="E294" s="293" t="n">
        <v>261000</v>
      </c>
      <c r="F294" s="347" t="n"/>
      <c r="G294" s="293" t="n">
        <v>261000</v>
      </c>
      <c r="H294" s="292" t="inlineStr">
        <is>
          <t>예측</t>
        </is>
      </c>
    </row>
    <row r="295">
      <c r="A295" s="349" t="n">
        <v>46309</v>
      </c>
      <c r="B295" s="292" t="n">
        <v>10</v>
      </c>
      <c r="C295" s="292" t="inlineStr">
        <is>
          <t>474220</t>
        </is>
      </c>
      <c r="D295" s="292" t="inlineStr">
        <is>
          <t>TIGER미국테크TOP10커버드콜</t>
        </is>
      </c>
      <c r="E295" s="293" t="n">
        <v>527845</v>
      </c>
      <c r="F295" s="347" t="n"/>
      <c r="G295" s="293" t="n">
        <v>527845</v>
      </c>
      <c r="H295" s="292" t="inlineStr">
        <is>
          <t>예측</t>
        </is>
      </c>
    </row>
    <row r="296">
      <c r="A296" s="349" t="n">
        <v>46309</v>
      </c>
      <c r="B296" s="292" t="n">
        <v>10</v>
      </c>
      <c r="C296" s="292" t="inlineStr">
        <is>
          <t>481060</t>
        </is>
      </c>
      <c r="D296" s="292" t="inlineStr">
        <is>
          <t>KODEX 미국30년국채타겟커버드콜(H)</t>
        </is>
      </c>
      <c r="E296" s="293" t="n">
        <v>287640</v>
      </c>
      <c r="F296" s="347" t="n"/>
      <c r="G296" s="293" t="n">
        <v>287640</v>
      </c>
      <c r="H296" s="292" t="inlineStr">
        <is>
          <t>예측</t>
        </is>
      </c>
    </row>
    <row r="297">
      <c r="A297" s="349" t="n">
        <v>46309</v>
      </c>
      <c r="B297" s="292" t="n">
        <v>10</v>
      </c>
      <c r="C297" s="292" t="inlineStr">
        <is>
          <t>490490</t>
        </is>
      </c>
      <c r="D297" s="292" t="inlineStr">
        <is>
          <t>SOL미국배당미국채혼합50</t>
        </is>
      </c>
      <c r="E297" s="293" t="n">
        <v>80241</v>
      </c>
      <c r="F297" s="347" t="n"/>
      <c r="G297" s="293" t="n">
        <v>80241</v>
      </c>
      <c r="H297" s="292" t="inlineStr">
        <is>
          <t>예측</t>
        </is>
      </c>
    </row>
    <row r="298">
      <c r="A298" s="349" t="n">
        <v>46309</v>
      </c>
      <c r="B298" s="292" t="n">
        <v>10</v>
      </c>
      <c r="C298" s="292" t="inlineStr">
        <is>
          <t>498400</t>
        </is>
      </c>
      <c r="D298" s="292" t="inlineStr">
        <is>
          <t>KODEX 200타켓위클리커버드콜</t>
        </is>
      </c>
      <c r="E298" s="293" t="n">
        <v>105092</v>
      </c>
      <c r="F298" s="347" t="n"/>
      <c r="G298" s="293" t="n">
        <v>105092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133690</t>
        </is>
      </c>
      <c r="D299" s="292" t="inlineStr">
        <is>
          <t>TIGER 미국나스닥100</t>
        </is>
      </c>
      <c r="E299" s="293" t="n">
        <v>11457</v>
      </c>
      <c r="F299" s="347" t="n"/>
      <c r="G299" s="293" t="n">
        <v>11457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329200</t>
        </is>
      </c>
      <c r="D300" s="292" t="inlineStr">
        <is>
          <t>TIGER리츠부동산인프라</t>
        </is>
      </c>
      <c r="E300" s="293" t="n">
        <v>155000</v>
      </c>
      <c r="F300" s="347" t="n"/>
      <c r="G300" s="293" t="n">
        <v>155000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360750</t>
        </is>
      </c>
      <c r="D301" s="292" t="inlineStr">
        <is>
          <t>TIGER미국S&amp;P500</t>
        </is>
      </c>
      <c r="E301" s="293" t="n">
        <v>13688</v>
      </c>
      <c r="F301" s="347" t="n"/>
      <c r="G301" s="293" t="n">
        <v>13688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367380</t>
        </is>
      </c>
      <c r="D302" s="292" t="inlineStr">
        <is>
          <t>ACE 미국나스닥100</t>
        </is>
      </c>
      <c r="E302" s="293" t="n">
        <v>12337</v>
      </c>
      <c r="F302" s="347" t="n"/>
      <c r="G302" s="293" t="n">
        <v>12337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379810</t>
        </is>
      </c>
      <c r="D303" s="292" t="inlineStr">
        <is>
          <t>KODEX 미국나스닥100</t>
        </is>
      </c>
      <c r="E303" s="293" t="n">
        <v>28350</v>
      </c>
      <c r="F303" s="347" t="n"/>
      <c r="G303" s="293" t="n">
        <v>28350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433330</t>
        </is>
      </c>
      <c r="D304" s="292" t="inlineStr">
        <is>
          <t>SOL 미국 S&amp;P500</t>
        </is>
      </c>
      <c r="E304" s="293" t="n">
        <v>14916</v>
      </c>
      <c r="F304" s="347" t="n"/>
      <c r="G304" s="293" t="n">
        <v>14916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446720</t>
        </is>
      </c>
      <c r="D305" s="292" t="inlineStr">
        <is>
          <t>SOL 미국배당다우존스</t>
        </is>
      </c>
      <c r="E305" s="293" t="n">
        <v>43890</v>
      </c>
      <c r="F305" s="347" t="n"/>
      <c r="G305" s="293" t="n">
        <v>43890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458760</t>
        </is>
      </c>
      <c r="D306" s="292" t="inlineStr">
        <is>
          <t>TIGER 미배당다우커버드콜2호</t>
        </is>
      </c>
      <c r="E306" s="293" t="n">
        <v>1343388</v>
      </c>
      <c r="F306" s="347" t="n"/>
      <c r="G306" s="293" t="n">
        <v>1343388</v>
      </c>
      <c r="H306" s="292" t="inlineStr">
        <is>
          <t>예측</t>
        </is>
      </c>
    </row>
    <row r="307">
      <c r="A307" s="349" t="n">
        <v>46325</v>
      </c>
      <c r="B307" s="292" t="n">
        <v>10</v>
      </c>
      <c r="C307" s="292" t="inlineStr">
        <is>
          <t>468380</t>
        </is>
      </c>
      <c r="D307" s="292" t="inlineStr">
        <is>
          <t>KODEX iShares미국하이일드액티브</t>
        </is>
      </c>
      <c r="E307" s="293" t="n">
        <v>120000</v>
      </c>
      <c r="F307" s="347" t="n"/>
      <c r="G307" s="293" t="n">
        <v>120000</v>
      </c>
      <c r="H307" s="292" t="inlineStr">
        <is>
          <t>예측</t>
        </is>
      </c>
    </row>
    <row r="308">
      <c r="A308" s="349" t="n">
        <v>46325</v>
      </c>
      <c r="B308" s="292" t="n">
        <v>10</v>
      </c>
      <c r="C308" s="292" t="inlineStr">
        <is>
          <t>473330</t>
        </is>
      </c>
      <c r="D308" s="292" t="inlineStr">
        <is>
          <t>SOL 미국 30년국채커버드콜(합성)</t>
        </is>
      </c>
      <c r="E308" s="293" t="n">
        <v>78720</v>
      </c>
      <c r="F308" s="347" t="n"/>
      <c r="G308" s="293" t="n">
        <v>78720</v>
      </c>
      <c r="H308" s="292" t="inlineStr">
        <is>
          <t>예측</t>
        </is>
      </c>
    </row>
    <row r="309">
      <c r="A309" s="349" t="n">
        <v>46325</v>
      </c>
      <c r="B309" s="292" t="n">
        <v>10</v>
      </c>
      <c r="C309" s="292" t="inlineStr">
        <is>
          <t>475380</t>
        </is>
      </c>
      <c r="D309" s="292" t="inlineStr">
        <is>
          <t>RISE 글로벌리얼티인컴</t>
        </is>
      </c>
      <c r="E309" s="293" t="n">
        <v>3737</v>
      </c>
      <c r="F309" s="347" t="n"/>
      <c r="G309" s="293" t="n">
        <v>3737</v>
      </c>
      <c r="H309" s="292" t="inlineStr">
        <is>
          <t>예측</t>
        </is>
      </c>
    </row>
    <row r="310">
      <c r="A310" s="349" t="n">
        <v>46325</v>
      </c>
      <c r="B310" s="292" t="n">
        <v>10</v>
      </c>
      <c r="C310" s="292" t="inlineStr">
        <is>
          <t>476550</t>
        </is>
      </c>
      <c r="D310" s="292" t="inlineStr">
        <is>
          <t>TIGER 미국30년국채커버드콜액티브(H)</t>
        </is>
      </c>
      <c r="E310" s="293" t="n">
        <v>37928</v>
      </c>
      <c r="F310" s="347" t="n"/>
      <c r="G310" s="293" t="n">
        <v>37928</v>
      </c>
      <c r="H310" s="292" t="inlineStr">
        <is>
          <t>예측</t>
        </is>
      </c>
    </row>
    <row r="311">
      <c r="A311" s="349" t="n">
        <v>46325</v>
      </c>
      <c r="B311" s="292" t="n">
        <v>10</v>
      </c>
      <c r="C311" s="292" t="inlineStr">
        <is>
          <t>476690</t>
        </is>
      </c>
      <c r="D311" s="292" t="inlineStr">
        <is>
          <t>TIGER 글로벌비만치료제 TOP2 Plus</t>
        </is>
      </c>
      <c r="E311" s="293" t="n">
        <v>1200</v>
      </c>
      <c r="F311" s="347" t="n"/>
      <c r="G311" s="293" t="n">
        <v>1200</v>
      </c>
      <c r="H311" s="292" t="inlineStr">
        <is>
          <t>예측</t>
        </is>
      </c>
    </row>
    <row r="312">
      <c r="A312" s="349" t="n">
        <v>46325</v>
      </c>
      <c r="B312" s="292" t="n">
        <v>10</v>
      </c>
      <c r="C312" s="292" t="inlineStr">
        <is>
          <t>482730</t>
        </is>
      </c>
      <c r="D312" s="292" t="inlineStr">
        <is>
          <t>미국S&amp;P500타겟데일리커버드콜</t>
        </is>
      </c>
      <c r="E312" s="293" t="n">
        <v>40375</v>
      </c>
      <c r="F312" s="347" t="n"/>
      <c r="G312" s="293" t="n">
        <v>40375</v>
      </c>
      <c r="H312" s="292" t="inlineStr">
        <is>
          <t>예측</t>
        </is>
      </c>
    </row>
    <row r="313">
      <c r="A313" s="349" t="n">
        <v>46325</v>
      </c>
      <c r="B313" s="292" t="n">
        <v>10</v>
      </c>
      <c r="C313" s="292" t="inlineStr">
        <is>
          <t>483280</t>
        </is>
      </c>
      <c r="D313" s="292" t="inlineStr">
        <is>
          <t>KODEX 미국AI테크TOP10타겟커버드콜</t>
        </is>
      </c>
      <c r="E313" s="293" t="n">
        <v>324996</v>
      </c>
      <c r="F313" s="347" t="n"/>
      <c r="G313" s="293" t="n">
        <v>324996</v>
      </c>
      <c r="H313" s="292" t="inlineStr">
        <is>
          <t>예측</t>
        </is>
      </c>
    </row>
    <row r="314">
      <c r="A314" s="349" t="n">
        <v>46325</v>
      </c>
      <c r="B314" s="292" t="n">
        <v>10</v>
      </c>
      <c r="C314" s="292" t="inlineStr">
        <is>
          <t>498410</t>
        </is>
      </c>
      <c r="D314" s="292" t="inlineStr">
        <is>
          <t>KODEX금융고배당TOP10타겟위클리커버드콜</t>
        </is>
      </c>
      <c r="E314" s="293" t="n">
        <v>366058</v>
      </c>
      <c r="F314" s="347" t="n"/>
      <c r="G314" s="293" t="n">
        <v>366058</v>
      </c>
      <c r="H314" s="292" t="inlineStr">
        <is>
          <t>예측</t>
        </is>
      </c>
    </row>
    <row r="315">
      <c r="A315" s="349" t="n">
        <v>46326</v>
      </c>
      <c r="B315" s="292" t="n">
        <v>10</v>
      </c>
      <c r="C315" s="292" t="inlineStr">
        <is>
          <t>0219E0</t>
        </is>
      </c>
      <c r="D315" s="292" t="inlineStr">
        <is>
          <t>KODEX 200커버드콜액티브</t>
        </is>
      </c>
      <c r="E315" s="293" t="n">
        <v>207240</v>
      </c>
      <c r="F315" s="347" t="n"/>
      <c r="G315" s="293" t="n">
        <v>207240</v>
      </c>
      <c r="H315" s="292" t="inlineStr">
        <is>
          <t>예측</t>
        </is>
      </c>
    </row>
    <row r="316">
      <c r="A316" s="349" t="n">
        <v>46335</v>
      </c>
      <c r="B316" s="292" t="n">
        <v>11</v>
      </c>
      <c r="C316" s="292" t="inlineStr">
        <is>
          <t>AAPL</t>
        </is>
      </c>
      <c r="D316" s="292" t="inlineStr">
        <is>
          <t>애플</t>
        </is>
      </c>
      <c r="E316" s="293" t="n"/>
      <c r="F316" s="347" t="n">
        <v>2.295</v>
      </c>
      <c r="G316" s="293" t="n">
        <v>3070.71</v>
      </c>
      <c r="H316" s="292" t="inlineStr">
        <is>
          <t>예측</t>
        </is>
      </c>
    </row>
    <row r="317">
      <c r="A317" s="349" t="n">
        <v>46339</v>
      </c>
      <c r="B317" s="292" t="n">
        <v>11</v>
      </c>
      <c r="C317" s="292" t="inlineStr">
        <is>
          <t>0008S0</t>
        </is>
      </c>
      <c r="D317" s="292" t="inlineStr">
        <is>
          <t>TIGER 미국배당다우존스타겟데일리커버드콜</t>
        </is>
      </c>
      <c r="E317" s="293" t="n">
        <v>267000</v>
      </c>
      <c r="F317" s="347" t="n"/>
      <c r="G317" s="293" t="n">
        <v>267000</v>
      </c>
      <c r="H317" s="292" t="inlineStr">
        <is>
          <t>예측</t>
        </is>
      </c>
    </row>
    <row r="318">
      <c r="A318" s="349" t="n">
        <v>46339</v>
      </c>
      <c r="B318" s="292" t="n">
        <v>11</v>
      </c>
      <c r="C318" s="292" t="n">
        <v>105560</v>
      </c>
      <c r="D318" s="292" t="inlineStr">
        <is>
          <t>KB금융</t>
        </is>
      </c>
      <c r="E318" s="293" t="n">
        <v>11160</v>
      </c>
      <c r="F318" s="347" t="n"/>
      <c r="G318" s="293" t="n">
        <v>11160</v>
      </c>
      <c r="H318" s="292" t="inlineStr">
        <is>
          <t>예측</t>
        </is>
      </c>
    </row>
    <row r="319">
      <c r="A319" s="349" t="n">
        <v>46339</v>
      </c>
      <c r="B319" s="292" t="n">
        <v>11</v>
      </c>
      <c r="C319" s="292" t="inlineStr">
        <is>
          <t>498400</t>
        </is>
      </c>
      <c r="D319" s="292" t="inlineStr">
        <is>
          <t>KODEX 200타켓위클리커버드콜</t>
        </is>
      </c>
      <c r="E319" s="293" t="n">
        <v>119756</v>
      </c>
      <c r="F319" s="347" t="n"/>
      <c r="G319" s="293" t="n">
        <v>119756</v>
      </c>
      <c r="H319" s="292" t="inlineStr">
        <is>
          <t>예측</t>
        </is>
      </c>
    </row>
    <row r="320">
      <c r="A320" s="349" t="n">
        <v>46340</v>
      </c>
      <c r="B320" s="292" t="n">
        <v>11</v>
      </c>
      <c r="C320" s="292" t="inlineStr">
        <is>
          <t>474220</t>
        </is>
      </c>
      <c r="D320" s="292" t="inlineStr">
        <is>
          <t>TIGER미국테크TOP10커버드콜</t>
        </is>
      </c>
      <c r="E320" s="293" t="n">
        <v>576250</v>
      </c>
      <c r="F320" s="347" t="n"/>
      <c r="G320" s="293" t="n">
        <v>576250</v>
      </c>
      <c r="H320" s="292" t="inlineStr">
        <is>
          <t>예측</t>
        </is>
      </c>
    </row>
    <row r="321">
      <c r="A321" s="349" t="n">
        <v>46340</v>
      </c>
      <c r="B321" s="292" t="n">
        <v>11</v>
      </c>
      <c r="C321" s="292" t="inlineStr">
        <is>
          <t>481060</t>
        </is>
      </c>
      <c r="D321" s="292" t="inlineStr">
        <is>
          <t>KODEX 미국30년국채타겟커버드콜(H)</t>
        </is>
      </c>
      <c r="E321" s="293" t="n">
        <v>278460</v>
      </c>
      <c r="F321" s="347" t="n"/>
      <c r="G321" s="293" t="n">
        <v>278460</v>
      </c>
      <c r="H321" s="292" t="inlineStr">
        <is>
          <t>예측</t>
        </is>
      </c>
    </row>
    <row r="322">
      <c r="A322" s="349" t="n">
        <v>46340</v>
      </c>
      <c r="B322" s="292" t="n">
        <v>11</v>
      </c>
      <c r="C322" s="292" t="inlineStr">
        <is>
          <t>490490</t>
        </is>
      </c>
      <c r="D322" s="292" t="inlineStr">
        <is>
          <t>SOL미국배당미국채혼합50</t>
        </is>
      </c>
      <c r="E322" s="293" t="n">
        <v>122272</v>
      </c>
      <c r="F322" s="347" t="n"/>
      <c r="G322" s="293" t="n">
        <v>122272</v>
      </c>
      <c r="H322" s="292" t="inlineStr">
        <is>
          <t>예측</t>
        </is>
      </c>
    </row>
    <row r="323">
      <c r="A323" s="349" t="n">
        <v>46340</v>
      </c>
      <c r="B323" s="292" t="n">
        <v>11</v>
      </c>
      <c r="C323" s="292" t="inlineStr">
        <is>
          <t>O</t>
        </is>
      </c>
      <c r="D323" s="292" t="inlineStr">
        <is>
          <t>리얼티인컴</t>
        </is>
      </c>
      <c r="E323" s="293" t="n"/>
      <c r="F323" s="347" t="n">
        <v>14.151</v>
      </c>
      <c r="G323" s="293" t="n">
        <v>18934.038</v>
      </c>
      <c r="H323" s="292" t="inlineStr">
        <is>
          <t>예측</t>
        </is>
      </c>
    </row>
    <row r="324">
      <c r="A324" s="349" t="n">
        <v>46340</v>
      </c>
      <c r="B324" s="292" t="n">
        <v>11</v>
      </c>
      <c r="C324" s="292" t="inlineStr">
        <is>
          <t>SBUX</t>
        </is>
      </c>
      <c r="D324" s="292" t="inlineStr">
        <is>
          <t>스타벅스</t>
        </is>
      </c>
      <c r="E324" s="293" t="n"/>
      <c r="F324" s="347" t="n">
        <v>1.23</v>
      </c>
      <c r="G324" s="293" t="n">
        <v>1645.74</v>
      </c>
      <c r="H324" s="292" t="inlineStr">
        <is>
          <t>예측</t>
        </is>
      </c>
    </row>
    <row r="325">
      <c r="A325" s="349" t="n">
        <v>46340</v>
      </c>
      <c r="B325" s="292" t="n">
        <v>11</v>
      </c>
      <c r="C325" s="292" t="inlineStr">
        <is>
          <t>XOM</t>
        </is>
      </c>
      <c r="D325" s="292" t="inlineStr">
        <is>
          <t>엑슨모빌</t>
        </is>
      </c>
      <c r="E325" s="293" t="n"/>
      <c r="F325" s="347" t="n">
        <v>1.01</v>
      </c>
      <c r="G325" s="293" t="n">
        <v>1351.38</v>
      </c>
      <c r="H325" s="292" t="inlineStr">
        <is>
          <t>예측</t>
        </is>
      </c>
    </row>
    <row r="326">
      <c r="A326" s="349" t="n">
        <v>46344</v>
      </c>
      <c r="B326" s="292" t="n">
        <v>11</v>
      </c>
      <c r="C326" s="292" t="inlineStr">
        <is>
          <t>CVX</t>
        </is>
      </c>
      <c r="D326" s="292" t="inlineStr">
        <is>
          <t>셰브론</t>
        </is>
      </c>
      <c r="E326" s="293" t="n"/>
      <c r="F326" s="347" t="n">
        <v>1.67</v>
      </c>
      <c r="G326" s="293" t="n">
        <v>2234.46</v>
      </c>
      <c r="H326" s="292" t="inlineStr">
        <is>
          <t>예측</t>
        </is>
      </c>
    </row>
    <row r="327">
      <c r="A327" s="349" t="n">
        <v>46346</v>
      </c>
      <c r="B327" s="292" t="n">
        <v>11</v>
      </c>
      <c r="C327" s="292" t="inlineStr">
        <is>
          <t>MSFT</t>
        </is>
      </c>
      <c r="D327" s="292" t="inlineStr">
        <is>
          <t>마이크로소프트</t>
        </is>
      </c>
      <c r="E327" s="293" t="n"/>
      <c r="F327" s="347" t="n">
        <v>1.74</v>
      </c>
      <c r="G327" s="293" t="n">
        <v>2328.12</v>
      </c>
      <c r="H327" s="292" t="inlineStr">
        <is>
          <t>예측</t>
        </is>
      </c>
    </row>
    <row r="328">
      <c r="A328" s="349" t="n">
        <v>46352</v>
      </c>
      <c r="B328" s="292" t="n">
        <v>11</v>
      </c>
      <c r="C328" s="292" t="inlineStr">
        <is>
          <t>TMUS</t>
        </is>
      </c>
      <c r="D328" s="292" t="inlineStr">
        <is>
          <t>T-모바일</t>
        </is>
      </c>
      <c r="E328" s="293" t="n"/>
      <c r="F328" s="347" t="n">
        <v>3.8</v>
      </c>
      <c r="G328" s="293" t="n">
        <v>5084.4</v>
      </c>
      <c r="H328" s="292" t="inlineStr">
        <is>
          <t>예측</t>
        </is>
      </c>
    </row>
    <row r="329">
      <c r="A329" s="349" t="n">
        <v>46353</v>
      </c>
      <c r="B329" s="292" t="n">
        <v>11</v>
      </c>
      <c r="C329" s="292" t="inlineStr">
        <is>
          <t>005389</t>
        </is>
      </c>
      <c r="D329" s="292" t="inlineStr">
        <is>
          <t>현대차3우B</t>
        </is>
      </c>
      <c r="E329" s="293" t="n">
        <v>32500</v>
      </c>
      <c r="F329" s="347" t="n"/>
      <c r="G329" s="293" t="n">
        <v>32500</v>
      </c>
      <c r="H329" s="292" t="inlineStr">
        <is>
          <t>예측</t>
        </is>
      </c>
    </row>
    <row r="330">
      <c r="A330" s="349" t="n">
        <v>46353</v>
      </c>
      <c r="B330" s="292" t="n">
        <v>11</v>
      </c>
      <c r="C330" s="292" t="inlineStr">
        <is>
          <t>472170</t>
        </is>
      </c>
      <c r="D330" s="292" t="inlineStr">
        <is>
          <t>TIGER 미국테크TOP10채권혼합</t>
        </is>
      </c>
      <c r="E330" s="293" t="n">
        <v>100521</v>
      </c>
      <c r="F330" s="347" t="n"/>
      <c r="G330" s="293" t="n">
        <v>100521</v>
      </c>
      <c r="H330" s="292" t="inlineStr">
        <is>
          <t>예측</t>
        </is>
      </c>
    </row>
    <row r="331">
      <c r="A331" s="349" t="n">
        <v>46353</v>
      </c>
      <c r="B331" s="292" t="n">
        <v>11</v>
      </c>
      <c r="C331" s="292" t="inlineStr">
        <is>
          <t>498410</t>
        </is>
      </c>
      <c r="D331" s="292" t="inlineStr">
        <is>
          <t>KODEX금융고배당TOP10타겟위클리커버드콜</t>
        </is>
      </c>
      <c r="E331" s="293" t="n">
        <v>366058</v>
      </c>
      <c r="F331" s="347" t="n"/>
      <c r="G331" s="293" t="n">
        <v>366058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329200</t>
        </is>
      </c>
      <c r="D332" s="292" t="inlineStr">
        <is>
          <t>TIGER리츠부동산인프라</t>
        </is>
      </c>
      <c r="E332" s="293" t="n">
        <v>107500</v>
      </c>
      <c r="F332" s="347" t="n"/>
      <c r="G332" s="293" t="n">
        <v>107500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433330</t>
        </is>
      </c>
      <c r="D333" s="292" t="inlineStr">
        <is>
          <t>SOL 미국 S&amp;P500</t>
        </is>
      </c>
      <c r="E333" s="293" t="n">
        <v>23730</v>
      </c>
      <c r="F333" s="347" t="n"/>
      <c r="G333" s="293" t="n">
        <v>23730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446720</t>
        </is>
      </c>
      <c r="D334" s="292" t="inlineStr">
        <is>
          <t>SOL 미국배당다우존스</t>
        </is>
      </c>
      <c r="E334" s="293" t="n">
        <v>53865</v>
      </c>
      <c r="F334" s="347" t="n"/>
      <c r="G334" s="293" t="n">
        <v>53865</v>
      </c>
      <c r="H334" s="292" t="inlineStr">
        <is>
          <t>예측</t>
        </is>
      </c>
    </row>
    <row r="335">
      <c r="A335" s="349" t="n">
        <v>46354</v>
      </c>
      <c r="B335" s="292" t="n">
        <v>11</v>
      </c>
      <c r="C335" s="292" t="inlineStr">
        <is>
          <t>458760</t>
        </is>
      </c>
      <c r="D335" s="292" t="inlineStr">
        <is>
          <t>TIGER 미배당다우커버드콜2호</t>
        </is>
      </c>
      <c r="E335" s="293" t="n">
        <v>1435506</v>
      </c>
      <c r="F335" s="347" t="n"/>
      <c r="G335" s="293" t="n">
        <v>1435506</v>
      </c>
      <c r="H335" s="292" t="inlineStr">
        <is>
          <t>예측</t>
        </is>
      </c>
    </row>
    <row r="336">
      <c r="A336" s="349" t="n">
        <v>46354</v>
      </c>
      <c r="B336" s="292" t="n">
        <v>11</v>
      </c>
      <c r="C336" s="292" t="inlineStr">
        <is>
          <t>468380</t>
        </is>
      </c>
      <c r="D336" s="292" t="inlineStr">
        <is>
          <t>KODEX iShares미국하이일드액티브</t>
        </is>
      </c>
      <c r="E336" s="293" t="n">
        <v>124000</v>
      </c>
      <c r="F336" s="347" t="n"/>
      <c r="G336" s="293" t="n">
        <v>124000</v>
      </c>
      <c r="H336" s="292" t="inlineStr">
        <is>
          <t>예측</t>
        </is>
      </c>
    </row>
    <row r="337">
      <c r="A337" s="349" t="n">
        <v>46354</v>
      </c>
      <c r="B337" s="292" t="n">
        <v>11</v>
      </c>
      <c r="C337" s="292" t="inlineStr">
        <is>
          <t>473330</t>
        </is>
      </c>
      <c r="D337" s="292" t="inlineStr">
        <is>
          <t>SOL 미국 30년국채커버드콜(합성)</t>
        </is>
      </c>
      <c r="E337" s="293" t="n">
        <v>108000</v>
      </c>
      <c r="F337" s="347" t="n"/>
      <c r="G337" s="293" t="n">
        <v>108000</v>
      </c>
      <c r="H337" s="292" t="inlineStr">
        <is>
          <t>예측</t>
        </is>
      </c>
    </row>
    <row r="338">
      <c r="A338" s="349" t="n">
        <v>46354</v>
      </c>
      <c r="B338" s="292" t="n">
        <v>11</v>
      </c>
      <c r="C338" s="292" t="inlineStr">
        <is>
          <t>475380</t>
        </is>
      </c>
      <c r="D338" s="292" t="inlineStr">
        <is>
          <t>RISE 글로벌리얼티인컴</t>
        </is>
      </c>
      <c r="E338" s="293" t="n">
        <v>3737</v>
      </c>
      <c r="F338" s="347" t="n"/>
      <c r="G338" s="293" t="n">
        <v>3737</v>
      </c>
      <c r="H338" s="292" t="inlineStr">
        <is>
          <t>예측</t>
        </is>
      </c>
    </row>
    <row r="339">
      <c r="A339" s="349" t="n">
        <v>46354</v>
      </c>
      <c r="B339" s="292" t="n">
        <v>11</v>
      </c>
      <c r="C339" s="292" t="inlineStr">
        <is>
          <t>476550</t>
        </is>
      </c>
      <c r="D339" s="292" t="inlineStr">
        <is>
          <t>TIGER 미국30년국채커버드콜액티브(H)</t>
        </is>
      </c>
      <c r="E339" s="293" t="n">
        <v>37066</v>
      </c>
      <c r="F339" s="347" t="n"/>
      <c r="G339" s="293" t="n">
        <v>37066</v>
      </c>
      <c r="H339" s="292" t="inlineStr">
        <is>
          <t>예측</t>
        </is>
      </c>
    </row>
    <row r="340">
      <c r="A340" s="349" t="n">
        <v>46354</v>
      </c>
      <c r="B340" s="292" t="n">
        <v>11</v>
      </c>
      <c r="C340" s="292" t="inlineStr">
        <is>
          <t>476690</t>
        </is>
      </c>
      <c r="D340" s="292" t="inlineStr">
        <is>
          <t>TIGER 글로벌비만치료제 TOP2 Plus</t>
        </is>
      </c>
      <c r="E340" s="293" t="n">
        <v>1200</v>
      </c>
      <c r="F340" s="347" t="n"/>
      <c r="G340" s="293" t="n">
        <v>1200</v>
      </c>
      <c r="H340" s="292" t="inlineStr">
        <is>
          <t>예측</t>
        </is>
      </c>
    </row>
    <row r="341">
      <c r="A341" s="349" t="n">
        <v>46354</v>
      </c>
      <c r="B341" s="292" t="n">
        <v>11</v>
      </c>
      <c r="C341" s="292" t="inlineStr">
        <is>
          <t>482730</t>
        </is>
      </c>
      <c r="D341" s="292" t="inlineStr">
        <is>
          <t>미국S&amp;P500타겟데일리커버드콜</t>
        </is>
      </c>
      <c r="E341" s="293" t="n">
        <v>40800</v>
      </c>
      <c r="F341" s="347" t="n"/>
      <c r="G341" s="293" t="n">
        <v>40800</v>
      </c>
      <c r="H341" s="292" t="inlineStr">
        <is>
          <t>예측</t>
        </is>
      </c>
    </row>
    <row r="342">
      <c r="A342" s="349" t="n">
        <v>46354</v>
      </c>
      <c r="B342" s="292" t="n">
        <v>11</v>
      </c>
      <c r="C342" s="292" t="inlineStr">
        <is>
          <t>483280</t>
        </is>
      </c>
      <c r="D342" s="292" t="inlineStr">
        <is>
          <t>KODEX 미국AI테크TOP10타겟커버드콜</t>
        </is>
      </c>
      <c r="E342" s="293" t="n">
        <v>329448</v>
      </c>
      <c r="F342" s="347" t="n"/>
      <c r="G342" s="293" t="n">
        <v>329448</v>
      </c>
      <c r="H342" s="292" t="inlineStr">
        <is>
          <t>예측</t>
        </is>
      </c>
    </row>
    <row r="343">
      <c r="A343" s="349" t="n">
        <v>46356</v>
      </c>
      <c r="B343" s="292" t="n">
        <v>11</v>
      </c>
      <c r="C343" s="292" t="inlineStr">
        <is>
          <t>0219E0</t>
        </is>
      </c>
      <c r="D343" s="292" t="inlineStr">
        <is>
          <t>KODEX 200커버드콜액티브</t>
        </is>
      </c>
      <c r="E343" s="293" t="n">
        <v>207240</v>
      </c>
      <c r="F343" s="347" t="n"/>
      <c r="G343" s="293" t="n">
        <v>207240</v>
      </c>
      <c r="H343" s="292" t="inlineStr">
        <is>
          <t>예측</t>
        </is>
      </c>
    </row>
    <row r="344">
      <c r="A344" s="349" t="n">
        <v>46358</v>
      </c>
      <c r="B344" s="292" t="n">
        <v>12</v>
      </c>
      <c r="C344" s="292" t="inlineStr">
        <is>
          <t>NKE</t>
        </is>
      </c>
      <c r="D344" s="292" t="inlineStr">
        <is>
          <t>나이키</t>
        </is>
      </c>
      <c r="E344" s="293" t="n"/>
      <c r="F344" s="347" t="n">
        <v>4.05</v>
      </c>
      <c r="G344" s="293" t="n">
        <v>5418.9</v>
      </c>
      <c r="H344" s="292" t="inlineStr">
        <is>
          <t>예측</t>
        </is>
      </c>
    </row>
    <row r="345">
      <c r="A345" s="349" t="n">
        <v>46366</v>
      </c>
      <c r="B345" s="292" t="n">
        <v>12</v>
      </c>
      <c r="C345" s="292" t="inlineStr">
        <is>
          <t>SCHD</t>
        </is>
      </c>
      <c r="D345" s="292" t="inlineStr">
        <is>
          <t>SCHD</t>
        </is>
      </c>
      <c r="E345" s="293" t="n"/>
      <c r="F345" s="347" t="n">
        <v>6.516</v>
      </c>
      <c r="G345" s="293" t="n">
        <v>8718.407999999999</v>
      </c>
      <c r="H345" s="292" t="inlineStr">
        <is>
          <t>예측</t>
        </is>
      </c>
    </row>
    <row r="346">
      <c r="A346" s="349" t="n">
        <v>46368</v>
      </c>
      <c r="B346" s="292" t="n">
        <v>12</v>
      </c>
      <c r="C346" s="292" t="inlineStr">
        <is>
          <t>0008S0</t>
        </is>
      </c>
      <c r="D346" s="292" t="inlineStr">
        <is>
          <t>TIGER 미국배당다우존스타겟데일리커버드콜</t>
        </is>
      </c>
      <c r="E346" s="293" t="n">
        <v>273000</v>
      </c>
      <c r="F346" s="347" t="n"/>
      <c r="G346" s="293" t="n">
        <v>273000</v>
      </c>
      <c r="H346" s="292" t="inlineStr">
        <is>
          <t>예측</t>
        </is>
      </c>
    </row>
    <row r="347">
      <c r="A347" s="349" t="n">
        <v>46368</v>
      </c>
      <c r="B347" s="292" t="n">
        <v>12</v>
      </c>
      <c r="C347" s="292" t="inlineStr">
        <is>
          <t>474220</t>
        </is>
      </c>
      <c r="D347" s="292" t="inlineStr">
        <is>
          <t>TIGER미국테크TOP10커버드콜</t>
        </is>
      </c>
      <c r="E347" s="293" t="n">
        <v>587775</v>
      </c>
      <c r="F347" s="347" t="n"/>
      <c r="G347" s="293" t="n">
        <v>587775</v>
      </c>
      <c r="H347" s="292" t="inlineStr">
        <is>
          <t>예측</t>
        </is>
      </c>
    </row>
    <row r="348">
      <c r="A348" s="349" t="n">
        <v>46368</v>
      </c>
      <c r="B348" s="292" t="n">
        <v>12</v>
      </c>
      <c r="C348" s="292" t="inlineStr">
        <is>
          <t>481060</t>
        </is>
      </c>
      <c r="D348" s="292" t="inlineStr">
        <is>
          <t>KODEX 미국30년국채타겟커버드콜(H)</t>
        </is>
      </c>
      <c r="E348" s="293" t="n">
        <v>278460</v>
      </c>
      <c r="F348" s="347" t="n"/>
      <c r="G348" s="293" t="n">
        <v>278460</v>
      </c>
      <c r="H348" s="292" t="inlineStr">
        <is>
          <t>예측</t>
        </is>
      </c>
    </row>
    <row r="349">
      <c r="A349" s="349" t="n">
        <v>46368</v>
      </c>
      <c r="B349" s="292" t="n">
        <v>12</v>
      </c>
      <c r="C349" s="292" t="inlineStr">
        <is>
          <t>490490</t>
        </is>
      </c>
      <c r="D349" s="292" t="inlineStr">
        <is>
          <t>SOL미국배당미국채혼합50</t>
        </is>
      </c>
      <c r="E349" s="293" t="n">
        <v>114630</v>
      </c>
      <c r="F349" s="347" t="n"/>
      <c r="G349" s="293" t="n">
        <v>114630</v>
      </c>
      <c r="H349" s="292" t="inlineStr">
        <is>
          <t>예측</t>
        </is>
      </c>
    </row>
    <row r="350">
      <c r="A350" s="349" t="n">
        <v>46368</v>
      </c>
      <c r="B350" s="292" t="n">
        <v>12</v>
      </c>
      <c r="C350" s="292" t="inlineStr">
        <is>
          <t>498400</t>
        </is>
      </c>
      <c r="D350" s="292" t="inlineStr">
        <is>
          <t>KODEX 200타켓위클리커버드콜</t>
        </is>
      </c>
      <c r="E350" s="293" t="n">
        <v>119756</v>
      </c>
      <c r="F350" s="347" t="n"/>
      <c r="G350" s="293" t="n">
        <v>119756</v>
      </c>
      <c r="H350" s="292" t="inlineStr">
        <is>
          <t>예측</t>
        </is>
      </c>
    </row>
    <row r="351">
      <c r="A351" s="349" t="n">
        <v>46372</v>
      </c>
      <c r="B351" s="292" t="n">
        <v>12</v>
      </c>
      <c r="C351" s="292" t="inlineStr">
        <is>
          <t>O</t>
        </is>
      </c>
      <c r="D351" s="292" t="inlineStr">
        <is>
          <t>리얼티인컴</t>
        </is>
      </c>
      <c r="E351" s="293" t="n"/>
      <c r="F351" s="347" t="n">
        <v>14.151</v>
      </c>
      <c r="G351" s="293" t="n">
        <v>18934.038</v>
      </c>
      <c r="H351" s="292" t="inlineStr">
        <is>
          <t>예측</t>
        </is>
      </c>
    </row>
    <row r="352">
      <c r="A352" s="349" t="n">
        <v>46380</v>
      </c>
      <c r="B352" s="292" t="n">
        <v>12</v>
      </c>
      <c r="C352" s="292" t="inlineStr">
        <is>
          <t>QLD</t>
        </is>
      </c>
      <c r="D352" s="292" t="inlineStr">
        <is>
          <t>QLD</t>
        </is>
      </c>
      <c r="E352" s="293" t="n"/>
      <c r="F352" s="347" t="n">
        <v>3.745</v>
      </c>
      <c r="G352" s="293" t="n">
        <v>5010.81</v>
      </c>
      <c r="H352" s="292" t="inlineStr">
        <is>
          <t>예측</t>
        </is>
      </c>
    </row>
    <row r="353">
      <c r="A353" s="349" t="n">
        <v>46383</v>
      </c>
      <c r="B353" s="292" t="n">
        <v>12</v>
      </c>
      <c r="C353" s="292" t="inlineStr">
        <is>
          <t>472170</t>
        </is>
      </c>
      <c r="D353" s="292" t="inlineStr">
        <is>
          <t>TIGER 미국테크TOP10채권혼합</t>
        </is>
      </c>
      <c r="E353" s="293" t="n">
        <v>473040</v>
      </c>
      <c r="F353" s="347" t="n"/>
      <c r="G353" s="293" t="n">
        <v>473040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005930</t>
        </is>
      </c>
      <c r="D354" s="292" t="inlineStr">
        <is>
          <t>삼성전자</t>
        </is>
      </c>
      <c r="E354" s="293" t="n">
        <v>45986</v>
      </c>
      <c r="F354" s="347" t="n"/>
      <c r="G354" s="293" t="n">
        <v>45986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329200</t>
        </is>
      </c>
      <c r="D355" s="292" t="inlineStr">
        <is>
          <t>TIGER리츠부동산인프라</t>
        </is>
      </c>
      <c r="E355" s="293" t="n">
        <v>120000</v>
      </c>
      <c r="F355" s="347" t="n"/>
      <c r="G355" s="293" t="n">
        <v>120000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433330</t>
        </is>
      </c>
      <c r="D356" s="292" t="inlineStr">
        <is>
          <t>SOL 미국 S&amp;P500</t>
        </is>
      </c>
      <c r="E356" s="293" t="n">
        <v>24408</v>
      </c>
      <c r="F356" s="347" t="n"/>
      <c r="G356" s="293" t="n">
        <v>24408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446720</t>
        </is>
      </c>
      <c r="D357" s="292" t="inlineStr">
        <is>
          <t>SOL 미국배당다우존스</t>
        </is>
      </c>
      <c r="E357" s="293" t="n">
        <v>47880</v>
      </c>
      <c r="F357" s="347" t="n"/>
      <c r="G357" s="293" t="n">
        <v>47880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458760</t>
        </is>
      </c>
      <c r="D358" s="292" t="inlineStr">
        <is>
          <t>TIGER 미배당다우커버드콜2호</t>
        </is>
      </c>
      <c r="E358" s="293" t="n">
        <v>1412476</v>
      </c>
      <c r="F358" s="347" t="n"/>
      <c r="G358" s="293" t="n">
        <v>1412476</v>
      </c>
      <c r="H358" s="292" t="inlineStr">
        <is>
          <t>예측</t>
        </is>
      </c>
    </row>
    <row r="359">
      <c r="A359" s="349" t="n">
        <v>46384</v>
      </c>
      <c r="B359" s="292" t="n">
        <v>12</v>
      </c>
      <c r="C359" s="292" t="inlineStr">
        <is>
          <t>468380</t>
        </is>
      </c>
      <c r="D359" s="292" t="inlineStr">
        <is>
          <t>KODEX iShares미국하이일드액티브</t>
        </is>
      </c>
      <c r="E359" s="293" t="n">
        <v>133000</v>
      </c>
      <c r="F359" s="347" t="n"/>
      <c r="G359" s="293" t="n">
        <v>133000</v>
      </c>
      <c r="H359" s="292" t="inlineStr">
        <is>
          <t>예측</t>
        </is>
      </c>
    </row>
    <row r="360">
      <c r="A360" s="349" t="n">
        <v>46384</v>
      </c>
      <c r="B360" s="292" t="n">
        <v>12</v>
      </c>
      <c r="C360" s="292" t="inlineStr">
        <is>
          <t>473330</t>
        </is>
      </c>
      <c r="D360" s="292" t="inlineStr">
        <is>
          <t>SOL 미국 30년국채커버드콜(합성)</t>
        </is>
      </c>
      <c r="E360" s="293" t="n">
        <v>129600</v>
      </c>
      <c r="F360" s="347" t="n"/>
      <c r="G360" s="293" t="n">
        <v>129600</v>
      </c>
      <c r="H360" s="292" t="inlineStr">
        <is>
          <t>예측</t>
        </is>
      </c>
    </row>
    <row r="361">
      <c r="A361" s="349" t="n">
        <v>46384</v>
      </c>
      <c r="B361" s="292" t="n">
        <v>12</v>
      </c>
      <c r="C361" s="292" t="inlineStr">
        <is>
          <t>475380</t>
        </is>
      </c>
      <c r="D361" s="292" t="inlineStr">
        <is>
          <t>RISE 글로벌리얼티인컴</t>
        </is>
      </c>
      <c r="E361" s="293" t="n">
        <v>3737</v>
      </c>
      <c r="F361" s="347" t="n"/>
      <c r="G361" s="293" t="n">
        <v>3737</v>
      </c>
      <c r="H361" s="292" t="inlineStr">
        <is>
          <t>예측</t>
        </is>
      </c>
    </row>
    <row r="362">
      <c r="A362" s="349" t="n">
        <v>46384</v>
      </c>
      <c r="B362" s="292" t="n">
        <v>12</v>
      </c>
      <c r="C362" s="292" t="inlineStr">
        <is>
          <t>476550</t>
        </is>
      </c>
      <c r="D362" s="292" t="inlineStr">
        <is>
          <t>TIGER 미국30년국채커버드콜액티브(H)</t>
        </is>
      </c>
      <c r="E362" s="293" t="n">
        <v>34911</v>
      </c>
      <c r="F362" s="347" t="n"/>
      <c r="G362" s="293" t="n">
        <v>34911</v>
      </c>
      <c r="H362" s="292" t="inlineStr">
        <is>
          <t>예측</t>
        </is>
      </c>
    </row>
    <row r="363">
      <c r="A363" s="349" t="n">
        <v>46384</v>
      </c>
      <c r="B363" s="292" t="n">
        <v>12</v>
      </c>
      <c r="C363" s="292" t="inlineStr">
        <is>
          <t>476690</t>
        </is>
      </c>
      <c r="D363" s="292" t="inlineStr">
        <is>
          <t>TIGER 글로벌비만치료제 TOP2 Plus</t>
        </is>
      </c>
      <c r="E363" s="293" t="n">
        <v>1350</v>
      </c>
      <c r="F363" s="347" t="n"/>
      <c r="G363" s="293" t="n">
        <v>1350</v>
      </c>
      <c r="H363" s="292" t="inlineStr">
        <is>
          <t>예측</t>
        </is>
      </c>
    </row>
    <row r="364">
      <c r="A364" s="349" t="n">
        <v>46384</v>
      </c>
      <c r="B364" s="292" t="n">
        <v>12</v>
      </c>
      <c r="C364" s="292" t="inlineStr">
        <is>
          <t>482730</t>
        </is>
      </c>
      <c r="D364" s="292" t="inlineStr">
        <is>
          <t>미국S&amp;P500타겟데일리커버드콜</t>
        </is>
      </c>
      <c r="E364" s="293" t="n">
        <v>41650</v>
      </c>
      <c r="F364" s="347" t="n"/>
      <c r="G364" s="293" t="n">
        <v>41650</v>
      </c>
      <c r="H364" s="292" t="inlineStr">
        <is>
          <t>예측</t>
        </is>
      </c>
    </row>
    <row r="365">
      <c r="A365" s="349" t="n">
        <v>46384</v>
      </c>
      <c r="B365" s="292" t="n">
        <v>12</v>
      </c>
      <c r="C365" s="292" t="inlineStr">
        <is>
          <t>483280</t>
        </is>
      </c>
      <c r="D365" s="292" t="inlineStr">
        <is>
          <t>KODEX 미국AI테크TOP10타겟커버드콜</t>
        </is>
      </c>
      <c r="E365" s="293" t="n">
        <v>342804</v>
      </c>
      <c r="F365" s="347" t="n"/>
      <c r="G365" s="293" t="n">
        <v>342804</v>
      </c>
      <c r="H365" s="292" t="inlineStr">
        <is>
          <t>예측</t>
        </is>
      </c>
    </row>
    <row r="366">
      <c r="A366" s="349" t="n">
        <v>46384</v>
      </c>
      <c r="B366" s="292" t="n">
        <v>12</v>
      </c>
      <c r="C366" s="292" t="inlineStr">
        <is>
          <t>AMT</t>
        </is>
      </c>
      <c r="D366" s="292" t="inlineStr">
        <is>
          <t>아메리칸타워</t>
        </is>
      </c>
      <c r="E366" s="293" t="n"/>
      <c r="F366" s="347" t="n">
        <v>8.300000000000001</v>
      </c>
      <c r="G366" s="293" t="n">
        <v>11105.4</v>
      </c>
      <c r="H366" s="292" t="inlineStr">
        <is>
          <t>예측</t>
        </is>
      </c>
    </row>
    <row r="367">
      <c r="A367" s="349" t="n">
        <v>46385</v>
      </c>
      <c r="B367" s="292" t="n">
        <v>12</v>
      </c>
      <c r="C367" s="292" t="inlineStr">
        <is>
          <t>381170</t>
        </is>
      </c>
      <c r="D367" s="292" t="inlineStr">
        <is>
          <t>TIGER 미국테크TOP10 INDXX</t>
        </is>
      </c>
      <c r="E367" s="293" t="n">
        <v>24871</v>
      </c>
      <c r="F367" s="347" t="n"/>
      <c r="G367" s="293" t="n">
        <v>24871</v>
      </c>
      <c r="H367" s="292" t="inlineStr">
        <is>
          <t>예측</t>
        </is>
      </c>
    </row>
    <row r="368">
      <c r="A368" s="349" t="n">
        <v>46385</v>
      </c>
      <c r="B368" s="292" t="n">
        <v>12</v>
      </c>
      <c r="C368" s="292" t="inlineStr">
        <is>
          <t>438100</t>
        </is>
      </c>
      <c r="D368" s="292" t="inlineStr">
        <is>
          <t>ACE미국나스닥100미국채혼합50액티브</t>
        </is>
      </c>
      <c r="E368" s="293" t="n">
        <v>228672</v>
      </c>
      <c r="F368" s="347" t="n"/>
      <c r="G368" s="293" t="n">
        <v>228672</v>
      </c>
      <c r="H368" s="292" t="inlineStr">
        <is>
          <t>예측</t>
        </is>
      </c>
    </row>
    <row r="369">
      <c r="A369" s="349" t="n">
        <v>46385</v>
      </c>
      <c r="B369" s="292" t="n">
        <v>12</v>
      </c>
      <c r="C369" s="292" t="inlineStr">
        <is>
          <t>457480</t>
        </is>
      </c>
      <c r="D369" s="292" t="inlineStr">
        <is>
          <t>ACE테슬라밸류체인액티브</t>
        </is>
      </c>
      <c r="E369" s="293" t="n">
        <v>184325</v>
      </c>
      <c r="F369" s="347" t="n"/>
      <c r="G369" s="293" t="n">
        <v>184325</v>
      </c>
      <c r="H369" s="292" t="inlineStr">
        <is>
          <t>예측</t>
        </is>
      </c>
    </row>
    <row r="370">
      <c r="A370" s="349" t="n">
        <v>46385</v>
      </c>
      <c r="B370" s="292" t="n">
        <v>12</v>
      </c>
      <c r="C370" s="292" t="inlineStr">
        <is>
          <t>498410</t>
        </is>
      </c>
      <c r="D370" s="292" t="inlineStr">
        <is>
          <t>KODEX금융고배당TOP10타겟위클리커버드콜</t>
        </is>
      </c>
      <c r="E370" s="293" t="n">
        <v>361304</v>
      </c>
      <c r="F370" s="347" t="n"/>
      <c r="G370" s="293" t="n">
        <v>361304</v>
      </c>
      <c r="H370" s="292" t="inlineStr">
        <is>
          <t>예측</t>
        </is>
      </c>
    </row>
    <row r="371">
      <c r="A371" s="349" t="n">
        <v>46387</v>
      </c>
      <c r="B371" s="292" t="n">
        <v>12</v>
      </c>
      <c r="C371" s="292" t="inlineStr">
        <is>
          <t>0219E0</t>
        </is>
      </c>
      <c r="D371" s="292" t="inlineStr">
        <is>
          <t>KODEX 200커버드콜액티브</t>
        </is>
      </c>
      <c r="E371" s="293" t="n">
        <v>207240</v>
      </c>
      <c r="F371" s="347" t="n"/>
      <c r="G371" s="293" t="n">
        <v>207240</v>
      </c>
      <c r="H371" s="292" t="inlineStr">
        <is>
          <t>예측</t>
        </is>
      </c>
    </row>
  </sheetData>
  <autoFilter ref="A43:H371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2026-10-08T01:03:26Z</dcterms:modified>
  <cp:lastModifiedBy>Hyoyol Park</cp:lastModifiedBy>
</cp:coreProperties>
</file>