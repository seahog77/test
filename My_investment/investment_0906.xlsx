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￦1,354</t>
        </is>
      </c>
      <c r="J5" s="73" t="n">
        <v>1354.18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10340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10520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9355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11385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13990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10415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7075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27210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14920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10345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13000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21535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11470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31280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25840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11700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10345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14920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17690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7482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113250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14805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6445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12190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172700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9990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10000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9625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270250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270250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20420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352.8399963378906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55.13999938964844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43.90999984741211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329.3999938964844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20200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156000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95.22000122070312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95.22000122070312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168800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8280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149.2400054931641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167.3500061035156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227.2100067138672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32.84999847412109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508.9599914550781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162.9799957275391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38.31000137329102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186.9700012207031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69.69999694824219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10.34000015258789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35.84000015258789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456.9400024414062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190.0200042724609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138.1799926757812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137.7899932861328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5.989999771118164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95.43000030517578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7.760000228881836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14340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37.11000061035156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15130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181935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31265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21535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204.3800048828125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161.3500061035156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106.8000030517578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3" t="n">
        <v>12</v>
      </c>
      <c r="B32" s="283">
        <f>IFERROR(INDEX('계좌현황'!A:A,INDEX($L$21:$L$97,MATCH(LARGE($N$21:$N$97,12),$N$21:$N$97,0))),"")</f>
        <v/>
      </c>
      <c r="C32" s="283">
        <f>IFERROR(INDEX('계좌현황'!C:C,INDEX($L$21:$L$97,MATCH(LARGE($N$21:$N$97,12),$N$21:$N$97,0))),"")</f>
        <v/>
      </c>
      <c r="D32" s="283">
        <f>IFERROR(INDEX('계좌현황'!D:D,INDEX($L$21:$L$97,MATCH(LARGE($N$21:$N$97,12),$N$21:$N$97,0))),"")</f>
        <v/>
      </c>
      <c r="E32" s="283">
        <f>IFERROR(INDEX('계좌현황'!E:E,INDEX($L$21:$L$97,MATCH(LARGE($N$21:$N$97,12),$N$21:$N$97,0))),"")</f>
        <v/>
      </c>
      <c r="F32" s="313">
        <f>IFERROR(INDEX('계좌현황'!F:F,INDEX($L$21:$L$97,MATCH(LARGE($N$21:$N$97,12),$N$21:$N$97,0))),"")</f>
        <v/>
      </c>
      <c r="G32" s="314">
        <f>IFERROR(INDEX('계좌현황'!K:K,INDEX($L$21:$L$97,MATCH(LARGE($N$21:$N$97,12),$N$21:$N$97,0))),0)</f>
        <v/>
      </c>
      <c r="H32" s="315">
        <f>IF($B$3=0,0,G32/$B$3)</f>
        <v/>
      </c>
      <c r="I32" s="315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5" t="n">
        <v>22</v>
      </c>
      <c r="B42" s="295">
        <f>IFERROR(INDEX('계좌현황'!A:A,INDEX($L$21:$L$97,MATCH(LARGE($N$21:$N$97,22),$N$21:$N$97,0))),"")</f>
        <v/>
      </c>
      <c r="C42" s="295">
        <f>IFERROR(INDEX('계좌현황'!C:C,INDEX($L$21:$L$97,MATCH(LARGE($N$21:$N$97,22),$N$21:$N$97,0))),"")</f>
        <v/>
      </c>
      <c r="D42" s="295">
        <f>IFERROR(INDEX('계좌현황'!D:D,INDEX($L$21:$L$97,MATCH(LARGE($N$21:$N$97,22),$N$21:$N$97,0))),"")</f>
        <v/>
      </c>
      <c r="E42" s="295">
        <f>IFERROR(INDEX('계좌현황'!E:E,INDEX($L$21:$L$97,MATCH(LARGE($N$21:$N$97,22),$N$21:$N$97,0))),"")</f>
        <v/>
      </c>
      <c r="F42" s="322">
        <f>IFERROR(INDEX('계좌현황'!F:F,INDEX($L$21:$L$97,MATCH(LARGE($N$21:$N$97,22),$N$21:$N$97,0))),"")</f>
        <v/>
      </c>
      <c r="G42" s="323">
        <f>IFERROR(INDEX('계좌현황'!K:K,INDEX($L$21:$L$97,MATCH(LARGE($N$21:$N$97,22),$N$21:$N$97,0))),0)</f>
        <v/>
      </c>
      <c r="H42" s="324">
        <f>IF($B$3=0,0,G42/$B$3)</f>
        <v/>
      </c>
      <c r="I42" s="324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1,354원/$  | 연간 합계 52,379,235원 · 월평균 4,364,936원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4095110.74</v>
      </c>
      <c r="C7" s="284" t="n">
        <v>0</v>
      </c>
      <c r="D7" s="284" t="n">
        <v>4095110.74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4217270.4</v>
      </c>
      <c r="C8" s="284" t="n">
        <v>0</v>
      </c>
      <c r="D8" s="284" t="n">
        <v>4217270.4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4598179.328000001</v>
      </c>
      <c r="C9" s="287" t="n">
        <v>35408</v>
      </c>
      <c r="D9" s="287" t="n">
        <v>4633587.328000001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4210503.802</v>
      </c>
      <c r="C10" s="287" t="n">
        <v>5104</v>
      </c>
      <c r="D10" s="287" t="n">
        <v>4215607.802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4290518.022000001</v>
      </c>
      <c r="C11" s="284" t="n">
        <v>0</v>
      </c>
      <c r="D11" s="284" t="n">
        <v>4290518.022000001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4331279.92</v>
      </c>
      <c r="C12" s="287" t="n">
        <v>35492</v>
      </c>
      <c r="D12" s="287" t="n">
        <v>4366771.92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4348490.502</v>
      </c>
      <c r="C13" s="284" t="n">
        <v>0</v>
      </c>
      <c r="D13" s="284" t="n">
        <v>4348490.502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4213253.512</v>
      </c>
      <c r="C14" s="284" t="n">
        <v>0</v>
      </c>
      <c r="D14" s="284" t="n">
        <v>4213253.512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1433186.83</v>
      </c>
      <c r="C15" s="287" t="n">
        <v>2865978.692</v>
      </c>
      <c r="D15" s="287" t="n">
        <v>4299165.522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4090236.216</v>
      </c>
      <c r="D16" s="293" t="n">
        <v>4090236.216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4374852.183999999</v>
      </c>
      <c r="D17" s="293" t="n">
        <v>4374852.183999999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5234370.748000001</v>
      </c>
      <c r="D18" s="293" t="n">
        <v>5234370.748000001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0.1069</v>
      </c>
      <c r="F24" s="308" t="n">
        <v>158779990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0.1029</v>
      </c>
      <c r="F25" s="308" t="n">
        <v>68781200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0.1653</v>
      </c>
      <c r="F26" s="308" t="n">
        <v>27062145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0.153</v>
      </c>
      <c r="F27" s="308" t="n">
        <v>26044200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0.1258</v>
      </c>
      <c r="F28" s="308" t="n">
        <v>28065000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0.1395</v>
      </c>
      <c r="F29" s="308" t="n">
        <v>21649500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0.1531</v>
      </c>
      <c r="F30" s="308" t="n">
        <v>12476620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0.0941</v>
      </c>
      <c r="F31" s="308" t="n">
        <v>20175000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0.0738</v>
      </c>
      <c r="F32" s="308" t="n">
        <v>20830000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0.0314</v>
      </c>
      <c r="F33" s="308" t="n">
        <v>40196920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0.1159</v>
      </c>
      <c r="F34" s="308" t="n">
        <v>10399680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0.1376</v>
      </c>
      <c r="F35" s="308" t="n">
        <v>7182720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0.0208</v>
      </c>
      <c r="F36" s="308" t="n">
        <v>27574290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0.0313</v>
      </c>
      <c r="F37" s="308" t="n">
        <v>17290000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0.106</v>
      </c>
      <c r="F38" s="308" t="n">
        <v>4874750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1354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19375.74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3168.36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1394.62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1678.96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2410.12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2464.28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19375.74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5524.32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5551.4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1294.424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2464.28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8351.472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25895.25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19447.502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1354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12118.3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19447.502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3290.22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1678.96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1394.62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2410.12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2464.28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19447.502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5524.32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5551.4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1354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1293.07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12118.3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11563.16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8221.487999999999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19447.502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1354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19447.502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3290.22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1678.96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11759.49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1394.62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2410.12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2464.28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5524.32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19447.502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5551.4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19088.692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1354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1498.878</v>
      </c>
      <c r="H266" s="283" t="inlineStr">
        <is>
          <t>실적</t>
        </is>
      </c>
    </row>
    <row r="267">
      <c r="A267" s="348" t="n">
        <v>46288</v>
      </c>
      <c r="B267" s="283" t="n">
        <v>9</v>
      </c>
      <c r="C267" s="283" t="inlineStr">
        <is>
          <t>QLD</t>
        </is>
      </c>
      <c r="D267" s="283" t="inlineStr">
        <is>
          <t>QLD</t>
        </is>
      </c>
      <c r="E267" s="284" t="n"/>
      <c r="F267" s="345" t="n">
        <v>3.78</v>
      </c>
      <c r="G267" s="284" t="n">
        <v>5118.12</v>
      </c>
      <c r="H267" s="283" t="inlineStr">
        <is>
          <t>실적</t>
        </is>
      </c>
    </row>
    <row r="268">
      <c r="A268" s="348" t="n">
        <v>46288</v>
      </c>
      <c r="B268" s="283" t="n">
        <v>9</v>
      </c>
      <c r="C268" s="283" t="inlineStr">
        <is>
          <t>SCHD</t>
        </is>
      </c>
      <c r="D268" s="283" t="inlineStr">
        <is>
          <t>SCHD</t>
        </is>
      </c>
      <c r="E268" s="284" t="n"/>
      <c r="F268" s="345" t="n">
        <v>6.408</v>
      </c>
      <c r="G268" s="284" t="n">
        <v>8676.432000000001</v>
      </c>
      <c r="H268" s="283" t="inlineStr">
        <is>
          <t>실적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11509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10967.4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1218.6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19232.216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3107.43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19160.454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1665.42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1367.54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2261.18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2355.96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5145.2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5483.7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8822.664000000001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19160.454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5070.73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11238.2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2026-09-30T06:17:18Z</dcterms:modified>
  <cp:lastModifiedBy>Hyoyol Park</cp:lastModifiedBy>
</cp:coreProperties>
</file>