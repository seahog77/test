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'월별배당'!$A$43:$H$366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￦1,383</t>
        </is>
      </c>
      <c r="J5" s="73" t="n">
        <v>1382.87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10900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10920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9755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11940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14005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10880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7325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4062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26900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15125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10900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13580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21870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11630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30925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26190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11875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10900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15125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18440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7955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121600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14540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6755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12945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172800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10305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10385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10090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259250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259250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20280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366.2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57.32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40.34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337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20200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166600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89.94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89.94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177000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8405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154.81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175.58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219.34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33.89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497.75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166.45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43.19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176.24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67.81999999999999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10.78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36.36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430.26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173.97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149.85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150.59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6.19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96.67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9.039999999999999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14990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39.65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15190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179875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31400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21870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211.57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163.27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106.79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2" t="n">
        <v>13</v>
      </c>
      <c r="B33" s="292">
        <f>IFERROR(INDEX('계좌현황'!A:A,INDEX($L$21:$L$97,MATCH(LARGE($N$21:$N$97,13),$N$21:$N$97,0))),"")</f>
        <v/>
      </c>
      <c r="C33" s="292">
        <f>IFERROR(INDEX('계좌현황'!C:C,INDEX($L$21:$L$97,MATCH(LARGE($N$21:$N$97,13),$N$21:$N$97,0))),"")</f>
        <v/>
      </c>
      <c r="D33" s="292">
        <f>IFERROR(INDEX('계좌현황'!D:D,INDEX($L$21:$L$97,MATCH(LARGE($N$21:$N$97,13),$N$21:$N$97,0))),"")</f>
        <v/>
      </c>
      <c r="E33" s="292">
        <f>IFERROR(INDEX('계좌현황'!E:E,INDEX($L$21:$L$97,MATCH(LARGE($N$21:$N$97,13),$N$21:$N$97,0))),"")</f>
        <v/>
      </c>
      <c r="F33" s="319">
        <f>IFERROR(INDEX('계좌현황'!F:F,INDEX($L$21:$L$97,MATCH(LARGE($N$21:$N$97,13),$N$21:$N$97,0))),"")</f>
        <v/>
      </c>
      <c r="G33" s="320">
        <f>IFERROR(INDEX('계좌현황'!K:K,INDEX($L$21:$L$97,MATCH(LARGE($N$21:$N$97,13),$N$21:$N$97,0))),0)</f>
        <v/>
      </c>
      <c r="H33" s="321">
        <f>IF($B$3=0,0,G33/$B$3)</f>
        <v/>
      </c>
      <c r="I33" s="321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3" t="n">
        <v>14</v>
      </c>
      <c r="B34" s="283">
        <f>IFERROR(INDEX('계좌현황'!A:A,INDEX($L$21:$L$97,MATCH(LARGE($N$21:$N$97,14),$N$21:$N$97,0))),"")</f>
        <v/>
      </c>
      <c r="C34" s="283">
        <f>IFERROR(INDEX('계좌현황'!C:C,INDEX($L$21:$L$97,MATCH(LARGE($N$21:$N$97,14),$N$21:$N$97,0))),"")</f>
        <v/>
      </c>
      <c r="D34" s="283">
        <f>IFERROR(INDEX('계좌현황'!D:D,INDEX($L$21:$L$97,MATCH(LARGE($N$21:$N$97,14),$N$21:$N$97,0))),"")</f>
        <v/>
      </c>
      <c r="E34" s="283">
        <f>IFERROR(INDEX('계좌현황'!E:E,INDEX($L$21:$L$97,MATCH(LARGE($N$21:$N$97,14),$N$21:$N$97,0))),"")</f>
        <v/>
      </c>
      <c r="F34" s="313">
        <f>IFERROR(INDEX('계좌현황'!F:F,INDEX($L$21:$L$97,MATCH(LARGE($N$21:$N$97,14),$N$21:$N$97,0))),"")</f>
        <v/>
      </c>
      <c r="G34" s="314">
        <f>IFERROR(INDEX('계좌현황'!K:K,INDEX($L$21:$L$97,MATCH(LARGE($N$21:$N$97,14),$N$21:$N$97,0))),0)</f>
        <v/>
      </c>
      <c r="H34" s="315">
        <f>IF($B$3=0,0,G34/$B$3)</f>
        <v/>
      </c>
      <c r="I34" s="315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307" t="n">
        <v>67</v>
      </c>
      <c r="B87" s="307">
        <f>IFERROR(INDEX('계좌현황'!A:A,INDEX($L$21:$L$97,MATCH(LARGE($N$21:$N$97,67),$N$21:$N$97,0))),"")</f>
        <v/>
      </c>
      <c r="C87" s="307">
        <f>IFERROR(INDEX('계좌현황'!C:C,INDEX($L$21:$L$97,MATCH(LARGE($N$21:$N$97,67),$N$21:$N$97,0))),"")</f>
        <v/>
      </c>
      <c r="D87" s="307">
        <f>IFERROR(INDEX('계좌현황'!D:D,INDEX($L$21:$L$97,MATCH(LARGE($N$21:$N$97,67),$N$21:$N$97,0))),"")</f>
        <v/>
      </c>
      <c r="E87" s="307">
        <f>IFERROR(INDEX('계좌현황'!E:E,INDEX($L$21:$L$97,MATCH(LARGE($N$21:$N$97,67),$N$21:$N$97,0))),"")</f>
        <v/>
      </c>
      <c r="F87" s="331">
        <f>IFERROR(INDEX('계좌현황'!F:F,INDEX($L$21:$L$97,MATCH(LARGE($N$21:$N$97,67),$N$21:$N$97,0))),"")</f>
        <v/>
      </c>
      <c r="G87" s="332">
        <f>IFERROR(INDEX('계좌현황'!K:K,INDEX($L$21:$L$97,MATCH(LARGE($N$21:$N$97,67),$N$21:$N$97,0))),0)</f>
        <v/>
      </c>
      <c r="H87" s="333">
        <f>IF($B$3=0,0,G87/$B$3)</f>
        <v/>
      </c>
      <c r="I87" s="333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1,383원/$  | 연간 합계 52,389,508원 · 월평균 4,365,792원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4095554.73</v>
      </c>
      <c r="C7" s="284" t="n">
        <v>0</v>
      </c>
      <c r="D7" s="284" t="n">
        <v>4095554.73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4218041.8</v>
      </c>
      <c r="C8" s="284" t="n">
        <v>0</v>
      </c>
      <c r="D8" s="284" t="n">
        <v>4218041.8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4599528.756</v>
      </c>
      <c r="C9" s="287" t="n">
        <v>35408</v>
      </c>
      <c r="D9" s="287" t="n">
        <v>4634936.756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4211208.879</v>
      </c>
      <c r="C10" s="287" t="n">
        <v>5104</v>
      </c>
      <c r="D10" s="287" t="n">
        <v>4216312.879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4291293.569</v>
      </c>
      <c r="C11" s="284" t="n">
        <v>0</v>
      </c>
      <c r="D11" s="284" t="n">
        <v>4291293.569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4332555.340000001</v>
      </c>
      <c r="C12" s="287" t="n">
        <v>35492</v>
      </c>
      <c r="D12" s="287" t="n">
        <v>4368047.340000001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4348936.029</v>
      </c>
      <c r="C13" s="284" t="n">
        <v>0</v>
      </c>
      <c r="D13" s="284" t="n">
        <v>4348936.029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4214280.924</v>
      </c>
      <c r="C14" s="284" t="n">
        <v>0</v>
      </c>
      <c r="D14" s="284" t="n">
        <v>4214280.924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1419572.281</v>
      </c>
      <c r="C15" s="287" t="n">
        <v>2879578.914</v>
      </c>
      <c r="D15" s="287" t="n">
        <v>4299151.195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4090909.132</v>
      </c>
      <c r="D16" s="293" t="n">
        <v>4090909.132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4375603.168</v>
      </c>
      <c r="D17" s="293" t="n">
        <v>4375603.168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5236440.2125</v>
      </c>
      <c r="D18" s="293" t="n">
        <v>5236440.2125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0.1015</v>
      </c>
      <c r="F24" s="308" t="n">
        <v>167347700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0.1016</v>
      </c>
      <c r="F25" s="308" t="n">
        <v>69726250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0.1576</v>
      </c>
      <c r="F26" s="308" t="n">
        <v>28381380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0.1507</v>
      </c>
      <c r="F27" s="308" t="n">
        <v>26433750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0.1207</v>
      </c>
      <c r="F28" s="308" t="n">
        <v>29265000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0.1347</v>
      </c>
      <c r="F29" s="308" t="n">
        <v>22414500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0.1541</v>
      </c>
      <c r="F30" s="308" t="n">
        <v>12391080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0.0934</v>
      </c>
      <c r="F31" s="308" t="n">
        <v>20310000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0.0707</v>
      </c>
      <c r="F32" s="308" t="n">
        <v>21760000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0.0302</v>
      </c>
      <c r="F33" s="308" t="n">
        <v>41725320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0.1142</v>
      </c>
      <c r="F34" s="308" t="n">
        <v>10556680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0.1294</v>
      </c>
      <c r="F35" s="308" t="n">
        <v>7636800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0.0208</v>
      </c>
      <c r="F36" s="308" t="n">
        <v>27603855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</v>
      </c>
      <c r="F37" s="308" t="n">
        <v>18061400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0.1046</v>
      </c>
      <c r="F38" s="308" t="n">
        <v>4942750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1383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19790.73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3236.22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1424.49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1714.92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2461.74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2517.06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19790.73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5642.64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5670.299999999999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1322.148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2517.06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8530.344000000001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26449.875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19864.029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1383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12377.85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19864.029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3360.69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1714.92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1424.49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2461.74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2517.06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19864.029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5642.64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5670.299999999999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1383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1320.765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12377.85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11810.82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8397.576000000001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19864.029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1383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19864.029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3360.69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1714.92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12011.355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1424.49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2461.74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2517.06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5642.64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19864.029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5670.299999999999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19497.534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1383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8" t="n">
        <v>46281</v>
      </c>
      <c r="B266" s="283" t="n">
        <v>9</v>
      </c>
      <c r="C266" s="283" t="inlineStr">
        <is>
          <t>TSM</t>
        </is>
      </c>
      <c r="D266" s="283" t="inlineStr">
        <is>
          <t>TSMC</t>
        </is>
      </c>
      <c r="E266" s="284" t="n"/>
      <c r="F266" s="345" t="n">
        <v>1.107</v>
      </c>
      <c r="G266" s="284" t="n">
        <v>1530.981</v>
      </c>
      <c r="H266" s="283" t="inlineStr">
        <is>
          <t>실적</t>
        </is>
      </c>
    </row>
    <row r="267">
      <c r="A267" s="349" t="n">
        <v>46289</v>
      </c>
      <c r="B267" s="292" t="n">
        <v>9</v>
      </c>
      <c r="C267" s="292" t="inlineStr">
        <is>
          <t>QLD</t>
        </is>
      </c>
      <c r="D267" s="292" t="inlineStr">
        <is>
          <t>QLD</t>
        </is>
      </c>
      <c r="E267" s="293" t="n"/>
      <c r="F267" s="347" t="n">
        <v>3.22</v>
      </c>
      <c r="G267" s="293" t="n">
        <v>4453.26</v>
      </c>
      <c r="H267" s="292" t="inlineStr">
        <is>
          <t>예측</t>
        </is>
      </c>
    </row>
    <row r="268">
      <c r="A268" s="349" t="n">
        <v>46289</v>
      </c>
      <c r="B268" s="292" t="n">
        <v>9</v>
      </c>
      <c r="C268" s="292" t="inlineStr">
        <is>
          <t>SCHD</t>
        </is>
      </c>
      <c r="D268" s="292" t="inlineStr">
        <is>
          <t>SCHD</t>
        </is>
      </c>
      <c r="E268" s="293" t="n"/>
      <c r="F268" s="347" t="n">
        <v>6.14</v>
      </c>
      <c r="G268" s="293" t="n">
        <v>8491.619999999999</v>
      </c>
      <c r="H268" s="292" t="inlineStr">
        <is>
          <t>예측</t>
        </is>
      </c>
    </row>
    <row r="269">
      <c r="A269" s="349" t="n">
        <v>46292</v>
      </c>
      <c r="B269" s="292" t="n">
        <v>9</v>
      </c>
      <c r="C269" s="292" t="inlineStr">
        <is>
          <t>005389</t>
        </is>
      </c>
      <c r="D269" s="292" t="inlineStr">
        <is>
          <t>현대차3우B</t>
        </is>
      </c>
      <c r="E269" s="293" t="n">
        <v>26000</v>
      </c>
      <c r="F269" s="347" t="n"/>
      <c r="G269" s="293" t="n">
        <v>26000</v>
      </c>
      <c r="H269" s="292" t="inlineStr">
        <is>
          <t>예측</t>
        </is>
      </c>
    </row>
    <row r="270">
      <c r="A270" s="349" t="n">
        <v>46292</v>
      </c>
      <c r="B270" s="292" t="n">
        <v>9</v>
      </c>
      <c r="C270" s="292" t="n">
        <v>105560</v>
      </c>
      <c r="D270" s="292" t="inlineStr">
        <is>
          <t>KB금융</t>
        </is>
      </c>
      <c r="E270" s="293" t="n">
        <v>9540</v>
      </c>
      <c r="F270" s="347" t="n"/>
      <c r="G270" s="293" t="n">
        <v>9540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005930</t>
        </is>
      </c>
      <c r="D271" s="292" t="inlineStr">
        <is>
          <t>삼성전자</t>
        </is>
      </c>
      <c r="E271" s="293" t="n">
        <v>36184</v>
      </c>
      <c r="F271" s="347" t="n"/>
      <c r="G271" s="293" t="n">
        <v>36184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329200</t>
        </is>
      </c>
      <c r="D272" s="292" t="inlineStr">
        <is>
          <t>TIGER리츠부동산인프라</t>
        </is>
      </c>
      <c r="E272" s="293" t="n">
        <v>195000</v>
      </c>
      <c r="F272" s="347" t="n"/>
      <c r="G272" s="293" t="n">
        <v>195000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433330</t>
        </is>
      </c>
      <c r="D273" s="292" t="inlineStr">
        <is>
          <t>SOL 미국 S&amp;P500</t>
        </is>
      </c>
      <c r="E273" s="293" t="n">
        <v>21018</v>
      </c>
      <c r="F273" s="347" t="n"/>
      <c r="G273" s="293" t="n">
        <v>21018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446720</t>
        </is>
      </c>
      <c r="D274" s="292" t="inlineStr">
        <is>
          <t>SOL 미국배당다우존스</t>
        </is>
      </c>
      <c r="E274" s="293" t="n">
        <v>43225</v>
      </c>
      <c r="F274" s="347" t="n"/>
      <c r="G274" s="293" t="n">
        <v>43225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458760</t>
        </is>
      </c>
      <c r="D275" s="292" t="inlineStr">
        <is>
          <t>TIGER 미배당다우커버드콜2호</t>
        </is>
      </c>
      <c r="E275" s="293" t="n">
        <v>1366417</v>
      </c>
      <c r="F275" s="347" t="n"/>
      <c r="G275" s="293" t="n">
        <v>1366417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468380</t>
        </is>
      </c>
      <c r="D276" s="292" t="inlineStr">
        <is>
          <t>KODEX iShares미국하이일드액티브</t>
        </is>
      </c>
      <c r="E276" s="293" t="n">
        <v>119000</v>
      </c>
      <c r="F276" s="347" t="n"/>
      <c r="G276" s="293" t="n">
        <v>119000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473330</t>
        </is>
      </c>
      <c r="D277" s="292" t="inlineStr">
        <is>
          <t>SOL 미국 30년국채커버드콜(합성)</t>
        </is>
      </c>
      <c r="E277" s="293" t="n">
        <v>89280</v>
      </c>
      <c r="F277" s="347" t="n"/>
      <c r="G277" s="293" t="n">
        <v>89280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475380</t>
        </is>
      </c>
      <c r="D278" s="292" t="inlineStr">
        <is>
          <t>RISE 글로벌리얼티인컴</t>
        </is>
      </c>
      <c r="E278" s="293" t="n">
        <v>3737</v>
      </c>
      <c r="F278" s="347" t="n"/>
      <c r="G278" s="293" t="n">
        <v>3737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476550</t>
        </is>
      </c>
      <c r="D279" s="292" t="inlineStr">
        <is>
          <t>TIGER 미국30년국채커버드콜액티브(H)</t>
        </is>
      </c>
      <c r="E279" s="293" t="n">
        <v>38790</v>
      </c>
      <c r="F279" s="347" t="n"/>
      <c r="G279" s="293" t="n">
        <v>38790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476690</t>
        </is>
      </c>
      <c r="D280" s="292" t="inlineStr">
        <is>
          <t>TIGER 글로벌비만치료제 TOP2 Plus</t>
        </is>
      </c>
      <c r="E280" s="293" t="n">
        <v>1250</v>
      </c>
      <c r="F280" s="347" t="n"/>
      <c r="G280" s="293" t="n">
        <v>1250</v>
      </c>
      <c r="H280" s="292" t="inlineStr">
        <is>
          <t>예측</t>
        </is>
      </c>
    </row>
    <row r="281">
      <c r="A281" s="349" t="n">
        <v>46293</v>
      </c>
      <c r="B281" s="292" t="n">
        <v>9</v>
      </c>
      <c r="C281" s="292" t="inlineStr">
        <is>
          <t>483280</t>
        </is>
      </c>
      <c r="D281" s="292" t="inlineStr">
        <is>
          <t>KODEX 미국AI테크TOP10타겟커버드콜</t>
        </is>
      </c>
      <c r="E281" s="293" t="n">
        <v>309414</v>
      </c>
      <c r="F281" s="347" t="n"/>
      <c r="G281" s="293" t="n">
        <v>309414</v>
      </c>
      <c r="H281" s="292" t="inlineStr">
        <is>
          <t>예측</t>
        </is>
      </c>
    </row>
    <row r="282">
      <c r="A282" s="349" t="n">
        <v>46294</v>
      </c>
      <c r="B282" s="292" t="n">
        <v>9</v>
      </c>
      <c r="C282" s="292" t="inlineStr">
        <is>
          <t>498410</t>
        </is>
      </c>
      <c r="D282" s="292" t="inlineStr">
        <is>
          <t>KODEX금융고배당TOP10타겟위클리커버드콜</t>
        </is>
      </c>
      <c r="E282" s="293" t="n">
        <v>375566</v>
      </c>
      <c r="F282" s="347" t="n"/>
      <c r="G282" s="293" t="n">
        <v>375566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0219E0</t>
        </is>
      </c>
      <c r="D283" s="292" t="inlineStr">
        <is>
          <t>KODEX 200커버드콜액티브</t>
        </is>
      </c>
      <c r="E283" s="293" t="n">
        <v>200960</v>
      </c>
      <c r="F283" s="347" t="n"/>
      <c r="G283" s="293" t="n">
        <v>200960</v>
      </c>
      <c r="H283" s="292" t="inlineStr">
        <is>
          <t>예측</t>
        </is>
      </c>
    </row>
    <row r="284">
      <c r="A284" s="349" t="n">
        <v>46295</v>
      </c>
      <c r="B284" s="292" t="n">
        <v>9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8.5</v>
      </c>
      <c r="G284" s="293" t="n">
        <v>11755.5</v>
      </c>
      <c r="H284" s="292" t="inlineStr">
        <is>
          <t>예측</t>
        </is>
      </c>
    </row>
    <row r="285">
      <c r="A285" s="349" t="n">
        <v>46304</v>
      </c>
      <c r="B285" s="292" t="n">
        <v>10</v>
      </c>
      <c r="C285" s="292" t="inlineStr">
        <is>
          <t>AMT</t>
        </is>
      </c>
      <c r="D285" s="292" t="inlineStr">
        <is>
          <t>아메리칸타워</t>
        </is>
      </c>
      <c r="E285" s="293" t="n"/>
      <c r="F285" s="347" t="n">
        <v>8.1</v>
      </c>
      <c r="G285" s="293" t="n">
        <v>11202.3</v>
      </c>
      <c r="H285" s="292" t="inlineStr">
        <is>
          <t>예측</t>
        </is>
      </c>
    </row>
    <row r="286">
      <c r="A286" s="349" t="n">
        <v>46305</v>
      </c>
      <c r="B286" s="292" t="n">
        <v>10</v>
      </c>
      <c r="C286" s="292" t="inlineStr">
        <is>
          <t>ORCL</t>
        </is>
      </c>
      <c r="D286" s="292" t="inlineStr">
        <is>
          <t>오라클</t>
        </is>
      </c>
      <c r="E286" s="293" t="n"/>
      <c r="F286" s="347" t="n">
        <v>0.9</v>
      </c>
      <c r="G286" s="293" t="n">
        <v>1244.7</v>
      </c>
      <c r="H286" s="292" t="inlineStr">
        <is>
          <t>예측</t>
        </is>
      </c>
    </row>
    <row r="287">
      <c r="A287" s="349" t="n">
        <v>46306</v>
      </c>
      <c r="B287" s="292" t="n">
        <v>10</v>
      </c>
      <c r="C287" s="292" t="inlineStr">
        <is>
          <t>O</t>
        </is>
      </c>
      <c r="D287" s="292" t="inlineStr">
        <is>
          <t>리얼티인컴</t>
        </is>
      </c>
      <c r="E287" s="293" t="n"/>
      <c r="F287" s="347" t="n">
        <v>14.204</v>
      </c>
      <c r="G287" s="293" t="n">
        <v>19644.132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0008S0</t>
        </is>
      </c>
      <c r="D288" s="292" t="inlineStr">
        <is>
          <t>TIGER 미국배당다우존스타겟데일리커버드콜</t>
        </is>
      </c>
      <c r="E288" s="293" t="n">
        <v>261000</v>
      </c>
      <c r="F288" s="347" t="n"/>
      <c r="G288" s="293" t="n">
        <v>261000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474220</t>
        </is>
      </c>
      <c r="D289" s="292" t="inlineStr">
        <is>
          <t>TIGER미국테크TOP10커버드콜</t>
        </is>
      </c>
      <c r="E289" s="293" t="n">
        <v>527845</v>
      </c>
      <c r="F289" s="347" t="n"/>
      <c r="G289" s="293" t="n">
        <v>527845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481060</t>
        </is>
      </c>
      <c r="D290" s="292" t="inlineStr">
        <is>
          <t>KODEX 미국30년국채타겟커버드콜(H)</t>
        </is>
      </c>
      <c r="E290" s="293" t="n">
        <v>287640</v>
      </c>
      <c r="F290" s="347" t="n"/>
      <c r="G290" s="293" t="n">
        <v>287640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490490</t>
        </is>
      </c>
      <c r="D291" s="292" t="inlineStr">
        <is>
          <t>SOL미국배당미국채혼합50</t>
        </is>
      </c>
      <c r="E291" s="293" t="n">
        <v>80241</v>
      </c>
      <c r="F291" s="347" t="n"/>
      <c r="G291" s="293" t="n">
        <v>80241</v>
      </c>
      <c r="H291" s="292" t="inlineStr">
        <is>
          <t>예측</t>
        </is>
      </c>
    </row>
    <row r="292">
      <c r="A292" s="349" t="n">
        <v>46309</v>
      </c>
      <c r="B292" s="292" t="n">
        <v>10</v>
      </c>
      <c r="C292" s="292" t="inlineStr">
        <is>
          <t>498400</t>
        </is>
      </c>
      <c r="D292" s="292" t="inlineStr">
        <is>
          <t>KODEX 200타켓위클리커버드콜</t>
        </is>
      </c>
      <c r="E292" s="293" t="n">
        <v>105092</v>
      </c>
      <c r="F292" s="347" t="n"/>
      <c r="G292" s="293" t="n">
        <v>105092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133690</t>
        </is>
      </c>
      <c r="D293" s="292" t="inlineStr">
        <is>
          <t>TIGER 미국나스닥100</t>
        </is>
      </c>
      <c r="E293" s="293" t="n">
        <v>11457</v>
      </c>
      <c r="F293" s="347" t="n"/>
      <c r="G293" s="293" t="n">
        <v>11457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329200</t>
        </is>
      </c>
      <c r="D294" s="292" t="inlineStr">
        <is>
          <t>TIGER리츠부동산인프라</t>
        </is>
      </c>
      <c r="E294" s="293" t="n">
        <v>155000</v>
      </c>
      <c r="F294" s="347" t="n"/>
      <c r="G294" s="293" t="n">
        <v>155000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360750</t>
        </is>
      </c>
      <c r="D295" s="292" t="inlineStr">
        <is>
          <t>TIGER미국S&amp;P500</t>
        </is>
      </c>
      <c r="E295" s="293" t="n">
        <v>13688</v>
      </c>
      <c r="F295" s="347" t="n"/>
      <c r="G295" s="293" t="n">
        <v>13688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367380</t>
        </is>
      </c>
      <c r="D296" s="292" t="inlineStr">
        <is>
          <t>ACE 미국나스닥100</t>
        </is>
      </c>
      <c r="E296" s="293" t="n">
        <v>12337</v>
      </c>
      <c r="F296" s="347" t="n"/>
      <c r="G296" s="293" t="n">
        <v>12337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379810</t>
        </is>
      </c>
      <c r="D297" s="292" t="inlineStr">
        <is>
          <t>KODEX 미국나스닥100</t>
        </is>
      </c>
      <c r="E297" s="293" t="n">
        <v>28350</v>
      </c>
      <c r="F297" s="347" t="n"/>
      <c r="G297" s="293" t="n">
        <v>28350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433330</t>
        </is>
      </c>
      <c r="D298" s="292" t="inlineStr">
        <is>
          <t>SOL 미국 S&amp;P500</t>
        </is>
      </c>
      <c r="E298" s="293" t="n">
        <v>14916</v>
      </c>
      <c r="F298" s="347" t="n"/>
      <c r="G298" s="293" t="n">
        <v>14916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446720</t>
        </is>
      </c>
      <c r="D299" s="292" t="inlineStr">
        <is>
          <t>SOL 미국배당다우존스</t>
        </is>
      </c>
      <c r="E299" s="293" t="n">
        <v>43890</v>
      </c>
      <c r="F299" s="347" t="n"/>
      <c r="G299" s="293" t="n">
        <v>43890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458760</t>
        </is>
      </c>
      <c r="D300" s="292" t="inlineStr">
        <is>
          <t>TIGER 미배당다우커버드콜2호</t>
        </is>
      </c>
      <c r="E300" s="293" t="n">
        <v>1343388</v>
      </c>
      <c r="F300" s="347" t="n"/>
      <c r="G300" s="293" t="n">
        <v>1343388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468380</t>
        </is>
      </c>
      <c r="D301" s="292" t="inlineStr">
        <is>
          <t>KODEX iShares미국하이일드액티브</t>
        </is>
      </c>
      <c r="E301" s="293" t="n">
        <v>120000</v>
      </c>
      <c r="F301" s="347" t="n"/>
      <c r="G301" s="293" t="n">
        <v>120000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473330</t>
        </is>
      </c>
      <c r="D302" s="292" t="inlineStr">
        <is>
          <t>SOL 미국 30년국채커버드콜(합성)</t>
        </is>
      </c>
      <c r="E302" s="293" t="n">
        <v>78720</v>
      </c>
      <c r="F302" s="347" t="n"/>
      <c r="G302" s="293" t="n">
        <v>78720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475380</t>
        </is>
      </c>
      <c r="D303" s="292" t="inlineStr">
        <is>
          <t>RISE 글로벌리얼티인컴</t>
        </is>
      </c>
      <c r="E303" s="293" t="n">
        <v>3737</v>
      </c>
      <c r="F303" s="347" t="n"/>
      <c r="G303" s="293" t="n">
        <v>3737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476550</t>
        </is>
      </c>
      <c r="D304" s="292" t="inlineStr">
        <is>
          <t>TIGER 미국30년국채커버드콜액티브(H)</t>
        </is>
      </c>
      <c r="E304" s="293" t="n">
        <v>37928</v>
      </c>
      <c r="F304" s="347" t="n"/>
      <c r="G304" s="293" t="n">
        <v>37928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476690</t>
        </is>
      </c>
      <c r="D305" s="292" t="inlineStr">
        <is>
          <t>TIGER 글로벌비만치료제 TOP2 Plus</t>
        </is>
      </c>
      <c r="E305" s="293" t="n">
        <v>1200</v>
      </c>
      <c r="F305" s="347" t="n"/>
      <c r="G305" s="293" t="n">
        <v>1200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482730</t>
        </is>
      </c>
      <c r="D306" s="292" t="inlineStr">
        <is>
          <t>미국S&amp;P500타겟데일리커버드콜</t>
        </is>
      </c>
      <c r="E306" s="293" t="n">
        <v>40375</v>
      </c>
      <c r="F306" s="347" t="n"/>
      <c r="G306" s="293" t="n">
        <v>40375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483280</t>
        </is>
      </c>
      <c r="D307" s="292" t="inlineStr">
        <is>
          <t>KODEX 미국AI테크TOP10타겟커버드콜</t>
        </is>
      </c>
      <c r="E307" s="293" t="n">
        <v>324996</v>
      </c>
      <c r="F307" s="347" t="n"/>
      <c r="G307" s="293" t="n">
        <v>324996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498410</t>
        </is>
      </c>
      <c r="D308" s="292" t="inlineStr">
        <is>
          <t>KODEX금융고배당TOP10타겟위클리커버드콜</t>
        </is>
      </c>
      <c r="E308" s="293" t="n">
        <v>366058</v>
      </c>
      <c r="F308" s="347" t="n"/>
      <c r="G308" s="293" t="n">
        <v>366058</v>
      </c>
      <c r="H308" s="292" t="inlineStr">
        <is>
          <t>예측</t>
        </is>
      </c>
    </row>
    <row r="309">
      <c r="A309" s="349" t="n">
        <v>46326</v>
      </c>
      <c r="B309" s="292" t="n">
        <v>10</v>
      </c>
      <c r="C309" s="292" t="inlineStr">
        <is>
          <t>0219E0</t>
        </is>
      </c>
      <c r="D309" s="292" t="inlineStr">
        <is>
          <t>KODEX 200커버드콜액티브</t>
        </is>
      </c>
      <c r="E309" s="293" t="n">
        <v>200960</v>
      </c>
      <c r="F309" s="347" t="n"/>
      <c r="G309" s="293" t="n">
        <v>200960</v>
      </c>
      <c r="H309" s="292" t="inlineStr">
        <is>
          <t>예측</t>
        </is>
      </c>
    </row>
    <row r="310">
      <c r="A310" s="349" t="n">
        <v>46335</v>
      </c>
      <c r="B310" s="292" t="n">
        <v>11</v>
      </c>
      <c r="C310" s="292" t="inlineStr">
        <is>
          <t>AAPL</t>
        </is>
      </c>
      <c r="D310" s="292" t="inlineStr">
        <is>
          <t>애플</t>
        </is>
      </c>
      <c r="E310" s="293" t="n"/>
      <c r="F310" s="347" t="n">
        <v>2.295</v>
      </c>
      <c r="G310" s="293" t="n">
        <v>3173.985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0008S0</t>
        </is>
      </c>
      <c r="D311" s="292" t="inlineStr">
        <is>
          <t>TIGER 미국배당다우존스타겟데일리커버드콜</t>
        </is>
      </c>
      <c r="E311" s="293" t="n">
        <v>267000</v>
      </c>
      <c r="F311" s="347" t="n"/>
      <c r="G311" s="293" t="n">
        <v>267000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n">
        <v>105560</v>
      </c>
      <c r="D312" s="292" t="inlineStr">
        <is>
          <t>KB금융</t>
        </is>
      </c>
      <c r="E312" s="293" t="n">
        <v>11160</v>
      </c>
      <c r="F312" s="347" t="n"/>
      <c r="G312" s="293" t="n">
        <v>11160</v>
      </c>
      <c r="H312" s="292" t="inlineStr">
        <is>
          <t>예측</t>
        </is>
      </c>
    </row>
    <row r="313">
      <c r="A313" s="349" t="n">
        <v>46339</v>
      </c>
      <c r="B313" s="292" t="n">
        <v>11</v>
      </c>
      <c r="C313" s="292" t="inlineStr">
        <is>
          <t>498400</t>
        </is>
      </c>
      <c r="D313" s="292" t="inlineStr">
        <is>
          <t>KODEX 200타켓위클리커버드콜</t>
        </is>
      </c>
      <c r="E313" s="293" t="n">
        <v>119756</v>
      </c>
      <c r="F313" s="347" t="n"/>
      <c r="G313" s="293" t="n">
        <v>119756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474220</t>
        </is>
      </c>
      <c r="D314" s="292" t="inlineStr">
        <is>
          <t>TIGER미국테크TOP10커버드콜</t>
        </is>
      </c>
      <c r="E314" s="293" t="n">
        <v>576250</v>
      </c>
      <c r="F314" s="347" t="n"/>
      <c r="G314" s="293" t="n">
        <v>576250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481060</t>
        </is>
      </c>
      <c r="D315" s="292" t="inlineStr">
        <is>
          <t>KODEX 미국30년국채타겟커버드콜(H)</t>
        </is>
      </c>
      <c r="E315" s="293" t="n">
        <v>278460</v>
      </c>
      <c r="F315" s="347" t="n"/>
      <c r="G315" s="293" t="n">
        <v>278460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490490</t>
        </is>
      </c>
      <c r="D316" s="292" t="inlineStr">
        <is>
          <t>SOL미국배당미국채혼합50</t>
        </is>
      </c>
      <c r="E316" s="293" t="n">
        <v>122272</v>
      </c>
      <c r="F316" s="347" t="n"/>
      <c r="G316" s="293" t="n">
        <v>122272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O</t>
        </is>
      </c>
      <c r="D317" s="292" t="inlineStr">
        <is>
          <t>리얼티인컴</t>
        </is>
      </c>
      <c r="E317" s="293" t="n"/>
      <c r="F317" s="347" t="n">
        <v>14.151</v>
      </c>
      <c r="G317" s="293" t="n">
        <v>19570.833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SBUX</t>
        </is>
      </c>
      <c r="D318" s="292" t="inlineStr">
        <is>
          <t>스타벅스</t>
        </is>
      </c>
      <c r="E318" s="293" t="n"/>
      <c r="F318" s="347" t="n">
        <v>1.23</v>
      </c>
      <c r="G318" s="293" t="n">
        <v>1701.09</v>
      </c>
      <c r="H318" s="292" t="inlineStr">
        <is>
          <t>예측</t>
        </is>
      </c>
    </row>
    <row r="319">
      <c r="A319" s="349" t="n">
        <v>46340</v>
      </c>
      <c r="B319" s="292" t="n">
        <v>11</v>
      </c>
      <c r="C319" s="292" t="inlineStr">
        <is>
          <t>XOM</t>
        </is>
      </c>
      <c r="D319" s="292" t="inlineStr">
        <is>
          <t>엑슨모빌</t>
        </is>
      </c>
      <c r="E319" s="293" t="n"/>
      <c r="F319" s="347" t="n">
        <v>1.01</v>
      </c>
      <c r="G319" s="293" t="n">
        <v>1396.83</v>
      </c>
      <c r="H319" s="292" t="inlineStr">
        <is>
          <t>예측</t>
        </is>
      </c>
    </row>
    <row r="320">
      <c r="A320" s="349" t="n">
        <v>46344</v>
      </c>
      <c r="B320" s="292" t="n">
        <v>11</v>
      </c>
      <c r="C320" s="292" t="inlineStr">
        <is>
          <t>CVX</t>
        </is>
      </c>
      <c r="D320" s="292" t="inlineStr">
        <is>
          <t>셰브론</t>
        </is>
      </c>
      <c r="E320" s="293" t="n"/>
      <c r="F320" s="347" t="n">
        <v>1.67</v>
      </c>
      <c r="G320" s="293" t="n">
        <v>2309.61</v>
      </c>
      <c r="H320" s="292" t="inlineStr">
        <is>
          <t>예측</t>
        </is>
      </c>
    </row>
    <row r="321">
      <c r="A321" s="349" t="n">
        <v>46346</v>
      </c>
      <c r="B321" s="292" t="n">
        <v>11</v>
      </c>
      <c r="C321" s="292" t="inlineStr">
        <is>
          <t>MSFT</t>
        </is>
      </c>
      <c r="D321" s="292" t="inlineStr">
        <is>
          <t>마이크로소프트</t>
        </is>
      </c>
      <c r="E321" s="293" t="n"/>
      <c r="F321" s="347" t="n">
        <v>1.74</v>
      </c>
      <c r="G321" s="293" t="n">
        <v>2406.42</v>
      </c>
      <c r="H321" s="292" t="inlineStr">
        <is>
          <t>예측</t>
        </is>
      </c>
    </row>
    <row r="322">
      <c r="A322" s="349" t="n">
        <v>46352</v>
      </c>
      <c r="B322" s="292" t="n">
        <v>11</v>
      </c>
      <c r="C322" s="292" t="inlineStr">
        <is>
          <t>TMUS</t>
        </is>
      </c>
      <c r="D322" s="292" t="inlineStr">
        <is>
          <t>T-모바일</t>
        </is>
      </c>
      <c r="E322" s="293" t="n"/>
      <c r="F322" s="347" t="n">
        <v>3.8</v>
      </c>
      <c r="G322" s="293" t="n">
        <v>5255.4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005389</t>
        </is>
      </c>
      <c r="D323" s="292" t="inlineStr">
        <is>
          <t>현대차3우B</t>
        </is>
      </c>
      <c r="E323" s="293" t="n">
        <v>32500</v>
      </c>
      <c r="F323" s="347" t="n"/>
      <c r="G323" s="293" t="n">
        <v>32500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472170</t>
        </is>
      </c>
      <c r="D324" s="292" t="inlineStr">
        <is>
          <t>TIGER 미국테크TOP10채권혼합</t>
        </is>
      </c>
      <c r="E324" s="293" t="n">
        <v>100521</v>
      </c>
      <c r="F324" s="347" t="n"/>
      <c r="G324" s="293" t="n">
        <v>100521</v>
      </c>
      <c r="H324" s="292" t="inlineStr">
        <is>
          <t>예측</t>
        </is>
      </c>
    </row>
    <row r="325">
      <c r="A325" s="349" t="n">
        <v>46353</v>
      </c>
      <c r="B325" s="292" t="n">
        <v>11</v>
      </c>
      <c r="C325" s="292" t="inlineStr">
        <is>
          <t>498410</t>
        </is>
      </c>
      <c r="D325" s="292" t="inlineStr">
        <is>
          <t>KODEX금융고배당TOP10타겟위클리커버드콜</t>
        </is>
      </c>
      <c r="E325" s="293" t="n">
        <v>366058</v>
      </c>
      <c r="F325" s="347" t="n"/>
      <c r="G325" s="293" t="n">
        <v>366058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329200</t>
        </is>
      </c>
      <c r="D326" s="292" t="inlineStr">
        <is>
          <t>TIGER리츠부동산인프라</t>
        </is>
      </c>
      <c r="E326" s="293" t="n">
        <v>107500</v>
      </c>
      <c r="F326" s="347" t="n"/>
      <c r="G326" s="293" t="n">
        <v>107500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433330</t>
        </is>
      </c>
      <c r="D327" s="292" t="inlineStr">
        <is>
          <t>SOL 미국 S&amp;P500</t>
        </is>
      </c>
      <c r="E327" s="293" t="n">
        <v>23730</v>
      </c>
      <c r="F327" s="347" t="n"/>
      <c r="G327" s="293" t="n">
        <v>23730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446720</t>
        </is>
      </c>
      <c r="D328" s="292" t="inlineStr">
        <is>
          <t>SOL 미국배당다우존스</t>
        </is>
      </c>
      <c r="E328" s="293" t="n">
        <v>53865</v>
      </c>
      <c r="F328" s="347" t="n"/>
      <c r="G328" s="293" t="n">
        <v>53865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458760</t>
        </is>
      </c>
      <c r="D329" s="292" t="inlineStr">
        <is>
          <t>TIGER 미배당다우커버드콜2호</t>
        </is>
      </c>
      <c r="E329" s="293" t="n">
        <v>1435506</v>
      </c>
      <c r="F329" s="347" t="n"/>
      <c r="G329" s="293" t="n">
        <v>1435506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468380</t>
        </is>
      </c>
      <c r="D330" s="292" t="inlineStr">
        <is>
          <t>KODEX iShares미국하이일드액티브</t>
        </is>
      </c>
      <c r="E330" s="293" t="n">
        <v>124000</v>
      </c>
      <c r="F330" s="347" t="n"/>
      <c r="G330" s="293" t="n">
        <v>124000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473330</t>
        </is>
      </c>
      <c r="D331" s="292" t="inlineStr">
        <is>
          <t>SOL 미국 30년국채커버드콜(합성)</t>
        </is>
      </c>
      <c r="E331" s="293" t="n">
        <v>108000</v>
      </c>
      <c r="F331" s="347" t="n"/>
      <c r="G331" s="293" t="n">
        <v>108000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475380</t>
        </is>
      </c>
      <c r="D332" s="292" t="inlineStr">
        <is>
          <t>RISE 글로벌리얼티인컴</t>
        </is>
      </c>
      <c r="E332" s="293" t="n">
        <v>3737</v>
      </c>
      <c r="F332" s="347" t="n"/>
      <c r="G332" s="293" t="n">
        <v>3737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476550</t>
        </is>
      </c>
      <c r="D333" s="292" t="inlineStr">
        <is>
          <t>TIGER 미국30년국채커버드콜액티브(H)</t>
        </is>
      </c>
      <c r="E333" s="293" t="n">
        <v>37066</v>
      </c>
      <c r="F333" s="347" t="n"/>
      <c r="G333" s="293" t="n">
        <v>37066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476690</t>
        </is>
      </c>
      <c r="D334" s="292" t="inlineStr">
        <is>
          <t>TIGER 글로벌비만치료제 TOP2 Plus</t>
        </is>
      </c>
      <c r="E334" s="293" t="n">
        <v>1200</v>
      </c>
      <c r="F334" s="347" t="n"/>
      <c r="G334" s="293" t="n">
        <v>1200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482730</t>
        </is>
      </c>
      <c r="D335" s="292" t="inlineStr">
        <is>
          <t>미국S&amp;P500타겟데일리커버드콜</t>
        </is>
      </c>
      <c r="E335" s="293" t="n">
        <v>40800</v>
      </c>
      <c r="F335" s="347" t="n"/>
      <c r="G335" s="293" t="n">
        <v>40800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483280</t>
        </is>
      </c>
      <c r="D336" s="292" t="inlineStr">
        <is>
          <t>KODEX 미국AI테크TOP10타겟커버드콜</t>
        </is>
      </c>
      <c r="E336" s="293" t="n">
        <v>329448</v>
      </c>
      <c r="F336" s="347" t="n"/>
      <c r="G336" s="293" t="n">
        <v>329448</v>
      </c>
      <c r="H336" s="292" t="inlineStr">
        <is>
          <t>예측</t>
        </is>
      </c>
    </row>
    <row r="337">
      <c r="A337" s="349" t="n">
        <v>46356</v>
      </c>
      <c r="B337" s="292" t="n">
        <v>11</v>
      </c>
      <c r="C337" s="292" t="inlineStr">
        <is>
          <t>0219E0</t>
        </is>
      </c>
      <c r="D337" s="292" t="inlineStr">
        <is>
          <t>KODEX 200커버드콜액티브</t>
        </is>
      </c>
      <c r="E337" s="293" t="n">
        <v>200960</v>
      </c>
      <c r="F337" s="347" t="n"/>
      <c r="G337" s="293" t="n">
        <v>200960</v>
      </c>
      <c r="H337" s="292" t="inlineStr">
        <is>
          <t>예측</t>
        </is>
      </c>
    </row>
    <row r="338">
      <c r="A338" s="349" t="n">
        <v>46358</v>
      </c>
      <c r="B338" s="292" t="n">
        <v>12</v>
      </c>
      <c r="C338" s="292" t="inlineStr">
        <is>
          <t>NKE</t>
        </is>
      </c>
      <c r="D338" s="292" t="inlineStr">
        <is>
          <t>나이키</t>
        </is>
      </c>
      <c r="E338" s="293" t="n"/>
      <c r="F338" s="347" t="n">
        <v>4.05</v>
      </c>
      <c r="G338" s="293" t="n">
        <v>5601.15</v>
      </c>
      <c r="H338" s="292" t="inlineStr">
        <is>
          <t>예측</t>
        </is>
      </c>
    </row>
    <row r="339">
      <c r="A339" s="349" t="n">
        <v>46366</v>
      </c>
      <c r="B339" s="292" t="n">
        <v>12</v>
      </c>
      <c r="C339" s="292" t="inlineStr">
        <is>
          <t>SCHD</t>
        </is>
      </c>
      <c r="D339" s="292" t="inlineStr">
        <is>
          <t>SCHD</t>
        </is>
      </c>
      <c r="E339" s="293" t="n"/>
      <c r="F339" s="347" t="n">
        <v>6.516</v>
      </c>
      <c r="G339" s="293" t="n">
        <v>9011.628000000001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0008S0</t>
        </is>
      </c>
      <c r="D340" s="292" t="inlineStr">
        <is>
          <t>TIGER 미국배당다우존스타겟데일리커버드콜</t>
        </is>
      </c>
      <c r="E340" s="293" t="n">
        <v>273000</v>
      </c>
      <c r="F340" s="347" t="n"/>
      <c r="G340" s="293" t="n">
        <v>273000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474220</t>
        </is>
      </c>
      <c r="D341" s="292" t="inlineStr">
        <is>
          <t>TIGER미국테크TOP10커버드콜</t>
        </is>
      </c>
      <c r="E341" s="293" t="n">
        <v>587775</v>
      </c>
      <c r="F341" s="347" t="n"/>
      <c r="G341" s="293" t="n">
        <v>587775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481060</t>
        </is>
      </c>
      <c r="D342" s="292" t="inlineStr">
        <is>
          <t>KODEX 미국30년국채타겟커버드콜(H)</t>
        </is>
      </c>
      <c r="E342" s="293" t="n">
        <v>278460</v>
      </c>
      <c r="F342" s="347" t="n"/>
      <c r="G342" s="293" t="n">
        <v>278460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490490</t>
        </is>
      </c>
      <c r="D343" s="292" t="inlineStr">
        <is>
          <t>SOL미국배당미국채혼합50</t>
        </is>
      </c>
      <c r="E343" s="293" t="n">
        <v>114630</v>
      </c>
      <c r="F343" s="347" t="n"/>
      <c r="G343" s="293" t="n">
        <v>114630</v>
      </c>
      <c r="H343" s="292" t="inlineStr">
        <is>
          <t>예측</t>
        </is>
      </c>
    </row>
    <row r="344">
      <c r="A344" s="349" t="n">
        <v>46368</v>
      </c>
      <c r="B344" s="292" t="n">
        <v>12</v>
      </c>
      <c r="C344" s="292" t="inlineStr">
        <is>
          <t>498400</t>
        </is>
      </c>
      <c r="D344" s="292" t="inlineStr">
        <is>
          <t>KODEX 200타켓위클리커버드콜</t>
        </is>
      </c>
      <c r="E344" s="293" t="n">
        <v>119756</v>
      </c>
      <c r="F344" s="347" t="n"/>
      <c r="G344" s="293" t="n">
        <v>119756</v>
      </c>
      <c r="H344" s="292" t="inlineStr">
        <is>
          <t>예측</t>
        </is>
      </c>
    </row>
    <row r="345">
      <c r="A345" s="349" t="n">
        <v>46368</v>
      </c>
      <c r="B345" s="292" t="n">
        <v>12</v>
      </c>
      <c r="C345" s="292" t="inlineStr">
        <is>
          <t>TSM</t>
        </is>
      </c>
      <c r="D345" s="292" t="inlineStr">
        <is>
          <t>TSMC</t>
        </is>
      </c>
      <c r="E345" s="293" t="n"/>
      <c r="F345" s="347" t="n">
        <v>0.7255</v>
      </c>
      <c r="G345" s="293" t="n">
        <v>1003.3665</v>
      </c>
      <c r="H345" s="292" t="inlineStr">
        <is>
          <t>예측</t>
        </is>
      </c>
    </row>
    <row r="346">
      <c r="A346" s="349" t="n">
        <v>46372</v>
      </c>
      <c r="B346" s="292" t="n">
        <v>12</v>
      </c>
      <c r="C346" s="292" t="inlineStr">
        <is>
          <t>O</t>
        </is>
      </c>
      <c r="D346" s="292" t="inlineStr">
        <is>
          <t>리얼티인컴</t>
        </is>
      </c>
      <c r="E346" s="293" t="n"/>
      <c r="F346" s="347" t="n">
        <v>14.151</v>
      </c>
      <c r="G346" s="293" t="n">
        <v>19570.833</v>
      </c>
      <c r="H346" s="292" t="inlineStr">
        <is>
          <t>예측</t>
        </is>
      </c>
    </row>
    <row r="347">
      <c r="A347" s="349" t="n">
        <v>46380</v>
      </c>
      <c r="B347" s="292" t="n">
        <v>12</v>
      </c>
      <c r="C347" s="292" t="inlineStr">
        <is>
          <t>QLD</t>
        </is>
      </c>
      <c r="D347" s="292" t="inlineStr">
        <is>
          <t>QLD</t>
        </is>
      </c>
      <c r="E347" s="293" t="n"/>
      <c r="F347" s="347" t="n">
        <v>3.745</v>
      </c>
      <c r="G347" s="293" t="n">
        <v>5179.335</v>
      </c>
      <c r="H347" s="292" t="inlineStr">
        <is>
          <t>예측</t>
        </is>
      </c>
    </row>
    <row r="348">
      <c r="A348" s="349" t="n">
        <v>46383</v>
      </c>
      <c r="B348" s="292" t="n">
        <v>12</v>
      </c>
      <c r="C348" s="292" t="inlineStr">
        <is>
          <t>472170</t>
        </is>
      </c>
      <c r="D348" s="292" t="inlineStr">
        <is>
          <t>TIGER 미국테크TOP10채권혼합</t>
        </is>
      </c>
      <c r="E348" s="293" t="n">
        <v>473040</v>
      </c>
      <c r="F348" s="347" t="n"/>
      <c r="G348" s="293" t="n">
        <v>473040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005930</t>
        </is>
      </c>
      <c r="D349" s="292" t="inlineStr">
        <is>
          <t>삼성전자</t>
        </is>
      </c>
      <c r="E349" s="293" t="n">
        <v>45986</v>
      </c>
      <c r="F349" s="347" t="n"/>
      <c r="G349" s="293" t="n">
        <v>45986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329200</t>
        </is>
      </c>
      <c r="D350" s="292" t="inlineStr">
        <is>
          <t>TIGER리츠부동산인프라</t>
        </is>
      </c>
      <c r="E350" s="293" t="n">
        <v>120000</v>
      </c>
      <c r="F350" s="347" t="n"/>
      <c r="G350" s="293" t="n">
        <v>120000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433330</t>
        </is>
      </c>
      <c r="D351" s="292" t="inlineStr">
        <is>
          <t>SOL 미국 S&amp;P500</t>
        </is>
      </c>
      <c r="E351" s="293" t="n">
        <v>24408</v>
      </c>
      <c r="F351" s="347" t="n"/>
      <c r="G351" s="293" t="n">
        <v>24408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446720</t>
        </is>
      </c>
      <c r="D352" s="292" t="inlineStr">
        <is>
          <t>SOL 미국배당다우존스</t>
        </is>
      </c>
      <c r="E352" s="293" t="n">
        <v>47880</v>
      </c>
      <c r="F352" s="347" t="n"/>
      <c r="G352" s="293" t="n">
        <v>47880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458760</t>
        </is>
      </c>
      <c r="D353" s="292" t="inlineStr">
        <is>
          <t>TIGER 미배당다우커버드콜2호</t>
        </is>
      </c>
      <c r="E353" s="293" t="n">
        <v>1412476</v>
      </c>
      <c r="F353" s="347" t="n"/>
      <c r="G353" s="293" t="n">
        <v>1412476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468380</t>
        </is>
      </c>
      <c r="D354" s="292" t="inlineStr">
        <is>
          <t>KODEX iShares미국하이일드액티브</t>
        </is>
      </c>
      <c r="E354" s="293" t="n">
        <v>133000</v>
      </c>
      <c r="F354" s="347" t="n"/>
      <c r="G354" s="293" t="n">
        <v>133000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473330</t>
        </is>
      </c>
      <c r="D355" s="292" t="inlineStr">
        <is>
          <t>SOL 미국 30년국채커버드콜(합성)</t>
        </is>
      </c>
      <c r="E355" s="293" t="n">
        <v>129600</v>
      </c>
      <c r="F355" s="347" t="n"/>
      <c r="G355" s="293" t="n">
        <v>129600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475380</t>
        </is>
      </c>
      <c r="D356" s="292" t="inlineStr">
        <is>
          <t>RISE 글로벌리얼티인컴</t>
        </is>
      </c>
      <c r="E356" s="293" t="n">
        <v>3737</v>
      </c>
      <c r="F356" s="347" t="n"/>
      <c r="G356" s="293" t="n">
        <v>3737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476550</t>
        </is>
      </c>
      <c r="D357" s="292" t="inlineStr">
        <is>
          <t>TIGER 미국30년국채커버드콜액티브(H)</t>
        </is>
      </c>
      <c r="E357" s="293" t="n">
        <v>34911</v>
      </c>
      <c r="F357" s="347" t="n"/>
      <c r="G357" s="293" t="n">
        <v>34911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476690</t>
        </is>
      </c>
      <c r="D358" s="292" t="inlineStr">
        <is>
          <t>TIGER 글로벌비만치료제 TOP2 Plus</t>
        </is>
      </c>
      <c r="E358" s="293" t="n">
        <v>1350</v>
      </c>
      <c r="F358" s="347" t="n"/>
      <c r="G358" s="293" t="n">
        <v>1350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482730</t>
        </is>
      </c>
      <c r="D359" s="292" t="inlineStr">
        <is>
          <t>미국S&amp;P500타겟데일리커버드콜</t>
        </is>
      </c>
      <c r="E359" s="293" t="n">
        <v>41650</v>
      </c>
      <c r="F359" s="347" t="n"/>
      <c r="G359" s="293" t="n">
        <v>41650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483280</t>
        </is>
      </c>
      <c r="D360" s="292" t="inlineStr">
        <is>
          <t>KODEX 미국AI테크TOP10타겟커버드콜</t>
        </is>
      </c>
      <c r="E360" s="293" t="n">
        <v>342804</v>
      </c>
      <c r="F360" s="347" t="n"/>
      <c r="G360" s="293" t="n">
        <v>342804</v>
      </c>
      <c r="H360" s="292" t="inlineStr">
        <is>
          <t>예측</t>
        </is>
      </c>
    </row>
    <row r="361">
      <c r="A361" s="349" t="n">
        <v>46384</v>
      </c>
      <c r="B361" s="292" t="n">
        <v>12</v>
      </c>
      <c r="C361" s="292" t="inlineStr">
        <is>
          <t>AMT</t>
        </is>
      </c>
      <c r="D361" s="292" t="inlineStr">
        <is>
          <t>아메리칸타워</t>
        </is>
      </c>
      <c r="E361" s="293" t="n"/>
      <c r="F361" s="347" t="n">
        <v>8.300000000000001</v>
      </c>
      <c r="G361" s="293" t="n">
        <v>11478.9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381170</t>
        </is>
      </c>
      <c r="D362" s="292" t="inlineStr">
        <is>
          <t>TIGER 미국테크TOP10 INDXX</t>
        </is>
      </c>
      <c r="E362" s="293" t="n">
        <v>24871</v>
      </c>
      <c r="F362" s="347" t="n"/>
      <c r="G362" s="293" t="n">
        <v>24871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438100</t>
        </is>
      </c>
      <c r="D363" s="292" t="inlineStr">
        <is>
          <t>ACE미국나스닥100미국채혼합50액티브</t>
        </is>
      </c>
      <c r="E363" s="293" t="n">
        <v>228672</v>
      </c>
      <c r="F363" s="347" t="n"/>
      <c r="G363" s="293" t="n">
        <v>228672</v>
      </c>
      <c r="H363" s="292" t="inlineStr">
        <is>
          <t>예측</t>
        </is>
      </c>
    </row>
    <row r="364">
      <c r="A364" s="349" t="n">
        <v>46385</v>
      </c>
      <c r="B364" s="292" t="n">
        <v>12</v>
      </c>
      <c r="C364" s="292" t="inlineStr">
        <is>
          <t>457480</t>
        </is>
      </c>
      <c r="D364" s="292" t="inlineStr">
        <is>
          <t>ACE테슬라밸류체인액티브</t>
        </is>
      </c>
      <c r="E364" s="293" t="n">
        <v>184325</v>
      </c>
      <c r="F364" s="347" t="n"/>
      <c r="G364" s="293" t="n">
        <v>184325</v>
      </c>
      <c r="H364" s="292" t="inlineStr">
        <is>
          <t>예측</t>
        </is>
      </c>
    </row>
    <row r="365">
      <c r="A365" s="349" t="n">
        <v>46385</v>
      </c>
      <c r="B365" s="292" t="n">
        <v>12</v>
      </c>
      <c r="C365" s="292" t="inlineStr">
        <is>
          <t>498410</t>
        </is>
      </c>
      <c r="D365" s="292" t="inlineStr">
        <is>
          <t>KODEX금융고배당TOP10타겟위클리커버드콜</t>
        </is>
      </c>
      <c r="E365" s="293" t="n">
        <v>361304</v>
      </c>
      <c r="F365" s="347" t="n"/>
      <c r="G365" s="293" t="n">
        <v>361304</v>
      </c>
      <c r="H365" s="292" t="inlineStr">
        <is>
          <t>예측</t>
        </is>
      </c>
    </row>
    <row r="366">
      <c r="A366" s="349" t="n">
        <v>46387</v>
      </c>
      <c r="B366" s="292" t="n">
        <v>12</v>
      </c>
      <c r="C366" s="292" t="inlineStr">
        <is>
          <t>0219E0</t>
        </is>
      </c>
      <c r="D366" s="292" t="inlineStr">
        <is>
          <t>KODEX 200커버드콜액티브</t>
        </is>
      </c>
      <c r="E366" s="293" t="n">
        <v>200960</v>
      </c>
      <c r="F366" s="347" t="n"/>
      <c r="G366" s="293" t="n">
        <v>200960</v>
      </c>
      <c r="H366" s="292" t="inlineStr">
        <is>
          <t>예측</t>
        </is>
      </c>
    </row>
  </sheetData>
  <autoFilter ref="A43:H366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2026-09-18T01:13:25Z</dcterms:modified>
  <cp:lastModifiedBy>Hyoyol Park</cp:lastModifiedBy>
</cp:coreProperties>
</file>