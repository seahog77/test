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'금액순'!$A$19:$I$96</definedName>
    <definedName name="_xlnm._FilterDatabase" localSheetId="8" hidden="1">'월별배당'!$A$43:$H$370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6" fillId="21" borderId="16" pivotButton="0" quotePrefix="0" xfId="0"/>
    <xf numFmtId="0" fontId="29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SKT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0.1333532518381179</v>
                </pt>
                <pt idx="1">
                  <v>0.05463221005924929</v>
                </pt>
                <pt idx="2">
                  <v>0.03839018437038042</v>
                </pt>
                <pt idx="3">
                  <v>0.03596030102929511</v>
                </pt>
                <pt idx="4">
                  <v>0.03373489463816717</v>
                </pt>
                <pt idx="5">
                  <v>0.02866959281505974</v>
                </pt>
                <pt idx="6">
                  <v>0.02842719325349035</v>
                </pt>
                <pt idx="7">
                  <v>0.02540888805283191</v>
                </pt>
                <pt idx="8">
                  <v>0.01129834200111941</v>
                </pt>
                <pt idx="9">
                  <v>0.06097148768977854</v>
                </pt>
                <pt idx="10">
                  <v>0.05777833488658706</v>
                </pt>
                <pt idx="11">
                  <v>0.02328746122998022</v>
                </pt>
                <pt idx="12">
                  <v>0.02454972310935056</v>
                </pt>
                <pt idx="13">
                  <v>0.006484495885637974</v>
                </pt>
                <pt idx="14">
                  <v>0.01328156416023774</v>
                </pt>
                <pt idx="15">
                  <v>0.007395592166662655</v>
                </pt>
                <pt idx="16">
                  <v>0.0327309544032429</v>
                </pt>
                <pt idx="17">
                  <v>0.02762816062764299</v>
                </pt>
                <pt idx="18">
                  <v>0.02431378343457426</v>
                </pt>
                <pt idx="19">
                  <v>0.01046194046824229</v>
                </pt>
                <pt idx="20">
                  <v>0.01031219414010526</v>
                </pt>
                <pt idx="21">
                  <v>0.005455343635401238</v>
                </pt>
                <pt idx="22">
                  <v>0.005264235574969006</v>
                </pt>
                <pt idx="23">
                  <v>0.003720236499595905</v>
                </pt>
                <pt idx="24">
                  <v>0.003306170060704925</v>
                </pt>
                <pt idx="25">
                  <v>0.003052019657445243</v>
                </pt>
                <pt idx="26">
                  <v>0.001988020932164623</v>
                </pt>
                <pt idx="27">
                  <v>0.00140640963895336</v>
                </pt>
                <pt idx="28">
                  <v>0.001401832347739968</v>
                </pt>
                <pt idx="29">
                  <v>0.01718945114276329</v>
                </pt>
                <pt idx="30">
                  <v>0.01375156091421063</v>
                </pt>
                <pt idx="31">
                  <v>0.0155248306002803</v>
                </pt>
                <pt idx="32">
                  <v>0.009511795602729283</v>
                </pt>
                <pt idx="33">
                  <v>0.006321136941222123</v>
                </pt>
                <pt idx="34">
                  <v>0.005791262772991826</v>
                </pt>
                <pt idx="35">
                  <v>0.005513121238128269</v>
                </pt>
                <pt idx="36">
                  <v>0.004702366926252062</v>
                </pt>
                <pt idx="37">
                  <v>0.00498334124038592</v>
                </pt>
                <pt idx="38">
                  <v>0.006379022246009359</v>
                </pt>
                <pt idx="39">
                  <v>0.002548517623972177</v>
                </pt>
                <pt idx="40">
                  <v>0.002707961165026609</v>
                </pt>
                <pt idx="41">
                  <v>0.01344542380294939</v>
                </pt>
                <pt idx="42">
                  <v>0.002136929320700491</v>
                </pt>
                <pt idx="44">
                  <v>0.002197099782427926</v>
                </pt>
                <pt idx="45">
                  <v>0.002376305655250712</v>
                </pt>
                <pt idx="46">
                  <v>0.001399307185764938</v>
                </pt>
                <pt idx="47">
                  <v>0.001512088367967086</v>
                </pt>
                <pt idx="48">
                  <v>0.001430514227929459</v>
                </pt>
                <pt idx="49">
                  <v>0.00145516084677075</v>
                </pt>
                <pt idx="50">
                  <v>0.00142001594042858</v>
                </pt>
                <pt idx="51">
                  <v>0.00131100352554292</v>
                </pt>
                <pt idx="52">
                  <v>0.001352626278149919</v>
                </pt>
                <pt idx="53">
                  <v>0.0009272828514084769</v>
                </pt>
                <pt idx="54">
                  <v>0.0008245586450555307</v>
                </pt>
                <pt idx="55">
                  <v>0.0008365295251720638</v>
                </pt>
                <pt idx="56">
                  <v>0.000760448546504971</v>
                </pt>
                <pt idx="57">
                  <v>0.0007101254253958561</v>
                </pt>
                <pt idx="58">
                  <v>0.0005901087834361402</v>
                </pt>
                <pt idx="59">
                  <v>0.0006119365882064061</v>
                </pt>
                <pt idx="60">
                  <v>0.000436627754094729</v>
                </pt>
                <pt idx="61">
                  <v>0.0004432592157454958</v>
                </pt>
                <pt idx="62">
                  <v>0.0003796370387021144</v>
                </pt>
                <pt idx="63">
                  <v>0.0002954338670766819</v>
                </pt>
                <pt idx="64">
                  <v>0.0002585800399178027</v>
                </pt>
                <pt idx="65">
                  <v>0.0002196510119245016</v>
                </pt>
                <pt idx="66">
                  <v>2.510496575989973e-05</v>
                </pt>
                <pt idx="67">
                  <v>0</v>
                </pt>
                <pt idx="68">
                  <v>0.09704495855296087</v>
                </pt>
                <pt idx="69">
                  <v>0.01549980315316191</v>
                </pt>
                <pt idx="70">
                  <v>0.01303055141627756</v>
                </pt>
                <pt idx="71">
                  <v>0.0124357988676472</v>
                </pt>
                <pt idx="72">
                  <v>0.01052530888154597</v>
                </pt>
                <pt idx="73">
                  <v>0.003691363881767348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'금액순'!$E$20:$E$96</f>
            </numRef>
          </cat>
          <val>
            <numRef>
              <f>'금액순'!$G$20:$G$96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100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zoomScale="55" zoomScaleNormal="55" workbookViewId="0">
      <selection activeCell="K42" sqref="K42"/>
    </sheetView>
  </sheetViews>
  <sheetFormatPr baseColWidth="8" defaultColWidth="12.59765625" defaultRowHeight="15.75" customHeight="1"/>
  <cols>
    <col width="9.9296875" customWidth="1" style="199" min="1" max="1"/>
    <col outlineLevel="1" width="12.59765625" customWidth="1" style="199" min="2" max="2"/>
    <col width="41.59765625" customWidth="1" style="199" min="4" max="4"/>
    <col width="35.3984375" customWidth="1" style="199" min="5" max="5"/>
    <col width="14.59765625" customWidth="1" style="199" min="11" max="11"/>
    <col width="16" customWidth="1" style="199" min="13" max="13"/>
    <col width="22.796875" customWidth="1" style="199" min="14" max="14"/>
    <col width="14.1328125" customWidth="1" style="199" min="15" max="15"/>
    <col width="3.265625" customWidth="1" style="199" min="16" max="16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199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199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199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199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￦1,418</t>
        </is>
      </c>
      <c r="J5" s="73" t="n">
        <v>1418.46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199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199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SUM(K9:K85)</f>
        <v/>
      </c>
      <c r="L8" s="75" t="n"/>
      <c r="M8" s="208">
        <f>SUM(M9:M85)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199">
      <c r="A9" s="204" t="inlineStr">
        <is>
          <t>DC</t>
        </is>
      </c>
      <c r="B9" s="204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11180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199">
      <c r="A10" s="204" t="inlineStr">
        <is>
          <t>DC</t>
        </is>
      </c>
      <c r="B10" s="204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11345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199">
      <c r="A11" s="204" t="inlineStr">
        <is>
          <t>DC</t>
        </is>
      </c>
      <c r="B11" s="204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10195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199">
      <c r="A12" s="204" t="inlineStr">
        <is>
          <t>DC</t>
        </is>
      </c>
      <c r="B12" s="204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11875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4" t="n"/>
      <c r="Q12" s="204" t="n"/>
      <c r="R12" s="204" t="n"/>
    </row>
    <row r="13" ht="12.75" customHeight="1" s="199">
      <c r="A13" s="204" t="inlineStr">
        <is>
          <t>DC</t>
        </is>
      </c>
      <c r="B13" s="204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14215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199">
      <c r="A14" s="204" t="inlineStr">
        <is>
          <t>DC</t>
        </is>
      </c>
      <c r="B14" s="204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11260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199">
      <c r="A15" s="204" t="inlineStr">
        <is>
          <t>DC</t>
        </is>
      </c>
      <c r="B15" s="204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7510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199">
      <c r="A16" s="204" t="inlineStr">
        <is>
          <t>DC</t>
        </is>
      </c>
      <c r="B16" s="204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4030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199">
      <c r="A17" s="204" t="inlineStr">
        <is>
          <t>DC</t>
        </is>
      </c>
      <c r="B17" s="204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330</v>
      </c>
      <c r="G17" s="210" t="n">
        <v>26932</v>
      </c>
      <c r="H17" s="223" t="n"/>
      <c r="I17" s="218" t="n">
        <v>27610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199">
      <c r="A18" s="204" t="inlineStr">
        <is>
          <t>개인연금1</t>
        </is>
      </c>
      <c r="B18" s="204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15530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199">
      <c r="A19" s="204" t="inlineStr">
        <is>
          <t>개인연금1</t>
        </is>
      </c>
      <c r="B19" s="204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11180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199">
      <c r="A20" s="204" t="inlineStr">
        <is>
          <t>개인연금1</t>
        </is>
      </c>
      <c r="B20" s="204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13930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199">
      <c r="A21" s="204" t="inlineStr">
        <is>
          <t>개인연금1</t>
        </is>
      </c>
      <c r="B21" s="204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22720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199">
      <c r="A22" s="204" t="inlineStr">
        <is>
          <t>개인연금1</t>
        </is>
      </c>
      <c r="B22" s="204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12275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199">
      <c r="A23" s="72" t="inlineStr">
        <is>
          <t>개인연금2</t>
        </is>
      </c>
      <c r="B23" s="204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31750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199">
      <c r="A24" s="72" t="inlineStr">
        <is>
          <t>개인연금2</t>
        </is>
      </c>
      <c r="B24" s="204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27195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199">
      <c r="A25" s="204" t="inlineStr">
        <is>
          <t>ISA</t>
        </is>
      </c>
      <c r="B25" s="204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12305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4" t="n"/>
      <c r="Q25" s="204" t="n"/>
      <c r="R25" s="204" t="n"/>
    </row>
    <row r="26" ht="12.75" customHeight="1" s="199">
      <c r="A26" s="204" t="inlineStr">
        <is>
          <t>ISA</t>
        </is>
      </c>
      <c r="B26" s="204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11180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199">
      <c r="A27" s="204" t="inlineStr">
        <is>
          <t>ISA</t>
        </is>
      </c>
      <c r="B27" s="204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15530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199">
      <c r="A28" s="204" t="inlineStr">
        <is>
          <t>ISA</t>
        </is>
      </c>
      <c r="B28" s="204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10" t="n">
        <v>16629</v>
      </c>
      <c r="H28" s="223" t="n"/>
      <c r="I28" s="218" t="n">
        <v>17770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199">
      <c r="A29" s="204" t="inlineStr">
        <is>
          <t>ISA</t>
        </is>
      </c>
      <c r="B29" s="204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8305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199">
      <c r="A30" s="204" t="inlineStr">
        <is>
          <t>ISA</t>
        </is>
      </c>
      <c r="B30" s="204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133100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199">
      <c r="A31" s="204" t="inlineStr">
        <is>
          <t>ISA</t>
        </is>
      </c>
      <c r="B31" s="204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15370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199">
      <c r="A32" s="204" t="inlineStr">
        <is>
          <t>ISA</t>
        </is>
      </c>
      <c r="B32" s="204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6887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199">
      <c r="A33" s="204" t="inlineStr">
        <is>
          <t>ISA</t>
        </is>
      </c>
      <c r="B33" s="204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12960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199">
      <c r="A34" s="204" t="inlineStr">
        <is>
          <t>ISA</t>
        </is>
      </c>
      <c r="B34" s="204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195400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199">
      <c r="A35" s="204" t="inlineStr">
        <is>
          <t>ISA</t>
        </is>
      </c>
      <c r="B35" s="204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9225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199">
      <c r="A36" s="204" t="inlineStr">
        <is>
          <t>ISA</t>
        </is>
      </c>
      <c r="B36" s="204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10720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199">
      <c r="A37" s="204" t="inlineStr">
        <is>
          <t>ISA</t>
        </is>
      </c>
      <c r="B37" s="204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10730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199">
      <c r="A38" s="204" t="inlineStr">
        <is>
          <t>일반계좌</t>
        </is>
      </c>
      <c r="B38" s="204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230500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199">
      <c r="A39" s="204" t="inlineStr">
        <is>
          <t>일반계좌</t>
        </is>
      </c>
      <c r="B39" s="204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230500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199">
      <c r="A40" s="72" t="inlineStr">
        <is>
          <t>일반계좌</t>
        </is>
      </c>
      <c r="B40" s="204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0" t="n">
        <v>21321</v>
      </c>
      <c r="H40" s="223" t="n"/>
      <c r="I40" s="218" t="n">
        <v>19010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321.5499877929688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62.70000076293945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39.93000030517578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311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20200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181100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0" t="n"/>
      <c r="H47" s="223" t="n">
        <v>87.3673</v>
      </c>
      <c r="I47" s="220" t="n"/>
      <c r="J47" s="92" t="n">
        <v>90.80000305175781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170500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17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0" t="n">
        <v>8294</v>
      </c>
      <c r="H50" s="223" t="n"/>
      <c r="I50" s="218" t="n">
        <v>7765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4" t="n"/>
      <c r="Q50" s="204" t="n"/>
      <c r="R50" s="204" t="n"/>
    </row>
    <row r="51" ht="12.75" customHeight="1" s="199">
      <c r="A51" s="72" t="inlineStr">
        <is>
          <t>일반계좌</t>
        </is>
      </c>
      <c r="B51" s="204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199">
      <c r="A52" s="72" t="inlineStr">
        <is>
          <t>일반계좌</t>
        </is>
      </c>
      <c r="B52" s="204" t="n"/>
      <c r="C52" s="217" t="inlineStr">
        <is>
          <t>한국</t>
        </is>
      </c>
      <c r="D52" s="106" t="inlineStr">
        <is>
          <t>017670</t>
        </is>
      </c>
      <c r="E52" s="107" t="inlineStr">
        <is>
          <t>SKT</t>
        </is>
      </c>
      <c r="F52" s="108" t="n">
        <v>24</v>
      </c>
      <c r="G52" s="225" t="n">
        <v>82486</v>
      </c>
      <c r="H52" s="226" t="n"/>
      <c r="I52" s="212" t="n">
        <v>91600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n"/>
      <c r="P52" s="204" t="n"/>
      <c r="Q52" s="204" t="n"/>
      <c r="R52" s="204" t="n"/>
    </row>
    <row r="53" ht="12.75" customHeight="1" s="199">
      <c r="A53" s="72" t="inlineStr">
        <is>
          <t>일반계좌</t>
        </is>
      </c>
      <c r="B53" s="204" t="n">
        <v>45</v>
      </c>
      <c r="C53" s="217" t="inlineStr">
        <is>
          <t>한국</t>
        </is>
      </c>
      <c r="D53" s="97" t="inlineStr">
        <is>
          <t>041510</t>
        </is>
      </c>
      <c r="E53" s="98" t="inlineStr">
        <is>
          <t>에스엠</t>
        </is>
      </c>
      <c r="F53" s="99" t="n">
        <v>24</v>
      </c>
      <c r="G53" s="210" t="n">
        <v>87423</v>
      </c>
      <c r="H53" s="223" t="n"/>
      <c r="I53" s="218" t="n">
        <v>74000</v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엔터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46</v>
      </c>
      <c r="C54" s="217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25" t="n">
        <v>1931242</v>
      </c>
      <c r="H54" s="226" t="n"/>
      <c r="I54" s="214">
        <f>G54</f>
        <v/>
      </c>
      <c r="J54" s="219" t="n"/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현금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47</v>
      </c>
      <c r="C55" s="217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0" t="n"/>
      <c r="H55" s="223" t="n">
        <v>180.0771</v>
      </c>
      <c r="I55" s="220" t="n"/>
      <c r="J55" s="92" t="n">
        <v>108.2699966430664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스엑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48</v>
      </c>
      <c r="C56" s="217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0" t="n"/>
      <c r="H56" s="223" t="n">
        <v>185.84</v>
      </c>
      <c r="I56" s="220" t="n"/>
      <c r="J56" s="92" t="n">
        <v>168.0700073242188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아메리칸타워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49</v>
      </c>
      <c r="C57" s="217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0" t="n"/>
      <c r="H57" s="223" t="n">
        <v>169.016</v>
      </c>
      <c r="I57" s="220" t="n"/>
      <c r="J57" s="92" t="n">
        <v>219.2200012207031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엔비디아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50</v>
      </c>
      <c r="C58" s="217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0" t="n"/>
      <c r="H58" s="223" t="n">
        <v>27.59</v>
      </c>
      <c r="I58" s="220" t="n"/>
      <c r="J58" s="92" t="n">
        <v>33.63999938964844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다우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51</v>
      </c>
      <c r="C59" s="217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0" t="n"/>
      <c r="H59" s="223" t="n">
        <v>408.19</v>
      </c>
      <c r="I59" s="220" t="n"/>
      <c r="J59" s="92" t="n">
        <v>487.4599914550781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마소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52</v>
      </c>
      <c r="C60" s="217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0" t="n"/>
      <c r="H60" s="223" t="n">
        <v>202.7775</v>
      </c>
      <c r="I60" s="220" t="n"/>
      <c r="J60" s="92" t="n">
        <v>173.4600067138672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통신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53</v>
      </c>
      <c r="C61" s="217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0" t="n"/>
      <c r="H61" s="223" t="n">
        <v>53.67</v>
      </c>
      <c r="I61" s="220" t="n"/>
      <c r="J61" s="92" t="n">
        <v>44.52999877929688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헬스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54</v>
      </c>
      <c r="C62" s="217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0" t="n"/>
      <c r="H62" s="223" t="n">
        <v>129.42</v>
      </c>
      <c r="I62" s="220" t="n"/>
      <c r="J62" s="92" t="n">
        <v>158.4299926757812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팔란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55</v>
      </c>
      <c r="C63" s="217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0" t="n"/>
      <c r="H63" s="223" t="n">
        <v>62.38</v>
      </c>
      <c r="I63" s="220" t="n"/>
      <c r="J63" s="92" t="n">
        <v>74.81999969482422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로켓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56</v>
      </c>
      <c r="C64" s="217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0" t="n"/>
      <c r="H64" s="223" t="n">
        <v>17.91</v>
      </c>
      <c r="I64" s="220" t="n"/>
      <c r="J64" s="92" t="n">
        <v>9.909999847412109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C3AI</t>
        </is>
      </c>
      <c r="P64" s="204" t="n"/>
      <c r="Q64" s="204" t="n"/>
      <c r="R64" s="204" t="n"/>
    </row>
    <row r="65" ht="12.75" customHeight="1" s="199">
      <c r="A65" s="72" t="inlineStr">
        <is>
          <t>일반계좌</t>
        </is>
      </c>
      <c r="B65" s="204" t="n">
        <v>57</v>
      </c>
      <c r="C65" s="217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0" t="n"/>
      <c r="H65" s="223" t="n">
        <v>63.31</v>
      </c>
      <c r="I65" s="220" t="n"/>
      <c r="J65" s="92" t="n">
        <v>42.45000076293945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나이키</t>
        </is>
      </c>
      <c r="P65" s="204" t="n"/>
      <c r="Q65" s="204" t="n"/>
      <c r="R65" s="204" t="n"/>
    </row>
    <row r="66" ht="12.75" customHeight="1" s="199">
      <c r="A66" s="72" t="inlineStr">
        <is>
          <t>일반계좌</t>
        </is>
      </c>
      <c r="B66" s="204" t="n">
        <v>58</v>
      </c>
      <c r="C66" s="217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0" t="n"/>
      <c r="H66" s="223" t="n">
        <v>340.5</v>
      </c>
      <c r="I66" s="220" t="n"/>
      <c r="J66" s="92" t="n">
        <v>414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TSMC</t>
        </is>
      </c>
      <c r="P66" s="204" t="n"/>
      <c r="Q66" s="204" t="n"/>
      <c r="R66" s="204" t="n"/>
    </row>
    <row r="67" ht="12.75" customHeight="1" s="199">
      <c r="A67" s="72" t="inlineStr">
        <is>
          <t>일반계좌</t>
        </is>
      </c>
      <c r="B67" s="204" t="n">
        <v>59</v>
      </c>
      <c r="C67" s="217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0" t="n"/>
      <c r="H67" s="223" t="n">
        <v>203.665</v>
      </c>
      <c r="I67" s="220" t="n"/>
      <c r="J67" s="92" t="n">
        <v>149.8899993896484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코인베이스</t>
        </is>
      </c>
      <c r="P67" s="204" t="n"/>
      <c r="Q67" s="204" t="n"/>
      <c r="R67" s="204" t="n"/>
    </row>
    <row r="68" ht="12.75" customHeight="1" s="199">
      <c r="A68" s="72" t="inlineStr">
        <is>
          <t>일반계좌</t>
        </is>
      </c>
      <c r="B68" s="204" t="n">
        <v>60</v>
      </c>
      <c r="C68" s="217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0" t="n"/>
      <c r="H68" s="223" t="n">
        <v>213.8</v>
      </c>
      <c r="I68" s="220" t="n"/>
      <c r="J68" s="92" t="n">
        <v>187.6300048828125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21">
        <f>IFERROR(M68/(K68-M68),)</f>
        <v/>
      </c>
      <c r="O68" s="86" t="inlineStr">
        <is>
          <t>에너지</t>
        </is>
      </c>
      <c r="P68" s="204" t="n"/>
      <c r="Q68" s="204" t="n"/>
      <c r="R68" s="204" t="n"/>
    </row>
    <row r="69" ht="12.75" customHeight="1" s="199">
      <c r="A69" s="72" t="inlineStr">
        <is>
          <t>일반계좌</t>
        </is>
      </c>
      <c r="B69" s="204" t="n">
        <v>61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3" t="n">
        <v>163.125</v>
      </c>
      <c r="I69" s="214" t="n"/>
      <c r="J69" s="92" t="n">
        <v>144.3899993896484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16">
        <f>IFERROR(M69/(K69-M69),)</f>
        <v/>
      </c>
      <c r="O69" s="86" t="inlineStr">
        <is>
          <t>오라클</t>
        </is>
      </c>
      <c r="P69" s="204" t="n"/>
      <c r="Q69" s="204" t="n"/>
      <c r="R69" s="204" t="n"/>
    </row>
    <row r="70" ht="12.75" customHeight="1" s="199">
      <c r="A70" s="72" t="inlineStr">
        <is>
          <t>일반계좌</t>
        </is>
      </c>
      <c r="B70" s="204" t="n">
        <v>62</v>
      </c>
      <c r="C70" s="217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0" t="n"/>
      <c r="H70" s="223" t="n">
        <v>9.51</v>
      </c>
      <c r="I70" s="220" t="n"/>
      <c r="J70" s="92" t="n">
        <v>7.800000190734863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조비</t>
        </is>
      </c>
      <c r="P70" s="204" t="n"/>
      <c r="Q70" s="204" t="n"/>
      <c r="R70" s="204" t="n"/>
    </row>
    <row r="71" ht="12.75" customHeight="1" s="199">
      <c r="A71" s="72" t="inlineStr">
        <is>
          <t>일반계좌</t>
        </is>
      </c>
      <c r="B71" s="204" t="n">
        <v>63</v>
      </c>
      <c r="C71" s="217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0" t="n"/>
      <c r="H71" s="223" t="n">
        <v>100.529</v>
      </c>
      <c r="I71" s="220" t="n"/>
      <c r="J71" s="92" t="n">
        <v>106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스벅</t>
        </is>
      </c>
      <c r="P71" s="204" t="n"/>
      <c r="Q71" s="204" t="n"/>
      <c r="R71" s="204" t="n"/>
    </row>
    <row r="72" ht="12.75" customHeight="1" s="199">
      <c r="A72" s="72" t="inlineStr">
        <is>
          <t>일반계좌</t>
        </is>
      </c>
      <c r="B72" s="204" t="n">
        <v>64</v>
      </c>
      <c r="C72" s="217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0" t="n"/>
      <c r="H72" s="223" t="n">
        <v>19.7113</v>
      </c>
      <c r="I72" s="220" t="n"/>
      <c r="J72" s="92" t="n">
        <v>9.380000114440918</v>
      </c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SMR</t>
        </is>
      </c>
      <c r="P72" s="204" t="n"/>
      <c r="Q72" s="204" t="n"/>
      <c r="R72" s="204" t="n"/>
    </row>
    <row r="73" ht="12.75" customHeight="1" s="199">
      <c r="A73" s="72" t="inlineStr">
        <is>
          <t>일반계좌</t>
        </is>
      </c>
      <c r="B73" s="204" t="n">
        <v>65</v>
      </c>
      <c r="C73" s="217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0" t="n">
        <v>32011</v>
      </c>
      <c r="H73" s="223" t="n"/>
      <c r="I73" s="218" t="n">
        <v>13640</v>
      </c>
      <c r="J73" s="219" t="n"/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21">
        <f>IFERROR(M73/(K73-M73),)</f>
        <v/>
      </c>
      <c r="O73" s="86" t="inlineStr">
        <is>
          <t>더본</t>
        </is>
      </c>
      <c r="P73" s="204" t="n"/>
      <c r="Q73" s="204" t="n"/>
      <c r="R73" s="204" t="n"/>
    </row>
    <row r="74" ht="12.75" customHeight="1" s="199">
      <c r="A74" s="72" t="inlineStr">
        <is>
          <t>일반계좌</t>
        </is>
      </c>
      <c r="B74" s="204" t="n">
        <v>66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3" t="n">
        <v>63.42</v>
      </c>
      <c r="I74" s="214" t="n"/>
      <c r="J74" s="92" t="n">
        <v>42.9900016784668</v>
      </c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오클로</t>
        </is>
      </c>
      <c r="P74" s="204" t="n"/>
      <c r="Q74" s="204" t="n"/>
      <c r="R74" s="204" t="n"/>
    </row>
    <row r="75" ht="12.75" customHeight="1" s="199">
      <c r="A75" s="72" t="inlineStr">
        <is>
          <t>일반계좌</t>
        </is>
      </c>
      <c r="B75" s="204" t="n">
        <v>67</v>
      </c>
      <c r="C75" s="209" t="n"/>
      <c r="D75" s="227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24" t="n">
        <v>20403</v>
      </c>
      <c r="H75" s="228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16">
        <f>IFERROR(M75/(K75-M75),)</f>
        <v/>
      </c>
      <c r="O75" s="86" t="inlineStr">
        <is>
          <t>현금</t>
        </is>
      </c>
      <c r="P75" s="204" t="n"/>
      <c r="Q75" s="204" t="n"/>
      <c r="R75" s="204" t="n"/>
    </row>
    <row r="76" ht="12.75" customHeight="1" s="199">
      <c r="A76" s="72" t="inlineStr">
        <is>
          <t>일반계좌</t>
        </is>
      </c>
      <c r="B76" s="204" t="n">
        <v>68</v>
      </c>
      <c r="C76" s="217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0" t="n">
        <v>0</v>
      </c>
      <c r="H76" s="223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예수금</t>
        </is>
      </c>
      <c r="P76" s="204" t="n"/>
      <c r="Q76" s="204" t="n"/>
      <c r="R76" s="204" t="n"/>
    </row>
    <row r="77" ht="12.75" customHeight="1" s="199">
      <c r="A77" s="204" t="inlineStr">
        <is>
          <t>CMA</t>
        </is>
      </c>
      <c r="B77" s="204" t="n">
        <v>69</v>
      </c>
      <c r="C77" s="217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25" t="n">
        <v>78869189</v>
      </c>
      <c r="H77" s="226" t="n"/>
      <c r="I77" s="214">
        <f>G77</f>
        <v/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>현금</t>
        </is>
      </c>
      <c r="P77" s="204" t="n"/>
      <c r="Q77" s="204" t="n"/>
      <c r="R77" s="204" t="n"/>
    </row>
    <row r="78" ht="12.75" customHeight="1" s="199">
      <c r="A78" s="204" t="inlineStr">
        <is>
          <t>IRP</t>
        </is>
      </c>
      <c r="B78" s="204" t="n">
        <v>70</v>
      </c>
      <c r="C78" s="217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0" t="n">
        <v>17065</v>
      </c>
      <c r="H78" s="223" t="n"/>
      <c r="I78" s="218" t="n">
        <v>15595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 xml:space="preserve">미국채 </t>
        </is>
      </c>
      <c r="P78" s="204" t="n"/>
      <c r="Q78" s="204" t="n"/>
      <c r="R78" s="204" t="n"/>
    </row>
    <row r="79" ht="12.75" customHeight="1" s="199">
      <c r="A79" s="204" t="inlineStr">
        <is>
          <t>IRP</t>
        </is>
      </c>
      <c r="B79" s="204" t="n">
        <v>71</v>
      </c>
      <c r="C79" s="217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0" t="n">
        <v>177652</v>
      </c>
      <c r="H79" s="223" t="n"/>
      <c r="I79" s="218" t="n">
        <v>184650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나스닥</t>
        </is>
      </c>
      <c r="P79" s="204" t="n"/>
      <c r="Q79" s="204" t="n"/>
      <c r="R79" s="204" t="n"/>
    </row>
    <row r="80" ht="12.75" customHeight="1" s="199">
      <c r="A80" s="204" t="inlineStr">
        <is>
          <t>IRP</t>
        </is>
      </c>
      <c r="B80" s="204" t="n">
        <v>72</v>
      </c>
      <c r="C80" s="217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0" t="n">
        <v>24648</v>
      </c>
      <c r="H80" s="223" t="n"/>
      <c r="I80" s="218" t="n">
        <v>31975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테크</t>
        </is>
      </c>
      <c r="P80" s="204" t="n"/>
      <c r="Q80" s="204" t="n"/>
      <c r="R80" s="204" t="n"/>
    </row>
    <row r="81" ht="12.75" customHeight="1" s="199">
      <c r="A81" s="204" t="inlineStr">
        <is>
          <t>IRP</t>
        </is>
      </c>
      <c r="B81" s="204" t="n">
        <v>73</v>
      </c>
      <c r="C81" s="217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0" t="n">
        <v>18437</v>
      </c>
      <c r="H81" s="223" t="n"/>
      <c r="I81" s="218" t="n">
        <v>22720</v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21">
        <f>IFERROR(M81/(K81-M81),)</f>
        <v/>
      </c>
      <c r="O81" s="86" t="inlineStr">
        <is>
          <t>슨피</t>
        </is>
      </c>
      <c r="P81" s="204" t="n"/>
      <c r="Q81" s="204" t="n"/>
      <c r="R81" s="204" t="n"/>
    </row>
    <row r="82">
      <c r="A82" s="72" t="inlineStr">
        <is>
          <t>은행예금</t>
        </is>
      </c>
      <c r="B82" s="204" t="n">
        <v>74</v>
      </c>
      <c r="C82" s="104" t="n"/>
      <c r="D82" s="227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3000000</v>
      </c>
      <c r="H82" s="223" t="n"/>
      <c r="I82" s="214">
        <f>G82</f>
        <v/>
      </c>
      <c r="J82" s="219" t="n"/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86" t="inlineStr">
        <is>
          <t>예금</t>
        </is>
      </c>
      <c r="P82" s="204" t="n"/>
      <c r="Q82" s="204" t="n"/>
      <c r="R82" s="204" t="n"/>
    </row>
    <row r="83" ht="12.75" customHeight="1" s="199">
      <c r="A83" s="116" t="inlineStr">
        <is>
          <t>TOSS</t>
        </is>
      </c>
      <c r="B83" s="204" t="n">
        <v>75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29" t="n">
        <v>181.32</v>
      </c>
      <c r="I83" s="86" t="n"/>
      <c r="J83" s="123" t="n">
        <v>186.4100036621094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5" t="inlineStr">
        <is>
          <t>셰브론</t>
        </is>
      </c>
      <c r="P83" s="204" t="n"/>
      <c r="Q83" s="204" t="n"/>
      <c r="R83" s="204" t="n"/>
    </row>
    <row r="84" ht="12.75" customHeight="1" s="199">
      <c r="A84" s="116" t="inlineStr">
        <is>
          <t>TOSS</t>
        </is>
      </c>
      <c r="B84" s="204" t="n">
        <v>76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29" t="n">
        <v>144.41</v>
      </c>
      <c r="I84" s="86" t="n"/>
      <c r="J84" s="124" t="n">
        <v>151.6300048828125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엑슨모빌</t>
        </is>
      </c>
      <c r="P84" s="204" t="n"/>
      <c r="Q84" s="204" t="n"/>
      <c r="R84" s="204" t="n"/>
    </row>
    <row r="85" ht="12.75" customHeight="1" s="199">
      <c r="A85" s="116" t="inlineStr">
        <is>
          <t>TOSS</t>
        </is>
      </c>
      <c r="B85" s="204" t="n">
        <v>77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29" t="n">
        <v>115.28</v>
      </c>
      <c r="I85" s="86" t="n"/>
      <c r="J85" s="124" t="n">
        <v>112.3399963378906</v>
      </c>
      <c r="K85" s="220">
        <f>IFERROR(I85*F85+J85*$J$5*F85,)</f>
        <v/>
      </c>
      <c r="L85" s="90">
        <f>IFERROR(K85/$K$8,)</f>
        <v/>
      </c>
      <c r="M85" s="215">
        <f>IFERROR(K85-G85*F85-H85*$J$5*F85,)</f>
        <v/>
      </c>
      <c r="N85" s="216">
        <f>IFERROR(M85/(K85-M85),)</f>
        <v/>
      </c>
      <c r="O85" s="126" t="inlineStr">
        <is>
          <t>월마트</t>
        </is>
      </c>
      <c r="P85" s="204" t="n"/>
      <c r="Q85" s="204" t="n"/>
      <c r="R85" s="204" t="n"/>
    </row>
    <row r="86" ht="12.75" customHeight="1" s="199">
      <c r="A86" s="204" t="n"/>
      <c r="B86" s="204" t="n"/>
      <c r="C86" s="117" t="n"/>
      <c r="D86" s="117" t="n"/>
      <c r="E86" s="118" t="n"/>
      <c r="F86" s="117" t="n"/>
      <c r="G86" s="117" t="n"/>
      <c r="H86" s="117" t="n"/>
      <c r="I86" s="204" t="n"/>
      <c r="L86" s="204" t="n"/>
      <c r="M86" s="204" t="n"/>
      <c r="N86" s="204" t="n"/>
      <c r="O86" s="127" t="n"/>
      <c r="P86" s="204" t="n"/>
      <c r="Q86" s="204" t="n"/>
      <c r="R86" s="204" t="n"/>
    </row>
    <row r="87" ht="12.75" customHeight="1" s="199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199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199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199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199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199">
      <c r="A92" s="204" t="n"/>
      <c r="B92" s="204" t="n"/>
      <c r="C92" s="204" t="n"/>
      <c r="D92" s="204" t="n"/>
      <c r="E92" s="13" t="n"/>
      <c r="F92" s="204" t="n"/>
      <c r="G92" s="204" t="n"/>
      <c r="H92" s="204" t="n"/>
      <c r="I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199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199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199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199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199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199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199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199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199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199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199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199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199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199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199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199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199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199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199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199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199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199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199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199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199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199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199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199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199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199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199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199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199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199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199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199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199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199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199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199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199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199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199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199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199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199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199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199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199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199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199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199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199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199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199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199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199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199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199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199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199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199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199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199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199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199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199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199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199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199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199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199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199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199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199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199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199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199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199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199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199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199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199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199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199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199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199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199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199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199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199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199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199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199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199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199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199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199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199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199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199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199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199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199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199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199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199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199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199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199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199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199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199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199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199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199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199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199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199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199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199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199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199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199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199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199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199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199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199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199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199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199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199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199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199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199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199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199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199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199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199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199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199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199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199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199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199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199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199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199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199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199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199">
      <c r="A1022" s="204" t="n"/>
      <c r="B1022" s="204" t="n"/>
      <c r="C1022" s="204" t="n"/>
      <c r="D1022" s="204" t="n"/>
      <c r="E1022" s="204" t="n"/>
      <c r="F1022" s="204" t="n"/>
      <c r="G1022" s="204" t="n"/>
      <c r="H1022" s="204" t="n"/>
      <c r="I1022" s="204" t="n"/>
      <c r="J1022" s="204" t="n"/>
      <c r="K1022" s="204" t="n"/>
      <c r="L1022" s="204" t="n"/>
      <c r="M1022" s="204" t="n"/>
      <c r="N1022" s="204" t="n"/>
      <c r="O1022" s="204" t="n"/>
      <c r="P1022" s="204" t="n"/>
      <c r="Q1022" s="204" t="n"/>
      <c r="R1022" s="204" t="n"/>
    </row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selection activeCell="A1" sqref="A1"/>
    </sheetView>
  </sheetViews>
  <sheetFormatPr baseColWidth="8" defaultRowHeight="15"/>
  <cols>
    <col width="8" customWidth="1" style="199" min="1" max="1"/>
    <col width="12" customWidth="1" style="199" min="2" max="2"/>
    <col width="8" customWidth="1" style="199" min="3" max="3"/>
    <col width="12" customWidth="1" style="199" min="4" max="4"/>
    <col width="36" customWidth="1" style="199" min="5" max="5"/>
    <col width="10" customWidth="1" style="199" min="6" max="6"/>
    <col width="14" customWidth="1" style="199" min="7" max="7"/>
    <col width="10" customWidth="1" style="199" min="8" max="8"/>
    <col width="10" customWidth="1" style="199" min="9" max="9"/>
    <col width="8" customWidth="1" style="199" min="12" max="12"/>
    <col width="12" customWidth="1" style="199" min="13" max="13"/>
    <col width="14" customWidth="1" style="199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SUM('계좌현황'!K9:K85)</f>
        <v/>
      </c>
      <c r="C3" t="inlineStr">
        <is>
          <t>종목수</t>
        </is>
      </c>
      <c r="D3" s="274">
        <f>COUNTA('계좌현황'!E9:E85)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COUNTIF('계좌현황'!A9:A85,A7)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COUNTIF('계좌현황'!A9:A85,A8)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COUNTIF('계좌현황'!A9:A85,A9)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COUNTIF('계좌현황'!A9:A85,A10)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COUNTIF('계좌현황'!A9:A85,A11)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COUNTIF('계좌현황'!A9:A85,A12)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COUNTIF('계좌현황'!A9:A85,A13)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COUNTIF('계좌현황'!A9:A85,A14)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COUNTIF('계좌현황'!A9:A85,A15)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199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IFERROR(INDEX('계좌현황'!A:A,INDEX($L$20:$L$96,MATCH(LARGE($N$20:$N$96,1),$N$20:$N$96,0))),"")</f>
        <v/>
      </c>
      <c r="C20" s="276">
        <f>IFERROR(INDEX('계좌현황'!C:C,INDEX($L$20:$L$96,MATCH(LARGE($N$20:$N$96,1),$N$20:$N$96,0))),"")</f>
        <v/>
      </c>
      <c r="D20" s="276">
        <f>IFERROR(INDEX('계좌현황'!D:D,INDEX($L$20:$L$96,MATCH(LARGE($N$20:$N$96,1),$N$20:$N$96,0))),"")</f>
        <v/>
      </c>
      <c r="E20" s="276">
        <f>IFERROR(INDEX('계좌현황'!E:E,INDEX($L$20:$L$96,MATCH(LARGE($N$20:$N$96,1),$N$20:$N$96,0))),"")</f>
        <v/>
      </c>
      <c r="F20" s="306">
        <f>IFERROR(INDEX('계좌현황'!F:F,INDEX($L$20:$L$96,MATCH(LARGE($N$20:$N$96,1),$N$20:$N$96,0))),"")</f>
        <v/>
      </c>
      <c r="G20" s="307">
        <f>IFERROR(INDEX('계좌현황'!K:K,INDEX($L$20:$L$96,MATCH(LARGE($N$20:$N$96,1),$N$20:$N$96,0))),0)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IFERROR(INDEX('계좌현황'!A:A,INDEX($L$20:$L$96,MATCH(LARGE($N$20:$N$96,2),$N$20:$N$96,0))),"")</f>
        <v/>
      </c>
      <c r="C21" s="279">
        <f>IFERROR(INDEX('계좌현황'!C:C,INDEX($L$20:$L$96,MATCH(LARGE($N$20:$N$96,2),$N$20:$N$96,0))),"")</f>
        <v/>
      </c>
      <c r="D21" s="279">
        <f>IFERROR(INDEX('계좌현황'!D:D,INDEX($L$20:$L$96,MATCH(LARGE($N$20:$N$96,2),$N$20:$N$96,0))),"")</f>
        <v/>
      </c>
      <c r="E21" s="279">
        <f>IFERROR(INDEX('계좌현황'!E:E,INDEX($L$20:$L$96,MATCH(LARGE($N$20:$N$96,2),$N$20:$N$96,0))),"")</f>
        <v/>
      </c>
      <c r="F21" s="309">
        <f>IFERROR(INDEX('계좌현황'!F:F,INDEX($L$20:$L$96,MATCH(LARGE($N$20:$N$96,2),$N$20:$N$96,0))),"")</f>
        <v/>
      </c>
      <c r="G21" s="310">
        <f>IFERROR(INDEX('계좌현황'!K:K,INDEX($L$20:$L$96,MATCH(LARGE($N$20:$N$96,2),$N$20:$N$96,0))),0)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IFERROR(INDEX('계좌현황'!A:A,INDEX($L$20:$L$96,MATCH(LARGE($N$20:$N$96,3),$N$20:$N$96,0))),"")</f>
        <v/>
      </c>
      <c r="C22" s="279">
        <f>IFERROR(INDEX('계좌현황'!C:C,INDEX($L$20:$L$96,MATCH(LARGE($N$20:$N$96,3),$N$20:$N$96,0))),"")</f>
        <v/>
      </c>
      <c r="D22" s="279">
        <f>IFERROR(INDEX('계좌현황'!D:D,INDEX($L$20:$L$96,MATCH(LARGE($N$20:$N$96,3),$N$20:$N$96,0))),"")</f>
        <v/>
      </c>
      <c r="E22" s="279">
        <f>IFERROR(INDEX('계좌현황'!E:E,INDEX($L$20:$L$96,MATCH(LARGE($N$20:$N$96,3),$N$20:$N$96,0))),"")</f>
        <v/>
      </c>
      <c r="F22" s="309">
        <f>IFERROR(INDEX('계좌현황'!F:F,INDEX($L$20:$L$96,MATCH(LARGE($N$20:$N$96,3),$N$20:$N$96,0))),"")</f>
        <v/>
      </c>
      <c r="G22" s="310">
        <f>IFERROR(INDEX('계좌현황'!K:K,INDEX($L$20:$L$96,MATCH(LARGE($N$20:$N$96,3),$N$20:$N$96,0))),0)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IFERROR(INDEX('계좌현황'!A:A,INDEX($L$20:$L$96,MATCH(LARGE($N$20:$N$96,4),$N$20:$N$96,0))),"")</f>
        <v/>
      </c>
      <c r="C23" s="276">
        <f>IFERROR(INDEX('계좌현황'!C:C,INDEX($L$20:$L$96,MATCH(LARGE($N$20:$N$96,4),$N$20:$N$96,0))),"")</f>
        <v/>
      </c>
      <c r="D23" s="276">
        <f>IFERROR(INDEX('계좌현황'!D:D,INDEX($L$20:$L$96,MATCH(LARGE($N$20:$N$96,4),$N$20:$N$96,0))),"")</f>
        <v/>
      </c>
      <c r="E23" s="276">
        <f>IFERROR(INDEX('계좌현황'!E:E,INDEX($L$20:$L$96,MATCH(LARGE($N$20:$N$96,4),$N$20:$N$96,0))),"")</f>
        <v/>
      </c>
      <c r="F23" s="306">
        <f>IFERROR(INDEX('계좌현황'!F:F,INDEX($L$20:$L$96,MATCH(LARGE($N$20:$N$96,4),$N$20:$N$96,0))),"")</f>
        <v/>
      </c>
      <c r="G23" s="307">
        <f>IFERROR(INDEX('계좌현황'!K:K,INDEX($L$20:$L$96,MATCH(LARGE($N$20:$N$96,4),$N$20:$N$96,0))),0)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IFERROR(INDEX('계좌현황'!A:A,INDEX($L$20:$L$96,MATCH(LARGE($N$20:$N$96,5),$N$20:$N$96,0))),"")</f>
        <v/>
      </c>
      <c r="C24" s="276">
        <f>IFERROR(INDEX('계좌현황'!C:C,INDEX($L$20:$L$96,MATCH(LARGE($N$20:$N$96,5),$N$20:$N$96,0))),"")</f>
        <v/>
      </c>
      <c r="D24" s="276">
        <f>IFERROR(INDEX('계좌현황'!D:D,INDEX($L$20:$L$96,MATCH(LARGE($N$20:$N$96,5),$N$20:$N$96,0))),"")</f>
        <v/>
      </c>
      <c r="E24" s="276">
        <f>IFERROR(INDEX('계좌현황'!E:E,INDEX($L$20:$L$96,MATCH(LARGE($N$20:$N$96,5),$N$20:$N$96,0))),"")</f>
        <v/>
      </c>
      <c r="F24" s="306">
        <f>IFERROR(INDEX('계좌현황'!F:F,INDEX($L$20:$L$96,MATCH(LARGE($N$20:$N$96,5),$N$20:$N$96,0))),"")</f>
        <v/>
      </c>
      <c r="G24" s="307">
        <f>IFERROR(INDEX('계좌현황'!K:K,INDEX($L$20:$L$96,MATCH(LARGE($N$20:$N$96,5),$N$20:$N$96,0))),0)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IFERROR(INDEX('계좌현황'!A:A,INDEX($L$20:$L$96,MATCH(LARGE($N$20:$N$96,6),$N$20:$N$96,0))),"")</f>
        <v/>
      </c>
      <c r="C25" s="276">
        <f>IFERROR(INDEX('계좌현황'!C:C,INDEX($L$20:$L$96,MATCH(LARGE($N$20:$N$96,6),$N$20:$N$96,0))),"")</f>
        <v/>
      </c>
      <c r="D25" s="276">
        <f>IFERROR(INDEX('계좌현황'!D:D,INDEX($L$20:$L$96,MATCH(LARGE($N$20:$N$96,6),$N$20:$N$96,0))),"")</f>
        <v/>
      </c>
      <c r="E25" s="276">
        <f>IFERROR(INDEX('계좌현황'!E:E,INDEX($L$20:$L$96,MATCH(LARGE($N$20:$N$96,6),$N$20:$N$96,0))),"")</f>
        <v/>
      </c>
      <c r="F25" s="306">
        <f>IFERROR(INDEX('계좌현황'!F:F,INDEX($L$20:$L$96,MATCH(LARGE($N$20:$N$96,6),$N$20:$N$96,0))),"")</f>
        <v/>
      </c>
      <c r="G25" s="307">
        <f>IFERROR(INDEX('계좌현황'!K:K,INDEX($L$20:$L$96,MATCH(LARGE($N$20:$N$96,6),$N$20:$N$96,0))),0)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IFERROR(INDEX('계좌현황'!A:A,INDEX($L$20:$L$96,MATCH(LARGE($N$20:$N$96,7),$N$20:$N$96,0))),"")</f>
        <v/>
      </c>
      <c r="C26" s="276">
        <f>IFERROR(INDEX('계좌현황'!C:C,INDEX($L$20:$L$96,MATCH(LARGE($N$20:$N$96,7),$N$20:$N$96,0))),"")</f>
        <v/>
      </c>
      <c r="D26" s="276">
        <f>IFERROR(INDEX('계좌현황'!D:D,INDEX($L$20:$L$96,MATCH(LARGE($N$20:$N$96,7),$N$20:$N$96,0))),"")</f>
        <v/>
      </c>
      <c r="E26" s="276">
        <f>IFERROR(INDEX('계좌현황'!E:E,INDEX($L$20:$L$96,MATCH(LARGE($N$20:$N$96,7),$N$20:$N$96,0))),"")</f>
        <v/>
      </c>
      <c r="F26" s="306">
        <f>IFERROR(INDEX('계좌현황'!F:F,INDEX($L$20:$L$96,MATCH(LARGE($N$20:$N$96,7),$N$20:$N$96,0))),"")</f>
        <v/>
      </c>
      <c r="G26" s="307">
        <f>IFERROR(INDEX('계좌현황'!K:K,INDEX($L$20:$L$96,MATCH(LARGE($N$20:$N$96,7),$N$20:$N$96,0))),0)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IFERROR(INDEX('계좌현황'!A:A,INDEX($L$20:$L$96,MATCH(LARGE($N$20:$N$96,8),$N$20:$N$96,0))),"")</f>
        <v/>
      </c>
      <c r="C27" s="285">
        <f>IFERROR(INDEX('계좌현황'!C:C,INDEX($L$20:$L$96,MATCH(LARGE($N$20:$N$96,8),$N$20:$N$96,0))),"")</f>
        <v/>
      </c>
      <c r="D27" s="285">
        <f>IFERROR(INDEX('계좌현황'!D:D,INDEX($L$20:$L$96,MATCH(LARGE($N$20:$N$96,8),$N$20:$N$96,0))),"")</f>
        <v/>
      </c>
      <c r="E27" s="285">
        <f>IFERROR(INDEX('계좌현황'!E:E,INDEX($L$20:$L$96,MATCH(LARGE($N$20:$N$96,8),$N$20:$N$96,0))),"")</f>
        <v/>
      </c>
      <c r="F27" s="315">
        <f>IFERROR(INDEX('계좌현황'!F:F,INDEX($L$20:$L$96,MATCH(LARGE($N$20:$N$96,8),$N$20:$N$96,0))),"")</f>
        <v/>
      </c>
      <c r="G27" s="316">
        <f>IFERROR(INDEX('계좌현황'!K:K,INDEX($L$20:$L$96,MATCH(LARGE($N$20:$N$96,8),$N$20:$N$96,0))),0)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IFERROR(INDEX('계좌현황'!A:A,INDEX($L$20:$L$96,MATCH(LARGE($N$20:$N$96,9),$N$20:$N$96,0))),"")</f>
        <v/>
      </c>
      <c r="C28" s="276">
        <f>IFERROR(INDEX('계좌현황'!C:C,INDEX($L$20:$L$96,MATCH(LARGE($N$20:$N$96,9),$N$20:$N$96,0))),"")</f>
        <v/>
      </c>
      <c r="D28" s="276">
        <f>IFERROR(INDEX('계좌현황'!D:D,INDEX($L$20:$L$96,MATCH(LARGE($N$20:$N$96,9),$N$20:$N$96,0))),"")</f>
        <v/>
      </c>
      <c r="E28" s="276">
        <f>IFERROR(INDEX('계좌현황'!E:E,INDEX($L$20:$L$96,MATCH(LARGE($N$20:$N$96,9),$N$20:$N$96,0))),"")</f>
        <v/>
      </c>
      <c r="F28" s="306">
        <f>IFERROR(INDEX('계좌현황'!F:F,INDEX($L$20:$L$96,MATCH(LARGE($N$20:$N$96,9),$N$20:$N$96,0))),"")</f>
        <v/>
      </c>
      <c r="G28" s="307">
        <f>IFERROR(INDEX('계좌현황'!K:K,INDEX($L$20:$L$96,MATCH(LARGE($N$20:$N$96,9),$N$20:$N$96,0))),0)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IFERROR(INDEX('계좌현황'!A:A,INDEX($L$20:$L$96,MATCH(LARGE($N$20:$N$96,10),$N$20:$N$96,0))),"")</f>
        <v/>
      </c>
      <c r="C29" s="276">
        <f>IFERROR(INDEX('계좌현황'!C:C,INDEX($L$20:$L$96,MATCH(LARGE($N$20:$N$96,10),$N$20:$N$96,0))),"")</f>
        <v/>
      </c>
      <c r="D29" s="276">
        <f>IFERROR(INDEX('계좌현황'!D:D,INDEX($L$20:$L$96,MATCH(LARGE($N$20:$N$96,10),$N$20:$N$96,0))),"")</f>
        <v/>
      </c>
      <c r="E29" s="276">
        <f>IFERROR(INDEX('계좌현황'!E:E,INDEX($L$20:$L$96,MATCH(LARGE($N$20:$N$96,10),$N$20:$N$96,0))),"")</f>
        <v/>
      </c>
      <c r="F29" s="306">
        <f>IFERROR(INDEX('계좌현황'!F:F,INDEX($L$20:$L$96,MATCH(LARGE($N$20:$N$96,10),$N$20:$N$96,0))),"")</f>
        <v/>
      </c>
      <c r="G29" s="307">
        <f>IFERROR(INDEX('계좌현황'!K:K,INDEX($L$20:$L$96,MATCH(LARGE($N$20:$N$96,10),$N$20:$N$96,0))),0)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IFERROR(INDEX('계좌현황'!A:A,INDEX($L$20:$L$96,MATCH(LARGE($N$20:$N$96,11),$N$20:$N$96,0))),"")</f>
        <v/>
      </c>
      <c r="C30" s="285">
        <f>IFERROR(INDEX('계좌현황'!C:C,INDEX($L$20:$L$96,MATCH(LARGE($N$20:$N$96,11),$N$20:$N$96,0))),"")</f>
        <v/>
      </c>
      <c r="D30" s="285">
        <f>IFERROR(INDEX('계좌현황'!D:D,INDEX($L$20:$L$96,MATCH(LARGE($N$20:$N$96,11),$N$20:$N$96,0))),"")</f>
        <v/>
      </c>
      <c r="E30" s="285">
        <f>IFERROR(INDEX('계좌현황'!E:E,INDEX($L$20:$L$96,MATCH(LARGE($N$20:$N$96,11),$N$20:$N$96,0))),"")</f>
        <v/>
      </c>
      <c r="F30" s="315">
        <f>IFERROR(INDEX('계좌현황'!F:F,INDEX($L$20:$L$96,MATCH(LARGE($N$20:$N$96,11),$N$20:$N$96,0))),"")</f>
        <v/>
      </c>
      <c r="G30" s="316">
        <f>IFERROR(INDEX('계좌현황'!K:K,INDEX($L$20:$L$96,MATCH(LARGE($N$20:$N$96,11),$N$20:$N$96,0))),0)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85" t="n">
        <v>12</v>
      </c>
      <c r="B31" s="285">
        <f>IFERROR(INDEX('계좌현황'!A:A,INDEX($L$20:$L$96,MATCH(LARGE($N$20:$N$96,12),$N$20:$N$96,0))),"")</f>
        <v/>
      </c>
      <c r="C31" s="285">
        <f>IFERROR(INDEX('계좌현황'!C:C,INDEX($L$20:$L$96,MATCH(LARGE($N$20:$N$96,12),$N$20:$N$96,0))),"")</f>
        <v/>
      </c>
      <c r="D31" s="285">
        <f>IFERROR(INDEX('계좌현황'!D:D,INDEX($L$20:$L$96,MATCH(LARGE($N$20:$N$96,12),$N$20:$N$96,0))),"")</f>
        <v/>
      </c>
      <c r="E31" s="285">
        <f>IFERROR(INDEX('계좌현황'!E:E,INDEX($L$20:$L$96,MATCH(LARGE($N$20:$N$96,12),$N$20:$N$96,0))),"")</f>
        <v/>
      </c>
      <c r="F31" s="315">
        <f>IFERROR(INDEX('계좌현황'!F:F,INDEX($L$20:$L$96,MATCH(LARGE($N$20:$N$96,12),$N$20:$N$96,0))),"")</f>
        <v/>
      </c>
      <c r="G31" s="316">
        <f>IFERROR(INDEX('계좌현황'!K:K,INDEX($L$20:$L$96,MATCH(LARGE($N$20:$N$96,12),$N$20:$N$96,0))),0)</f>
        <v/>
      </c>
      <c r="H31" s="317">
        <f>IF($B$3=0,0,G31/$B$3)</f>
        <v/>
      </c>
      <c r="I31" s="317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76" t="n">
        <v>13</v>
      </c>
      <c r="B32" s="276">
        <f>IFERROR(INDEX('계좌현황'!A:A,INDEX($L$20:$L$96,MATCH(LARGE($N$20:$N$96,13),$N$20:$N$96,0))),"")</f>
        <v/>
      </c>
      <c r="C32" s="276">
        <f>IFERROR(INDEX('계좌현황'!C:C,INDEX($L$20:$L$96,MATCH(LARGE($N$20:$N$96,13),$N$20:$N$96,0))),"")</f>
        <v/>
      </c>
      <c r="D32" s="276">
        <f>IFERROR(INDEX('계좌현황'!D:D,INDEX($L$20:$L$96,MATCH(LARGE($N$20:$N$96,13),$N$20:$N$96,0))),"")</f>
        <v/>
      </c>
      <c r="E32" s="276">
        <f>IFERROR(INDEX('계좌현황'!E:E,INDEX($L$20:$L$96,MATCH(LARGE($N$20:$N$96,13),$N$20:$N$96,0))),"")</f>
        <v/>
      </c>
      <c r="F32" s="306">
        <f>IFERROR(INDEX('계좌현황'!F:F,INDEX($L$20:$L$96,MATCH(LARGE($N$20:$N$96,13),$N$20:$N$96,0))),"")</f>
        <v/>
      </c>
      <c r="G32" s="307">
        <f>IFERROR(INDEX('계좌현황'!K:K,INDEX($L$20:$L$96,MATCH(LARGE($N$20:$N$96,13),$N$20:$N$96,0))),0)</f>
        <v/>
      </c>
      <c r="H32" s="308">
        <f>IF($B$3=0,0,G32/$B$3)</f>
        <v/>
      </c>
      <c r="I32" s="308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79" t="n">
        <v>14</v>
      </c>
      <c r="B33" s="279">
        <f>IFERROR(INDEX('계좌현황'!A:A,INDEX($L$20:$L$96,MATCH(LARGE($N$20:$N$96,14),$N$20:$N$96,0))),"")</f>
        <v/>
      </c>
      <c r="C33" s="279">
        <f>IFERROR(INDEX('계좌현황'!C:C,INDEX($L$20:$L$96,MATCH(LARGE($N$20:$N$96,14),$N$20:$N$96,0))),"")</f>
        <v/>
      </c>
      <c r="D33" s="279">
        <f>IFERROR(INDEX('계좌현황'!D:D,INDEX($L$20:$L$96,MATCH(LARGE($N$20:$N$96,14),$N$20:$N$96,0))),"")</f>
        <v/>
      </c>
      <c r="E33" s="279">
        <f>IFERROR(INDEX('계좌현황'!E:E,INDEX($L$20:$L$96,MATCH(LARGE($N$20:$N$96,14),$N$20:$N$96,0))),"")</f>
        <v/>
      </c>
      <c r="F33" s="309">
        <f>IFERROR(INDEX('계좌현황'!F:F,INDEX($L$20:$L$96,MATCH(LARGE($N$20:$N$96,14),$N$20:$N$96,0))),"")</f>
        <v/>
      </c>
      <c r="G33" s="310">
        <f>IFERROR(INDEX('계좌현황'!K:K,INDEX($L$20:$L$96,MATCH(LARGE($N$20:$N$96,14),$N$20:$N$96,0))),0)</f>
        <v/>
      </c>
      <c r="H33" s="311">
        <f>IF($B$3=0,0,G33/$B$3)</f>
        <v/>
      </c>
      <c r="I33" s="311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IFERROR(INDEX('계좌현황'!A:A,INDEX($L$20:$L$96,MATCH(LARGE($N$20:$N$96,15),$N$20:$N$96,0))),"")</f>
        <v/>
      </c>
      <c r="C34" s="279">
        <f>IFERROR(INDEX('계좌현황'!C:C,INDEX($L$20:$L$96,MATCH(LARGE($N$20:$N$96,15),$N$20:$N$96,0))),"")</f>
        <v/>
      </c>
      <c r="D34" s="279">
        <f>IFERROR(INDEX('계좌현황'!D:D,INDEX($L$20:$L$96,MATCH(LARGE($N$20:$N$96,15),$N$20:$N$96,0))),"")</f>
        <v/>
      </c>
      <c r="E34" s="279">
        <f>IFERROR(INDEX('계좌현황'!E:E,INDEX($L$20:$L$96,MATCH(LARGE($N$20:$N$96,15),$N$20:$N$96,0))),"")</f>
        <v/>
      </c>
      <c r="F34" s="309">
        <f>IFERROR(INDEX('계좌현황'!F:F,INDEX($L$20:$L$96,MATCH(LARGE($N$20:$N$96,15),$N$20:$N$96,0))),"")</f>
        <v/>
      </c>
      <c r="G34" s="310">
        <f>IFERROR(INDEX('계좌현황'!K:K,INDEX($L$20:$L$96,MATCH(LARGE($N$20:$N$96,15),$N$20:$N$96,0))),0)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IFERROR(INDEX('계좌현황'!A:A,INDEX($L$20:$L$96,MATCH(LARGE($N$20:$N$96,16),$N$20:$N$96,0))),"")</f>
        <v/>
      </c>
      <c r="C35" s="288">
        <f>IFERROR(INDEX('계좌현황'!C:C,INDEX($L$20:$L$96,MATCH(LARGE($N$20:$N$96,16),$N$20:$N$96,0))),"")</f>
        <v/>
      </c>
      <c r="D35" s="288">
        <f>IFERROR(INDEX('계좌현황'!D:D,INDEX($L$20:$L$96,MATCH(LARGE($N$20:$N$96,16),$N$20:$N$96,0))),"")</f>
        <v/>
      </c>
      <c r="E35" s="288">
        <f>IFERROR(INDEX('계좌현황'!E:E,INDEX($L$20:$L$96,MATCH(LARGE($N$20:$N$96,16),$N$20:$N$96,0))),"")</f>
        <v/>
      </c>
      <c r="F35" s="318">
        <f>IFERROR(INDEX('계좌현황'!F:F,INDEX($L$20:$L$96,MATCH(LARGE($N$20:$N$96,16),$N$20:$N$96,0))),"")</f>
        <v/>
      </c>
      <c r="G35" s="319">
        <f>IFERROR(INDEX('계좌현황'!K:K,INDEX($L$20:$L$96,MATCH(LARGE($N$20:$N$96,16),$N$20:$N$96,0))),0)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4" t="n">
        <v>17</v>
      </c>
      <c r="B36" s="294">
        <f>IFERROR(INDEX('계좌현황'!A:A,INDEX($L$20:$L$96,MATCH(LARGE($N$20:$N$96,17),$N$20:$N$96,0))),"")</f>
        <v/>
      </c>
      <c r="C36" s="294">
        <f>IFERROR(INDEX('계좌현황'!C:C,INDEX($L$20:$L$96,MATCH(LARGE($N$20:$N$96,17),$N$20:$N$96,0))),"")</f>
        <v/>
      </c>
      <c r="D36" s="294">
        <f>IFERROR(INDEX('계좌현황'!D:D,INDEX($L$20:$L$96,MATCH(LARGE($N$20:$N$96,17),$N$20:$N$96,0))),"")</f>
        <v/>
      </c>
      <c r="E36" s="294">
        <f>IFERROR(INDEX('계좌현황'!E:E,INDEX($L$20:$L$96,MATCH(LARGE($N$20:$N$96,17),$N$20:$N$96,0))),"")</f>
        <v/>
      </c>
      <c r="F36" s="324">
        <f>IFERROR(INDEX('계좌현황'!F:F,INDEX($L$20:$L$96,MATCH(LARGE($N$20:$N$96,17),$N$20:$N$96,0))),"")</f>
        <v/>
      </c>
      <c r="G36" s="325">
        <f>IFERROR(INDEX('계좌현황'!K:K,INDEX($L$20:$L$96,MATCH(LARGE($N$20:$N$96,17),$N$20:$N$96,0))),0)</f>
        <v/>
      </c>
      <c r="H36" s="326">
        <f>IF($B$3=0,0,G36/$B$3)</f>
        <v/>
      </c>
      <c r="I36" s="326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8" t="n">
        <v>18</v>
      </c>
      <c r="B37" s="288">
        <f>IFERROR(INDEX('계좌현황'!A:A,INDEX($L$20:$L$96,MATCH(LARGE($N$20:$N$96,18),$N$20:$N$96,0))),"")</f>
        <v/>
      </c>
      <c r="C37" s="288">
        <f>IFERROR(INDEX('계좌현황'!C:C,INDEX($L$20:$L$96,MATCH(LARGE($N$20:$N$96,18),$N$20:$N$96,0))),"")</f>
        <v/>
      </c>
      <c r="D37" s="288">
        <f>IFERROR(INDEX('계좌현황'!D:D,INDEX($L$20:$L$96,MATCH(LARGE($N$20:$N$96,18),$N$20:$N$96,0))),"")</f>
        <v/>
      </c>
      <c r="E37" s="288">
        <f>IFERROR(INDEX('계좌현황'!E:E,INDEX($L$20:$L$96,MATCH(LARGE($N$20:$N$96,18),$N$20:$N$96,0))),"")</f>
        <v/>
      </c>
      <c r="F37" s="318">
        <f>IFERROR(INDEX('계좌현황'!F:F,INDEX($L$20:$L$96,MATCH(LARGE($N$20:$N$96,18),$N$20:$N$96,0))),"")</f>
        <v/>
      </c>
      <c r="G37" s="319">
        <f>IFERROR(INDEX('계좌현황'!K:K,INDEX($L$20:$L$96,MATCH(LARGE($N$20:$N$96,18),$N$20:$N$96,0))),0)</f>
        <v/>
      </c>
      <c r="H37" s="320">
        <f>IF($B$3=0,0,G37/$B$3)</f>
        <v/>
      </c>
      <c r="I37" s="320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2" t="n">
        <v>19</v>
      </c>
      <c r="B38" s="282">
        <f>IFERROR(INDEX('계좌현황'!A:A,INDEX($L$20:$L$96,MATCH(LARGE($N$20:$N$96,19),$N$20:$N$96,0))),"")</f>
        <v/>
      </c>
      <c r="C38" s="282">
        <f>IFERROR(INDEX('계좌현황'!C:C,INDEX($L$20:$L$96,MATCH(LARGE($N$20:$N$96,19),$N$20:$N$96,0))),"")</f>
        <v/>
      </c>
      <c r="D38" s="282">
        <f>IFERROR(INDEX('계좌현황'!D:D,INDEX($L$20:$L$96,MATCH(LARGE($N$20:$N$96,19),$N$20:$N$96,0))),"")</f>
        <v/>
      </c>
      <c r="E38" s="282">
        <f>IFERROR(INDEX('계좌현황'!E:E,INDEX($L$20:$L$96,MATCH(LARGE($N$20:$N$96,19),$N$20:$N$96,0))),"")</f>
        <v/>
      </c>
      <c r="F38" s="312">
        <f>IFERROR(INDEX('계좌현황'!F:F,INDEX($L$20:$L$96,MATCH(LARGE($N$20:$N$96,19),$N$20:$N$96,0))),"")</f>
        <v/>
      </c>
      <c r="G38" s="313">
        <f>IFERROR(INDEX('계좌현황'!K:K,INDEX($L$20:$L$96,MATCH(LARGE($N$20:$N$96,19),$N$20:$N$96,0))),0)</f>
        <v/>
      </c>
      <c r="H38" s="314">
        <f>IF($B$3=0,0,G38/$B$3)</f>
        <v/>
      </c>
      <c r="I38" s="314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4" t="n">
        <v>20</v>
      </c>
      <c r="B39" s="294">
        <f>IFERROR(INDEX('계좌현황'!A:A,INDEX($L$20:$L$96,MATCH(LARGE($N$20:$N$96,20),$N$20:$N$96,0))),"")</f>
        <v/>
      </c>
      <c r="C39" s="294">
        <f>IFERROR(INDEX('계좌현황'!C:C,INDEX($L$20:$L$96,MATCH(LARGE($N$20:$N$96,20),$N$20:$N$96,0))),"")</f>
        <v/>
      </c>
      <c r="D39" s="294">
        <f>IFERROR(INDEX('계좌현황'!D:D,INDEX($L$20:$L$96,MATCH(LARGE($N$20:$N$96,20),$N$20:$N$96,0))),"")</f>
        <v/>
      </c>
      <c r="E39" s="294">
        <f>IFERROR(INDEX('계좌현황'!E:E,INDEX($L$20:$L$96,MATCH(LARGE($N$20:$N$96,20),$N$20:$N$96,0))),"")</f>
        <v/>
      </c>
      <c r="F39" s="324">
        <f>IFERROR(INDEX('계좌현황'!F:F,INDEX($L$20:$L$96,MATCH(LARGE($N$20:$N$96,20),$N$20:$N$96,0))),"")</f>
        <v/>
      </c>
      <c r="G39" s="325">
        <f>IFERROR(INDEX('계좌현황'!K:K,INDEX($L$20:$L$96,MATCH(LARGE($N$20:$N$96,20),$N$20:$N$96,0))),0)</f>
        <v/>
      </c>
      <c r="H39" s="326">
        <f>IF($B$3=0,0,G39/$B$3)</f>
        <v/>
      </c>
      <c r="I39" s="326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4" t="n">
        <v>21</v>
      </c>
      <c r="B40" s="294">
        <f>IFERROR(INDEX('계좌현황'!A:A,INDEX($L$20:$L$96,MATCH(LARGE($N$20:$N$96,21),$N$20:$N$96,0))),"")</f>
        <v/>
      </c>
      <c r="C40" s="294">
        <f>IFERROR(INDEX('계좌현황'!C:C,INDEX($L$20:$L$96,MATCH(LARGE($N$20:$N$96,21),$N$20:$N$96,0))),"")</f>
        <v/>
      </c>
      <c r="D40" s="294">
        <f>IFERROR(INDEX('계좌현황'!D:D,INDEX($L$20:$L$96,MATCH(LARGE($N$20:$N$96,21),$N$20:$N$96,0))),"")</f>
        <v/>
      </c>
      <c r="E40" s="294">
        <f>IFERROR(INDEX('계좌현황'!E:E,INDEX($L$20:$L$96,MATCH(LARGE($N$20:$N$96,21),$N$20:$N$96,0))),"")</f>
        <v/>
      </c>
      <c r="F40" s="324">
        <f>IFERROR(INDEX('계좌현황'!F:F,INDEX($L$20:$L$96,MATCH(LARGE($N$20:$N$96,21),$N$20:$N$96,0))),"")</f>
        <v/>
      </c>
      <c r="G40" s="325">
        <f>IFERROR(INDEX('계좌현황'!K:K,INDEX($L$20:$L$96,MATCH(LARGE($N$20:$N$96,21),$N$20:$N$96,0))),0)</f>
        <v/>
      </c>
      <c r="H40" s="326">
        <f>IF($B$3=0,0,G40/$B$3)</f>
        <v/>
      </c>
      <c r="I40" s="326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88" t="n">
        <v>22</v>
      </c>
      <c r="B41" s="288">
        <f>IFERROR(INDEX('계좌현황'!A:A,INDEX($L$20:$L$96,MATCH(LARGE($N$20:$N$96,22),$N$20:$N$96,0))),"")</f>
        <v/>
      </c>
      <c r="C41" s="288">
        <f>IFERROR(INDEX('계좌현황'!C:C,INDEX($L$20:$L$96,MATCH(LARGE($N$20:$N$96,22),$N$20:$N$96,0))),"")</f>
        <v/>
      </c>
      <c r="D41" s="288">
        <f>IFERROR(INDEX('계좌현황'!D:D,INDEX($L$20:$L$96,MATCH(LARGE($N$20:$N$96,22),$N$20:$N$96,0))),"")</f>
        <v/>
      </c>
      <c r="E41" s="288">
        <f>IFERROR(INDEX('계좌현황'!E:E,INDEX($L$20:$L$96,MATCH(LARGE($N$20:$N$96,22),$N$20:$N$96,0))),"")</f>
        <v/>
      </c>
      <c r="F41" s="318">
        <f>IFERROR(INDEX('계좌현황'!F:F,INDEX($L$20:$L$96,MATCH(LARGE($N$20:$N$96,22),$N$20:$N$96,0))),"")</f>
        <v/>
      </c>
      <c r="G41" s="319">
        <f>IFERROR(INDEX('계좌현황'!K:K,INDEX($L$20:$L$96,MATCH(LARGE($N$20:$N$96,22),$N$20:$N$96,0))),0)</f>
        <v/>
      </c>
      <c r="H41" s="320">
        <f>IF($B$3=0,0,G41/$B$3)</f>
        <v/>
      </c>
      <c r="I41" s="32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88" t="n">
        <v>23</v>
      </c>
      <c r="B42" s="288">
        <f>IFERROR(INDEX('계좌현황'!A:A,INDEX($L$20:$L$96,MATCH(LARGE($N$20:$N$96,23),$N$20:$N$96,0))),"")</f>
        <v/>
      </c>
      <c r="C42" s="288">
        <f>IFERROR(INDEX('계좌현황'!C:C,INDEX($L$20:$L$96,MATCH(LARGE($N$20:$N$96,23),$N$20:$N$96,0))),"")</f>
        <v/>
      </c>
      <c r="D42" s="288">
        <f>IFERROR(INDEX('계좌현황'!D:D,INDEX($L$20:$L$96,MATCH(LARGE($N$20:$N$96,23),$N$20:$N$96,0))),"")</f>
        <v/>
      </c>
      <c r="E42" s="288">
        <f>IFERROR(INDEX('계좌현황'!E:E,INDEX($L$20:$L$96,MATCH(LARGE($N$20:$N$96,23),$N$20:$N$96,0))),"")</f>
        <v/>
      </c>
      <c r="F42" s="318">
        <f>IFERROR(INDEX('계좌현황'!F:F,INDEX($L$20:$L$96,MATCH(LARGE($N$20:$N$96,23),$N$20:$N$96,0))),"")</f>
        <v/>
      </c>
      <c r="G42" s="319">
        <f>IFERROR(INDEX('계좌현황'!K:K,INDEX($L$20:$L$96,MATCH(LARGE($N$20:$N$96,23),$N$20:$N$96,0))),0)</f>
        <v/>
      </c>
      <c r="H42" s="320">
        <f>IF($B$3=0,0,G42/$B$3)</f>
        <v/>
      </c>
      <c r="I42" s="320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76" t="n">
        <v>24</v>
      </c>
      <c r="B43" s="276">
        <f>IFERROR(INDEX('계좌현황'!A:A,INDEX($L$20:$L$96,MATCH(LARGE($N$20:$N$96,24),$N$20:$N$96,0))),"")</f>
        <v/>
      </c>
      <c r="C43" s="276">
        <f>IFERROR(INDEX('계좌현황'!C:C,INDEX($L$20:$L$96,MATCH(LARGE($N$20:$N$96,24),$N$20:$N$96,0))),"")</f>
        <v/>
      </c>
      <c r="D43" s="276">
        <f>IFERROR(INDEX('계좌현황'!D:D,INDEX($L$20:$L$96,MATCH(LARGE($N$20:$N$96,24),$N$20:$N$96,0))),"")</f>
        <v/>
      </c>
      <c r="E43" s="276">
        <f>IFERROR(INDEX('계좌현황'!E:E,INDEX($L$20:$L$96,MATCH(LARGE($N$20:$N$96,24),$N$20:$N$96,0))),"")</f>
        <v/>
      </c>
      <c r="F43" s="306">
        <f>IFERROR(INDEX('계좌현황'!F:F,INDEX($L$20:$L$96,MATCH(LARGE($N$20:$N$96,24),$N$20:$N$96,0))),"")</f>
        <v/>
      </c>
      <c r="G43" s="307">
        <f>IFERROR(INDEX('계좌현황'!K:K,INDEX($L$20:$L$96,MATCH(LARGE($N$20:$N$96,24),$N$20:$N$96,0))),0)</f>
        <v/>
      </c>
      <c r="H43" s="308">
        <f>IF($B$3=0,0,G43/$B$3)</f>
        <v/>
      </c>
      <c r="I43" s="308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94" t="n">
        <v>25</v>
      </c>
      <c r="B44" s="294">
        <f>IFERROR(INDEX('계좌현황'!A:A,INDEX($L$20:$L$96,MATCH(LARGE($N$20:$N$96,25),$N$20:$N$96,0))),"")</f>
        <v/>
      </c>
      <c r="C44" s="294">
        <f>IFERROR(INDEX('계좌현황'!C:C,INDEX($L$20:$L$96,MATCH(LARGE($N$20:$N$96,25),$N$20:$N$96,0))),"")</f>
        <v/>
      </c>
      <c r="D44" s="294">
        <f>IFERROR(INDEX('계좌현황'!D:D,INDEX($L$20:$L$96,MATCH(LARGE($N$20:$N$96,25),$N$20:$N$96,0))),"")</f>
        <v/>
      </c>
      <c r="E44" s="294">
        <f>IFERROR(INDEX('계좌현황'!E:E,INDEX($L$20:$L$96,MATCH(LARGE($N$20:$N$96,25),$N$20:$N$96,0))),"")</f>
        <v/>
      </c>
      <c r="F44" s="324">
        <f>IFERROR(INDEX('계좌현황'!F:F,INDEX($L$20:$L$96,MATCH(LARGE($N$20:$N$96,25),$N$20:$N$96,0))),"")</f>
        <v/>
      </c>
      <c r="G44" s="325">
        <f>IFERROR(INDEX('계좌현황'!K:K,INDEX($L$20:$L$96,MATCH(LARGE($N$20:$N$96,25),$N$20:$N$96,0))),0)</f>
        <v/>
      </c>
      <c r="H44" s="326">
        <f>IF($B$3=0,0,G44/$B$3)</f>
        <v/>
      </c>
      <c r="I44" s="32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85" t="n">
        <v>26</v>
      </c>
      <c r="B45" s="285">
        <f>IFERROR(INDEX('계좌현황'!A:A,INDEX($L$20:$L$96,MATCH(LARGE($N$20:$N$96,26),$N$20:$N$96,0))),"")</f>
        <v/>
      </c>
      <c r="C45" s="285">
        <f>IFERROR(INDEX('계좌현황'!C:C,INDEX($L$20:$L$96,MATCH(LARGE($N$20:$N$96,26),$N$20:$N$96,0))),"")</f>
        <v/>
      </c>
      <c r="D45" s="285">
        <f>IFERROR(INDEX('계좌현황'!D:D,INDEX($L$20:$L$96,MATCH(LARGE($N$20:$N$96,26),$N$20:$N$96,0))),"")</f>
        <v/>
      </c>
      <c r="E45" s="285">
        <f>IFERROR(INDEX('계좌현황'!E:E,INDEX($L$20:$L$96,MATCH(LARGE($N$20:$N$96,26),$N$20:$N$96,0))),"")</f>
        <v/>
      </c>
      <c r="F45" s="315">
        <f>IFERROR(INDEX('계좌현황'!F:F,INDEX($L$20:$L$96,MATCH(LARGE($N$20:$N$96,26),$N$20:$N$96,0))),"")</f>
        <v/>
      </c>
      <c r="G45" s="316">
        <f>IFERROR(INDEX('계좌현황'!K:K,INDEX($L$20:$L$96,MATCH(LARGE($N$20:$N$96,26),$N$20:$N$96,0))),0)</f>
        <v/>
      </c>
      <c r="H45" s="317">
        <f>IF($B$3=0,0,G45/$B$3)</f>
        <v/>
      </c>
      <c r="I45" s="317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5" t="n">
        <v>27</v>
      </c>
      <c r="B46" s="285">
        <f>IFERROR(INDEX('계좌현황'!A:A,INDEX($L$20:$L$96,MATCH(LARGE($N$20:$N$96,27),$N$20:$N$96,0))),"")</f>
        <v/>
      </c>
      <c r="C46" s="285">
        <f>IFERROR(INDEX('계좌현황'!C:C,INDEX($L$20:$L$96,MATCH(LARGE($N$20:$N$96,27),$N$20:$N$96,0))),"")</f>
        <v/>
      </c>
      <c r="D46" s="285">
        <f>IFERROR(INDEX('계좌현황'!D:D,INDEX($L$20:$L$96,MATCH(LARGE($N$20:$N$96,27),$N$20:$N$96,0))),"")</f>
        <v/>
      </c>
      <c r="E46" s="285">
        <f>IFERROR(INDEX('계좌현황'!E:E,INDEX($L$20:$L$96,MATCH(LARGE($N$20:$N$96,27),$N$20:$N$96,0))),"")</f>
        <v/>
      </c>
      <c r="F46" s="315">
        <f>IFERROR(INDEX('계좌현황'!F:F,INDEX($L$20:$L$96,MATCH(LARGE($N$20:$N$96,27),$N$20:$N$96,0))),"")</f>
        <v/>
      </c>
      <c r="G46" s="316">
        <f>IFERROR(INDEX('계좌현황'!K:K,INDEX($L$20:$L$96,MATCH(LARGE($N$20:$N$96,27),$N$20:$N$96,0))),0)</f>
        <v/>
      </c>
      <c r="H46" s="317">
        <f>IF($B$3=0,0,G46/$B$3)</f>
        <v/>
      </c>
      <c r="I46" s="317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8" t="n">
        <v>28</v>
      </c>
      <c r="B47" s="288">
        <f>IFERROR(INDEX('계좌현황'!A:A,INDEX($L$20:$L$96,MATCH(LARGE($N$20:$N$96,28),$N$20:$N$96,0))),"")</f>
        <v/>
      </c>
      <c r="C47" s="288">
        <f>IFERROR(INDEX('계좌현황'!C:C,INDEX($L$20:$L$96,MATCH(LARGE($N$20:$N$96,28),$N$20:$N$96,0))),"")</f>
        <v/>
      </c>
      <c r="D47" s="288">
        <f>IFERROR(INDEX('계좌현황'!D:D,INDEX($L$20:$L$96,MATCH(LARGE($N$20:$N$96,28),$N$20:$N$96,0))),"")</f>
        <v/>
      </c>
      <c r="E47" s="288">
        <f>IFERROR(INDEX('계좌현황'!E:E,INDEX($L$20:$L$96,MATCH(LARGE($N$20:$N$96,28),$N$20:$N$96,0))),"")</f>
        <v/>
      </c>
      <c r="F47" s="318">
        <f>IFERROR(INDEX('계좌현황'!F:F,INDEX($L$20:$L$96,MATCH(LARGE($N$20:$N$96,28),$N$20:$N$96,0))),"")</f>
        <v/>
      </c>
      <c r="G47" s="319">
        <f>IFERROR(INDEX('계좌현황'!K:K,INDEX($L$20:$L$96,MATCH(LARGE($N$20:$N$96,28),$N$20:$N$96,0))),0)</f>
        <v/>
      </c>
      <c r="H47" s="320">
        <f>IF($B$3=0,0,G47/$B$3)</f>
        <v/>
      </c>
      <c r="I47" s="320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2" t="n">
        <v>29</v>
      </c>
      <c r="B48" s="282">
        <f>IFERROR(INDEX('계좌현황'!A:A,INDEX($L$20:$L$96,MATCH(LARGE($N$20:$N$96,29),$N$20:$N$96,0))),"")</f>
        <v/>
      </c>
      <c r="C48" s="282">
        <f>IFERROR(INDEX('계좌현황'!C:C,INDEX($L$20:$L$96,MATCH(LARGE($N$20:$N$96,29),$N$20:$N$96,0))),"")</f>
        <v/>
      </c>
      <c r="D48" s="282">
        <f>IFERROR(INDEX('계좌현황'!D:D,INDEX($L$20:$L$96,MATCH(LARGE($N$20:$N$96,29),$N$20:$N$96,0))),"")</f>
        <v/>
      </c>
      <c r="E48" s="282">
        <f>IFERROR(INDEX('계좌현황'!E:E,INDEX($L$20:$L$96,MATCH(LARGE($N$20:$N$96,29),$N$20:$N$96,0))),"")</f>
        <v/>
      </c>
      <c r="F48" s="312">
        <f>IFERROR(INDEX('계좌현황'!F:F,INDEX($L$20:$L$96,MATCH(LARGE($N$20:$N$96,29),$N$20:$N$96,0))),"")</f>
        <v/>
      </c>
      <c r="G48" s="313">
        <f>IFERROR(INDEX('계좌현황'!K:K,INDEX($L$20:$L$96,MATCH(LARGE($N$20:$N$96,29),$N$20:$N$96,0))),0)</f>
        <v/>
      </c>
      <c r="H48" s="314">
        <f>IF($B$3=0,0,G48/$B$3)</f>
        <v/>
      </c>
      <c r="I48" s="314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8" t="n">
        <v>30</v>
      </c>
      <c r="B49" s="288">
        <f>IFERROR(INDEX('계좌현황'!A:A,INDEX($L$20:$L$96,MATCH(LARGE($N$20:$N$96,30),$N$20:$N$96,0))),"")</f>
        <v/>
      </c>
      <c r="C49" s="288">
        <f>IFERROR(INDEX('계좌현황'!C:C,INDEX($L$20:$L$96,MATCH(LARGE($N$20:$N$96,30),$N$20:$N$96,0))),"")</f>
        <v/>
      </c>
      <c r="D49" s="288">
        <f>IFERROR(INDEX('계좌현황'!D:D,INDEX($L$20:$L$96,MATCH(LARGE($N$20:$N$96,30),$N$20:$N$96,0))),"")</f>
        <v/>
      </c>
      <c r="E49" s="288">
        <f>IFERROR(INDEX('계좌현황'!E:E,INDEX($L$20:$L$96,MATCH(LARGE($N$20:$N$96,30),$N$20:$N$96,0))),"")</f>
        <v/>
      </c>
      <c r="F49" s="318">
        <f>IFERROR(INDEX('계좌현황'!F:F,INDEX($L$20:$L$96,MATCH(LARGE($N$20:$N$96,30),$N$20:$N$96,0))),"")</f>
        <v/>
      </c>
      <c r="G49" s="319">
        <f>IFERROR(INDEX('계좌현황'!K:K,INDEX($L$20:$L$96,MATCH(LARGE($N$20:$N$96,30),$N$20:$N$96,0))),0)</f>
        <v/>
      </c>
      <c r="H49" s="320">
        <f>IF($B$3=0,0,G49/$B$3)</f>
        <v/>
      </c>
      <c r="I49" s="320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79" t="n">
        <v>31</v>
      </c>
      <c r="B50" s="279">
        <f>IFERROR(INDEX('계좌현황'!A:A,INDEX($L$20:$L$96,MATCH(LARGE($N$20:$N$96,31),$N$20:$N$96,0))),"")</f>
        <v/>
      </c>
      <c r="C50" s="279">
        <f>IFERROR(INDEX('계좌현황'!C:C,INDEX($L$20:$L$96,MATCH(LARGE($N$20:$N$96,31),$N$20:$N$96,0))),"")</f>
        <v/>
      </c>
      <c r="D50" s="279">
        <f>IFERROR(INDEX('계좌현황'!D:D,INDEX($L$20:$L$96,MATCH(LARGE($N$20:$N$96,31),$N$20:$N$96,0))),"")</f>
        <v/>
      </c>
      <c r="E50" s="279">
        <f>IFERROR(INDEX('계좌현황'!E:E,INDEX($L$20:$L$96,MATCH(LARGE($N$20:$N$96,31),$N$20:$N$96,0))),"")</f>
        <v/>
      </c>
      <c r="F50" s="309">
        <f>IFERROR(INDEX('계좌현황'!F:F,INDEX($L$20:$L$96,MATCH(LARGE($N$20:$N$96,31),$N$20:$N$96,0))),"")</f>
        <v/>
      </c>
      <c r="G50" s="310">
        <f>IFERROR(INDEX('계좌현황'!K:K,INDEX($L$20:$L$96,MATCH(LARGE($N$20:$N$96,31),$N$20:$N$96,0))),0)</f>
        <v/>
      </c>
      <c r="H50" s="311">
        <f>IF($B$3=0,0,G50/$B$3)</f>
        <v/>
      </c>
      <c r="I50" s="311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8" t="n">
        <v>32</v>
      </c>
      <c r="B51" s="288">
        <f>IFERROR(INDEX('계좌현황'!A:A,INDEX($L$20:$L$96,MATCH(LARGE($N$20:$N$96,32),$N$20:$N$96,0))),"")</f>
        <v/>
      </c>
      <c r="C51" s="288">
        <f>IFERROR(INDEX('계좌현황'!C:C,INDEX($L$20:$L$96,MATCH(LARGE($N$20:$N$96,32),$N$20:$N$96,0))),"")</f>
        <v/>
      </c>
      <c r="D51" s="288">
        <f>IFERROR(INDEX('계좌현황'!D:D,INDEX($L$20:$L$96,MATCH(LARGE($N$20:$N$96,32),$N$20:$N$96,0))),"")</f>
        <v/>
      </c>
      <c r="E51" s="288">
        <f>IFERROR(INDEX('계좌현황'!E:E,INDEX($L$20:$L$96,MATCH(LARGE($N$20:$N$96,32),$N$20:$N$96,0))),"")</f>
        <v/>
      </c>
      <c r="F51" s="318">
        <f>IFERROR(INDEX('계좌현황'!F:F,INDEX($L$20:$L$96,MATCH(LARGE($N$20:$N$96,32),$N$20:$N$96,0))),"")</f>
        <v/>
      </c>
      <c r="G51" s="319">
        <f>IFERROR(INDEX('계좌현황'!K:K,INDEX($L$20:$L$96,MATCH(LARGE($N$20:$N$96,32),$N$20:$N$96,0))),0)</f>
        <v/>
      </c>
      <c r="H51" s="320">
        <f>IF($B$3=0,0,G51/$B$3)</f>
        <v/>
      </c>
      <c r="I51" s="320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IFERROR(INDEX('계좌현황'!A:A,INDEX($L$20:$L$96,MATCH(LARGE($N$20:$N$96,33),$N$20:$N$96,0))),"")</f>
        <v/>
      </c>
      <c r="C52" s="288">
        <f>IFERROR(INDEX('계좌현황'!C:C,INDEX($L$20:$L$96,MATCH(LARGE($N$20:$N$96,33),$N$20:$N$96,0))),"")</f>
        <v/>
      </c>
      <c r="D52" s="288">
        <f>IFERROR(INDEX('계좌현황'!D:D,INDEX($L$20:$L$96,MATCH(LARGE($N$20:$N$96,33),$N$20:$N$96,0))),"")</f>
        <v/>
      </c>
      <c r="E52" s="288">
        <f>IFERROR(INDEX('계좌현황'!E:E,INDEX($L$20:$L$96,MATCH(LARGE($N$20:$N$96,33),$N$20:$N$96,0))),"")</f>
        <v/>
      </c>
      <c r="F52" s="318">
        <f>IFERROR(INDEX('계좌현황'!F:F,INDEX($L$20:$L$96,MATCH(LARGE($N$20:$N$96,33),$N$20:$N$96,0))),"")</f>
        <v/>
      </c>
      <c r="G52" s="319">
        <f>IFERROR(INDEX('계좌현황'!K:K,INDEX($L$20:$L$96,MATCH(LARGE($N$20:$N$96,33),$N$20:$N$96,0))),0)</f>
        <v/>
      </c>
      <c r="H52" s="320">
        <f>IF($B$3=0,0,G52/$B$3)</f>
        <v/>
      </c>
      <c r="I52" s="320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IFERROR(INDEX('계좌현황'!A:A,INDEX($L$20:$L$96,MATCH(LARGE($N$20:$N$96,34),$N$20:$N$96,0))),"")</f>
        <v/>
      </c>
      <c r="C53" s="285">
        <f>IFERROR(INDEX('계좌현황'!C:C,INDEX($L$20:$L$96,MATCH(LARGE($N$20:$N$96,34),$N$20:$N$96,0))),"")</f>
        <v/>
      </c>
      <c r="D53" s="285">
        <f>IFERROR(INDEX('계좌현황'!D:D,INDEX($L$20:$L$96,MATCH(LARGE($N$20:$N$96,34),$N$20:$N$96,0))),"")</f>
        <v/>
      </c>
      <c r="E53" s="285">
        <f>IFERROR(INDEX('계좌현황'!E:E,INDEX($L$20:$L$96,MATCH(LARGE($N$20:$N$96,34),$N$20:$N$96,0))),"")</f>
        <v/>
      </c>
      <c r="F53" s="315">
        <f>IFERROR(INDEX('계좌현황'!F:F,INDEX($L$20:$L$96,MATCH(LARGE($N$20:$N$96,34),$N$20:$N$96,0))),"")</f>
        <v/>
      </c>
      <c r="G53" s="316">
        <f>IFERROR(INDEX('계좌현황'!K:K,INDEX($L$20:$L$96,MATCH(LARGE($N$20:$N$96,34),$N$20:$N$96,0))),0)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IFERROR(INDEX('계좌현황'!A:A,INDEX($L$20:$L$96,MATCH(LARGE($N$20:$N$96,35),$N$20:$N$96,0))),"")</f>
        <v/>
      </c>
      <c r="C54" s="285">
        <f>IFERROR(INDEX('계좌현황'!C:C,INDEX($L$20:$L$96,MATCH(LARGE($N$20:$N$96,35),$N$20:$N$96,0))),"")</f>
        <v/>
      </c>
      <c r="D54" s="285">
        <f>IFERROR(INDEX('계좌현황'!D:D,INDEX($L$20:$L$96,MATCH(LARGE($N$20:$N$96,35),$N$20:$N$96,0))),"")</f>
        <v/>
      </c>
      <c r="E54" s="285">
        <f>IFERROR(INDEX('계좌현황'!E:E,INDEX($L$20:$L$96,MATCH(LARGE($N$20:$N$96,35),$N$20:$N$96,0))),"")</f>
        <v/>
      </c>
      <c r="F54" s="315">
        <f>IFERROR(INDEX('계좌현황'!F:F,INDEX($L$20:$L$96,MATCH(LARGE($N$20:$N$96,35),$N$20:$N$96,0))),"")</f>
        <v/>
      </c>
      <c r="G54" s="316">
        <f>IFERROR(INDEX('계좌현황'!K:K,INDEX($L$20:$L$96,MATCH(LARGE($N$20:$N$96,35),$N$20:$N$96,0))),0)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IFERROR(INDEX('계좌현황'!A:A,INDEX($L$20:$L$96,MATCH(LARGE($N$20:$N$96,36),$N$20:$N$96,0))),"")</f>
        <v/>
      </c>
      <c r="C55" s="288">
        <f>IFERROR(INDEX('계좌현황'!C:C,INDEX($L$20:$L$96,MATCH(LARGE($N$20:$N$96,36),$N$20:$N$96,0))),"")</f>
        <v/>
      </c>
      <c r="D55" s="288">
        <f>IFERROR(INDEX('계좌현황'!D:D,INDEX($L$20:$L$96,MATCH(LARGE($N$20:$N$96,36),$N$20:$N$96,0))),"")</f>
        <v/>
      </c>
      <c r="E55" s="288">
        <f>IFERROR(INDEX('계좌현황'!E:E,INDEX($L$20:$L$96,MATCH(LARGE($N$20:$N$96,36),$N$20:$N$96,0))),"")</f>
        <v/>
      </c>
      <c r="F55" s="318">
        <f>IFERROR(INDEX('계좌현황'!F:F,INDEX($L$20:$L$96,MATCH(LARGE($N$20:$N$96,36),$N$20:$N$96,0))),"")</f>
        <v/>
      </c>
      <c r="G55" s="319">
        <f>IFERROR(INDEX('계좌현황'!K:K,INDEX($L$20:$L$96,MATCH(LARGE($N$20:$N$96,36),$N$20:$N$96,0))),0)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IFERROR(INDEX('계좌현황'!A:A,INDEX($L$20:$L$96,MATCH(LARGE($N$20:$N$96,37),$N$20:$N$96,0))),"")</f>
        <v/>
      </c>
      <c r="C56" s="288">
        <f>IFERROR(INDEX('계좌현황'!C:C,INDEX($L$20:$L$96,MATCH(LARGE($N$20:$N$96,37),$N$20:$N$96,0))),"")</f>
        <v/>
      </c>
      <c r="D56" s="288">
        <f>IFERROR(INDEX('계좌현황'!D:D,INDEX($L$20:$L$96,MATCH(LARGE($N$20:$N$96,37),$N$20:$N$96,0))),"")</f>
        <v/>
      </c>
      <c r="E56" s="288">
        <f>IFERROR(INDEX('계좌현황'!E:E,INDEX($L$20:$L$96,MATCH(LARGE($N$20:$N$96,37),$N$20:$N$96,0))),"")</f>
        <v/>
      </c>
      <c r="F56" s="318">
        <f>IFERROR(INDEX('계좌현황'!F:F,INDEX($L$20:$L$96,MATCH(LARGE($N$20:$N$96,37),$N$20:$N$96,0))),"")</f>
        <v/>
      </c>
      <c r="G56" s="319">
        <f>IFERROR(INDEX('계좌현황'!K:K,INDEX($L$20:$L$96,MATCH(LARGE($N$20:$N$96,37),$N$20:$N$96,0))),0)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IFERROR(INDEX('계좌현황'!A:A,INDEX($L$20:$L$96,MATCH(LARGE($N$20:$N$96,38),$N$20:$N$96,0))),"")</f>
        <v/>
      </c>
      <c r="C57" s="288">
        <f>IFERROR(INDEX('계좌현황'!C:C,INDEX($L$20:$L$96,MATCH(LARGE($N$20:$N$96,38),$N$20:$N$96,0))),"")</f>
        <v/>
      </c>
      <c r="D57" s="288">
        <f>IFERROR(INDEX('계좌현황'!D:D,INDEX($L$20:$L$96,MATCH(LARGE($N$20:$N$96,38),$N$20:$N$96,0))),"")</f>
        <v/>
      </c>
      <c r="E57" s="288">
        <f>IFERROR(INDEX('계좌현황'!E:E,INDEX($L$20:$L$96,MATCH(LARGE($N$20:$N$96,38),$N$20:$N$96,0))),"")</f>
        <v/>
      </c>
      <c r="F57" s="318">
        <f>IFERROR(INDEX('계좌현황'!F:F,INDEX($L$20:$L$96,MATCH(LARGE($N$20:$N$96,38),$N$20:$N$96,0))),"")</f>
        <v/>
      </c>
      <c r="G57" s="319">
        <f>IFERROR(INDEX('계좌현황'!K:K,INDEX($L$20:$L$96,MATCH(LARGE($N$20:$N$96,38),$N$20:$N$96,0))),0)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IFERROR(INDEX('계좌현황'!A:A,INDEX($L$20:$L$96,MATCH(LARGE($N$20:$N$96,39),$N$20:$N$96,0))),"")</f>
        <v/>
      </c>
      <c r="C58" s="285">
        <f>IFERROR(INDEX('계좌현황'!C:C,INDEX($L$20:$L$96,MATCH(LARGE($N$20:$N$96,39),$N$20:$N$96,0))),"")</f>
        <v/>
      </c>
      <c r="D58" s="285">
        <f>IFERROR(INDEX('계좌현황'!D:D,INDEX($L$20:$L$96,MATCH(LARGE($N$20:$N$96,39),$N$20:$N$96,0))),"")</f>
        <v/>
      </c>
      <c r="E58" s="285">
        <f>IFERROR(INDEX('계좌현황'!E:E,INDEX($L$20:$L$96,MATCH(LARGE($N$20:$N$96,39),$N$20:$N$96,0))),"")</f>
        <v/>
      </c>
      <c r="F58" s="315">
        <f>IFERROR(INDEX('계좌현황'!F:F,INDEX($L$20:$L$96,MATCH(LARGE($N$20:$N$96,39),$N$20:$N$96,0))),"")</f>
        <v/>
      </c>
      <c r="G58" s="316">
        <f>IFERROR(INDEX('계좌현황'!K:K,INDEX($L$20:$L$96,MATCH(LARGE($N$20:$N$96,39),$N$20:$N$96,0))),0)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IFERROR(INDEX('계좌현황'!A:A,INDEX($L$20:$L$96,MATCH(LARGE($N$20:$N$96,40),$N$20:$N$96,0))),"")</f>
        <v/>
      </c>
      <c r="C59" s="285">
        <f>IFERROR(INDEX('계좌현황'!C:C,INDEX($L$20:$L$96,MATCH(LARGE($N$20:$N$96,40),$N$20:$N$96,0))),"")</f>
        <v/>
      </c>
      <c r="D59" s="285">
        <f>IFERROR(INDEX('계좌현황'!D:D,INDEX($L$20:$L$96,MATCH(LARGE($N$20:$N$96,40),$N$20:$N$96,0))),"")</f>
        <v/>
      </c>
      <c r="E59" s="285">
        <f>IFERROR(INDEX('계좌현황'!E:E,INDEX($L$20:$L$96,MATCH(LARGE($N$20:$N$96,40),$N$20:$N$96,0))),"")</f>
        <v/>
      </c>
      <c r="F59" s="315">
        <f>IFERROR(INDEX('계좌현황'!F:F,INDEX($L$20:$L$96,MATCH(LARGE($N$20:$N$96,40),$N$20:$N$96,0))),"")</f>
        <v/>
      </c>
      <c r="G59" s="316">
        <f>IFERROR(INDEX('계좌현황'!K:K,INDEX($L$20:$L$96,MATCH(LARGE($N$20:$N$96,40),$N$20:$N$96,0))),0)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IFERROR(INDEX('계좌현황'!A:A,INDEX($L$20:$L$96,MATCH(LARGE($N$20:$N$96,41),$N$20:$N$96,0))),"")</f>
        <v/>
      </c>
      <c r="C60" s="285">
        <f>IFERROR(INDEX('계좌현황'!C:C,INDEX($L$20:$L$96,MATCH(LARGE($N$20:$N$96,41),$N$20:$N$96,0))),"")</f>
        <v/>
      </c>
      <c r="D60" s="285">
        <f>IFERROR(INDEX('계좌현황'!D:D,INDEX($L$20:$L$96,MATCH(LARGE($N$20:$N$96,41),$N$20:$N$96,0))),"")</f>
        <v/>
      </c>
      <c r="E60" s="285">
        <f>IFERROR(INDEX('계좌현황'!E:E,INDEX($L$20:$L$96,MATCH(LARGE($N$20:$N$96,41),$N$20:$N$96,0))),"")</f>
        <v/>
      </c>
      <c r="F60" s="315">
        <f>IFERROR(INDEX('계좌현황'!F:F,INDEX($L$20:$L$96,MATCH(LARGE($N$20:$N$96,41),$N$20:$N$96,0))),"")</f>
        <v/>
      </c>
      <c r="G60" s="316">
        <f>IFERROR(INDEX('계좌현황'!K:K,INDEX($L$20:$L$96,MATCH(LARGE($N$20:$N$96,41),$N$20:$N$96,0))),0)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IFERROR(INDEX('계좌현황'!A:A,INDEX($L$20:$L$96,MATCH(LARGE($N$20:$N$96,42),$N$20:$N$96,0))),"")</f>
        <v/>
      </c>
      <c r="C61" s="288">
        <f>IFERROR(INDEX('계좌현황'!C:C,INDEX($L$20:$L$96,MATCH(LARGE($N$20:$N$96,42),$N$20:$N$96,0))),"")</f>
        <v/>
      </c>
      <c r="D61" s="288">
        <f>IFERROR(INDEX('계좌현황'!D:D,INDEX($L$20:$L$96,MATCH(LARGE($N$20:$N$96,42),$N$20:$N$96,0))),"")</f>
        <v/>
      </c>
      <c r="E61" s="288">
        <f>IFERROR(INDEX('계좌현황'!E:E,INDEX($L$20:$L$96,MATCH(LARGE($N$20:$N$96,42),$N$20:$N$96,0))),"")</f>
        <v/>
      </c>
      <c r="F61" s="318">
        <f>IFERROR(INDEX('계좌현황'!F:F,INDEX($L$20:$L$96,MATCH(LARGE($N$20:$N$96,42),$N$20:$N$96,0))),"")</f>
        <v/>
      </c>
      <c r="G61" s="319">
        <f>IFERROR(INDEX('계좌현황'!K:K,INDEX($L$20:$L$96,MATCH(LARGE($N$20:$N$96,42),$N$20:$N$96,0))),0)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IFERROR(INDEX('계좌현황'!A:A,INDEX($L$20:$L$96,MATCH(LARGE($N$20:$N$96,43),$N$20:$N$96,0))),"")</f>
        <v/>
      </c>
      <c r="C62" s="288">
        <f>IFERROR(INDEX('계좌현황'!C:C,INDEX($L$20:$L$96,MATCH(LARGE($N$20:$N$96,43),$N$20:$N$96,0))),"")</f>
        <v/>
      </c>
      <c r="D62" s="288">
        <f>IFERROR(INDEX('계좌현황'!D:D,INDEX($L$20:$L$96,MATCH(LARGE($N$20:$N$96,43),$N$20:$N$96,0))),"")</f>
        <v/>
      </c>
      <c r="E62" s="288">
        <f>IFERROR(INDEX('계좌현황'!E:E,INDEX($L$20:$L$96,MATCH(LARGE($N$20:$N$96,43),$N$20:$N$96,0))),"")</f>
        <v/>
      </c>
      <c r="F62" s="318">
        <f>IFERROR(INDEX('계좌현황'!F:F,INDEX($L$20:$L$96,MATCH(LARGE($N$20:$N$96,43),$N$20:$N$96,0))),"")</f>
        <v/>
      </c>
      <c r="G62" s="319">
        <f>IFERROR(INDEX('계좌현황'!K:K,INDEX($L$20:$L$96,MATCH(LARGE($N$20:$N$96,43),$N$20:$N$96,0))),0)</f>
        <v/>
      </c>
      <c r="H62" s="320">
        <f>IF($B$3=0,0,G62/$B$3)</f>
        <v/>
      </c>
      <c r="I62" s="320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8" t="n">
        <v>44</v>
      </c>
      <c r="B63" s="288">
        <f>IFERROR(INDEX('계좌현황'!A:A,INDEX($L$20:$L$96,MATCH(LARGE($N$20:$N$96,44),$N$20:$N$96,0))),"")</f>
        <v/>
      </c>
      <c r="C63" s="288">
        <f>IFERROR(INDEX('계좌현황'!C:C,INDEX($L$20:$L$96,MATCH(LARGE($N$20:$N$96,44),$N$20:$N$96,0))),"")</f>
        <v/>
      </c>
      <c r="D63" s="288">
        <f>IFERROR(INDEX('계좌현황'!D:D,INDEX($L$20:$L$96,MATCH(LARGE($N$20:$N$96,44),$N$20:$N$96,0))),"")</f>
        <v/>
      </c>
      <c r="E63" s="288">
        <f>IFERROR(INDEX('계좌현황'!E:E,INDEX($L$20:$L$96,MATCH(LARGE($N$20:$N$96,44),$N$20:$N$96,0))),"")</f>
        <v/>
      </c>
      <c r="F63" s="318">
        <f>IFERROR(INDEX('계좌현황'!F:F,INDEX($L$20:$L$96,MATCH(LARGE($N$20:$N$96,44),$N$20:$N$96,0))),"")</f>
        <v/>
      </c>
      <c r="G63" s="319">
        <f>IFERROR(INDEX('계좌현황'!K:K,INDEX($L$20:$L$96,MATCH(LARGE($N$20:$N$96,44),$N$20:$N$96,0))),0)</f>
        <v/>
      </c>
      <c r="H63" s="320">
        <f>IF($B$3=0,0,G63/$B$3)</f>
        <v/>
      </c>
      <c r="I63" s="320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5" t="n">
        <v>45</v>
      </c>
      <c r="B64" s="285">
        <f>IFERROR(INDEX('계좌현황'!A:A,INDEX($L$20:$L$96,MATCH(LARGE($N$20:$N$96,45),$N$20:$N$96,0))),"")</f>
        <v/>
      </c>
      <c r="C64" s="285">
        <f>IFERROR(INDEX('계좌현황'!C:C,INDEX($L$20:$L$96,MATCH(LARGE($N$20:$N$96,45),$N$20:$N$96,0))),"")</f>
        <v/>
      </c>
      <c r="D64" s="285">
        <f>IFERROR(INDEX('계좌현황'!D:D,INDEX($L$20:$L$96,MATCH(LARGE($N$20:$N$96,45),$N$20:$N$96,0))),"")</f>
        <v/>
      </c>
      <c r="E64" s="285">
        <f>IFERROR(INDEX('계좌현황'!E:E,INDEX($L$20:$L$96,MATCH(LARGE($N$20:$N$96,45),$N$20:$N$96,0))),"")</f>
        <v/>
      </c>
      <c r="F64" s="315">
        <f>IFERROR(INDEX('계좌현황'!F:F,INDEX($L$20:$L$96,MATCH(LARGE($N$20:$N$96,45),$N$20:$N$96,0))),"")</f>
        <v/>
      </c>
      <c r="G64" s="316">
        <f>IFERROR(INDEX('계좌현황'!K:K,INDEX($L$20:$L$96,MATCH(LARGE($N$20:$N$96,45),$N$20:$N$96,0))),0)</f>
        <v/>
      </c>
      <c r="H64" s="317">
        <f>IF($B$3=0,0,G64/$B$3)</f>
        <v/>
      </c>
      <c r="I64" s="317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IFERROR(INDEX('계좌현황'!A:A,INDEX($L$20:$L$96,MATCH(LARGE($N$20:$N$96,46),$N$20:$N$96,0))),"")</f>
        <v/>
      </c>
      <c r="C65" s="288">
        <f>IFERROR(INDEX('계좌현황'!C:C,INDEX($L$20:$L$96,MATCH(LARGE($N$20:$N$96,46),$N$20:$N$96,0))),"")</f>
        <v/>
      </c>
      <c r="D65" s="288">
        <f>IFERROR(INDEX('계좌현황'!D:D,INDEX($L$20:$L$96,MATCH(LARGE($N$20:$N$96,46),$N$20:$N$96,0))),"")</f>
        <v/>
      </c>
      <c r="E65" s="288">
        <f>IFERROR(INDEX('계좌현황'!E:E,INDEX($L$20:$L$96,MATCH(LARGE($N$20:$N$96,46),$N$20:$N$96,0))),"")</f>
        <v/>
      </c>
      <c r="F65" s="318">
        <f>IFERROR(INDEX('계좌현황'!F:F,INDEX($L$20:$L$96,MATCH(LARGE($N$20:$N$96,46),$N$20:$N$96,0))),"")</f>
        <v/>
      </c>
      <c r="G65" s="319">
        <f>IFERROR(INDEX('계좌현황'!K:K,INDEX($L$20:$L$96,MATCH(LARGE($N$20:$N$96,46),$N$20:$N$96,0))),0)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IFERROR(INDEX('계좌현황'!A:A,INDEX($L$20:$L$96,MATCH(LARGE($N$20:$N$96,47),$N$20:$N$96,0))),"")</f>
        <v/>
      </c>
      <c r="C66" s="288">
        <f>IFERROR(INDEX('계좌현황'!C:C,INDEX($L$20:$L$96,MATCH(LARGE($N$20:$N$96,47),$N$20:$N$96,0))),"")</f>
        <v/>
      </c>
      <c r="D66" s="288">
        <f>IFERROR(INDEX('계좌현황'!D:D,INDEX($L$20:$L$96,MATCH(LARGE($N$20:$N$96,47),$N$20:$N$96,0))),"")</f>
        <v/>
      </c>
      <c r="E66" s="288">
        <f>IFERROR(INDEX('계좌현황'!E:E,INDEX($L$20:$L$96,MATCH(LARGE($N$20:$N$96,47),$N$20:$N$96,0))),"")</f>
        <v/>
      </c>
      <c r="F66" s="318">
        <f>IFERROR(INDEX('계좌현황'!F:F,INDEX($L$20:$L$96,MATCH(LARGE($N$20:$N$96,47),$N$20:$N$96,0))),"")</f>
        <v/>
      </c>
      <c r="G66" s="319">
        <f>IFERROR(INDEX('계좌현황'!K:K,INDEX($L$20:$L$96,MATCH(LARGE($N$20:$N$96,47),$N$20:$N$96,0))),0)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IFERROR(INDEX('계좌현황'!A:A,INDEX($L$20:$L$96,MATCH(LARGE($N$20:$N$96,48),$N$20:$N$96,0))),"")</f>
        <v/>
      </c>
      <c r="C67" s="288">
        <f>IFERROR(INDEX('계좌현황'!C:C,INDEX($L$20:$L$96,MATCH(LARGE($N$20:$N$96,48),$N$20:$N$96,0))),"")</f>
        <v/>
      </c>
      <c r="D67" s="288">
        <f>IFERROR(INDEX('계좌현황'!D:D,INDEX($L$20:$L$96,MATCH(LARGE($N$20:$N$96,48),$N$20:$N$96,0))),"")</f>
        <v/>
      </c>
      <c r="E67" s="288">
        <f>IFERROR(INDEX('계좌현황'!E:E,INDEX($L$20:$L$96,MATCH(LARGE($N$20:$N$96,48),$N$20:$N$96,0))),"")</f>
        <v/>
      </c>
      <c r="F67" s="318">
        <f>IFERROR(INDEX('계좌현황'!F:F,INDEX($L$20:$L$96,MATCH(LARGE($N$20:$N$96,48),$N$20:$N$96,0))),"")</f>
        <v/>
      </c>
      <c r="G67" s="319">
        <f>IFERROR(INDEX('계좌현황'!K:K,INDEX($L$20:$L$96,MATCH(LARGE($N$20:$N$96,48),$N$20:$N$96,0))),0)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IFERROR(INDEX('계좌현황'!A:A,INDEX($L$20:$L$96,MATCH(LARGE($N$20:$N$96,49),$N$20:$N$96,0))),"")</f>
        <v/>
      </c>
      <c r="C68" s="288">
        <f>IFERROR(INDEX('계좌현황'!C:C,INDEX($L$20:$L$96,MATCH(LARGE($N$20:$N$96,49),$N$20:$N$96,0))),"")</f>
        <v/>
      </c>
      <c r="D68" s="288">
        <f>IFERROR(INDEX('계좌현황'!D:D,INDEX($L$20:$L$96,MATCH(LARGE($N$20:$N$96,49),$N$20:$N$96,0))),"")</f>
        <v/>
      </c>
      <c r="E68" s="288">
        <f>IFERROR(INDEX('계좌현황'!E:E,INDEX($L$20:$L$96,MATCH(LARGE($N$20:$N$96,49),$N$20:$N$96,0))),"")</f>
        <v/>
      </c>
      <c r="F68" s="318">
        <f>IFERROR(INDEX('계좌현황'!F:F,INDEX($L$20:$L$96,MATCH(LARGE($N$20:$N$96,49),$N$20:$N$96,0))),"")</f>
        <v/>
      </c>
      <c r="G68" s="319">
        <f>IFERROR(INDEX('계좌현황'!K:K,INDEX($L$20:$L$96,MATCH(LARGE($N$20:$N$96,49),$N$20:$N$96,0))),0)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5" t="n">
        <v>50</v>
      </c>
      <c r="B69" s="285">
        <f>IFERROR(INDEX('계좌현황'!A:A,INDEX($L$20:$L$96,MATCH(LARGE($N$20:$N$96,50),$N$20:$N$96,0))),"")</f>
        <v/>
      </c>
      <c r="C69" s="285">
        <f>IFERROR(INDEX('계좌현황'!C:C,INDEX($L$20:$L$96,MATCH(LARGE($N$20:$N$96,50),$N$20:$N$96,0))),"")</f>
        <v/>
      </c>
      <c r="D69" s="285">
        <f>IFERROR(INDEX('계좌현황'!D:D,INDEX($L$20:$L$96,MATCH(LARGE($N$20:$N$96,50),$N$20:$N$96,0))),"")</f>
        <v/>
      </c>
      <c r="E69" s="285">
        <f>IFERROR(INDEX('계좌현황'!E:E,INDEX($L$20:$L$96,MATCH(LARGE($N$20:$N$96,50),$N$20:$N$96,0))),"")</f>
        <v/>
      </c>
      <c r="F69" s="315">
        <f>IFERROR(INDEX('계좌현황'!F:F,INDEX($L$20:$L$96,MATCH(LARGE($N$20:$N$96,50),$N$20:$N$96,0))),"")</f>
        <v/>
      </c>
      <c r="G69" s="316">
        <f>IFERROR(INDEX('계좌현황'!K:K,INDEX($L$20:$L$96,MATCH(LARGE($N$20:$N$96,50),$N$20:$N$96,0))),0)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8" t="n">
        <v>51</v>
      </c>
      <c r="B70" s="288">
        <f>IFERROR(INDEX('계좌현황'!A:A,INDEX($L$20:$L$96,MATCH(LARGE($N$20:$N$96,51),$N$20:$N$96,0))),"")</f>
        <v/>
      </c>
      <c r="C70" s="288">
        <f>IFERROR(INDEX('계좌현황'!C:C,INDEX($L$20:$L$96,MATCH(LARGE($N$20:$N$96,51),$N$20:$N$96,0))),"")</f>
        <v/>
      </c>
      <c r="D70" s="288">
        <f>IFERROR(INDEX('계좌현황'!D:D,INDEX($L$20:$L$96,MATCH(LARGE($N$20:$N$96,51),$N$20:$N$96,0))),"")</f>
        <v/>
      </c>
      <c r="E70" s="288">
        <f>IFERROR(INDEX('계좌현황'!E:E,INDEX($L$20:$L$96,MATCH(LARGE($N$20:$N$96,51),$N$20:$N$96,0))),"")</f>
        <v/>
      </c>
      <c r="F70" s="318">
        <f>IFERROR(INDEX('계좌현황'!F:F,INDEX($L$20:$L$96,MATCH(LARGE($N$20:$N$96,51),$N$20:$N$96,0))),"")</f>
        <v/>
      </c>
      <c r="G70" s="319">
        <f>IFERROR(INDEX('계좌현황'!K:K,INDEX($L$20:$L$96,MATCH(LARGE($N$20:$N$96,51),$N$20:$N$96,0))),0)</f>
        <v/>
      </c>
      <c r="H70" s="320">
        <f>IF($B$3=0,0,G70/$B$3)</f>
        <v/>
      </c>
      <c r="I70" s="320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5" t="n">
        <v>52</v>
      </c>
      <c r="B71" s="285">
        <f>IFERROR(INDEX('계좌현황'!A:A,INDEX($L$20:$L$96,MATCH(LARGE($N$20:$N$96,52),$N$20:$N$96,0))),"")</f>
        <v/>
      </c>
      <c r="C71" s="285">
        <f>IFERROR(INDEX('계좌현황'!C:C,INDEX($L$20:$L$96,MATCH(LARGE($N$20:$N$96,52),$N$20:$N$96,0))),"")</f>
        <v/>
      </c>
      <c r="D71" s="285">
        <f>IFERROR(INDEX('계좌현황'!D:D,INDEX($L$20:$L$96,MATCH(LARGE($N$20:$N$96,52),$N$20:$N$96,0))),"")</f>
        <v/>
      </c>
      <c r="E71" s="285">
        <f>IFERROR(INDEX('계좌현황'!E:E,INDEX($L$20:$L$96,MATCH(LARGE($N$20:$N$96,52),$N$20:$N$96,0))),"")</f>
        <v/>
      </c>
      <c r="F71" s="315">
        <f>IFERROR(INDEX('계좌현황'!F:F,INDEX($L$20:$L$96,MATCH(LARGE($N$20:$N$96,52),$N$20:$N$96,0))),"")</f>
        <v/>
      </c>
      <c r="G71" s="316">
        <f>IFERROR(INDEX('계좌현황'!K:K,INDEX($L$20:$L$96,MATCH(LARGE($N$20:$N$96,52),$N$20:$N$96,0))),0)</f>
        <v/>
      </c>
      <c r="H71" s="317">
        <f>IF($B$3=0,0,G71/$B$3)</f>
        <v/>
      </c>
      <c r="I71" s="317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IFERROR(INDEX('계좌현황'!A:A,INDEX($L$20:$L$96,MATCH(LARGE($N$20:$N$96,53),$N$20:$N$96,0))),"")</f>
        <v/>
      </c>
      <c r="C72" s="288">
        <f>IFERROR(INDEX('계좌현황'!C:C,INDEX($L$20:$L$96,MATCH(LARGE($N$20:$N$96,53),$N$20:$N$96,0))),"")</f>
        <v/>
      </c>
      <c r="D72" s="288">
        <f>IFERROR(INDEX('계좌현황'!D:D,INDEX($L$20:$L$96,MATCH(LARGE($N$20:$N$96,53),$N$20:$N$96,0))),"")</f>
        <v/>
      </c>
      <c r="E72" s="288">
        <f>IFERROR(INDEX('계좌현황'!E:E,INDEX($L$20:$L$96,MATCH(LARGE($N$20:$N$96,53),$N$20:$N$96,0))),"")</f>
        <v/>
      </c>
      <c r="F72" s="318">
        <f>IFERROR(INDEX('계좌현황'!F:F,INDEX($L$20:$L$96,MATCH(LARGE($N$20:$N$96,53),$N$20:$N$96,0))),"")</f>
        <v/>
      </c>
      <c r="G72" s="319">
        <f>IFERROR(INDEX('계좌현황'!K:K,INDEX($L$20:$L$96,MATCH(LARGE($N$20:$N$96,53),$N$20:$N$96,0))),0)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IFERROR(INDEX('계좌현황'!A:A,INDEX($L$20:$L$96,MATCH(LARGE($N$20:$N$96,54),$N$20:$N$96,0))),"")</f>
        <v/>
      </c>
      <c r="C73" s="288">
        <f>IFERROR(INDEX('계좌현황'!C:C,INDEX($L$20:$L$96,MATCH(LARGE($N$20:$N$96,54),$N$20:$N$96,0))),"")</f>
        <v/>
      </c>
      <c r="D73" s="288">
        <f>IFERROR(INDEX('계좌현황'!D:D,INDEX($L$20:$L$96,MATCH(LARGE($N$20:$N$96,54),$N$20:$N$96,0))),"")</f>
        <v/>
      </c>
      <c r="E73" s="288">
        <f>IFERROR(INDEX('계좌현황'!E:E,INDEX($L$20:$L$96,MATCH(LARGE($N$20:$N$96,54),$N$20:$N$96,0))),"")</f>
        <v/>
      </c>
      <c r="F73" s="318">
        <f>IFERROR(INDEX('계좌현황'!F:F,INDEX($L$20:$L$96,MATCH(LARGE($N$20:$N$96,54),$N$20:$N$96,0))),"")</f>
        <v/>
      </c>
      <c r="G73" s="319">
        <f>IFERROR(INDEX('계좌현황'!K:K,INDEX($L$20:$L$96,MATCH(LARGE($N$20:$N$96,54),$N$20:$N$96,0))),0)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IFERROR(INDEX('계좌현황'!A:A,INDEX($L$20:$L$96,MATCH(LARGE($N$20:$N$96,55),$N$20:$N$96,0))),"")</f>
        <v/>
      </c>
      <c r="C74" s="288">
        <f>IFERROR(INDEX('계좌현황'!C:C,INDEX($L$20:$L$96,MATCH(LARGE($N$20:$N$96,55),$N$20:$N$96,0))),"")</f>
        <v/>
      </c>
      <c r="D74" s="288">
        <f>IFERROR(INDEX('계좌현황'!D:D,INDEX($L$20:$L$96,MATCH(LARGE($N$20:$N$96,55),$N$20:$N$96,0))),"")</f>
        <v/>
      </c>
      <c r="E74" s="288">
        <f>IFERROR(INDEX('계좌현황'!E:E,INDEX($L$20:$L$96,MATCH(LARGE($N$20:$N$96,55),$N$20:$N$96,0))),"")</f>
        <v/>
      </c>
      <c r="F74" s="318">
        <f>IFERROR(INDEX('계좌현황'!F:F,INDEX($L$20:$L$96,MATCH(LARGE($N$20:$N$96,55),$N$20:$N$96,0))),"")</f>
        <v/>
      </c>
      <c r="G74" s="319">
        <f>IFERROR(INDEX('계좌현황'!K:K,INDEX($L$20:$L$96,MATCH(LARGE($N$20:$N$96,55),$N$20:$N$96,0))),0)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IFERROR(INDEX('계좌현황'!A:A,INDEX($L$20:$L$96,MATCH(LARGE($N$20:$N$96,56),$N$20:$N$96,0))),"")</f>
        <v/>
      </c>
      <c r="C75" s="288">
        <f>IFERROR(INDEX('계좌현황'!C:C,INDEX($L$20:$L$96,MATCH(LARGE($N$20:$N$96,56),$N$20:$N$96,0))),"")</f>
        <v/>
      </c>
      <c r="D75" s="288">
        <f>IFERROR(INDEX('계좌현황'!D:D,INDEX($L$20:$L$96,MATCH(LARGE($N$20:$N$96,56),$N$20:$N$96,0))),"")</f>
        <v/>
      </c>
      <c r="E75" s="288">
        <f>IFERROR(INDEX('계좌현황'!E:E,INDEX($L$20:$L$96,MATCH(LARGE($N$20:$N$96,56),$N$20:$N$96,0))),"")</f>
        <v/>
      </c>
      <c r="F75" s="318">
        <f>IFERROR(INDEX('계좌현황'!F:F,INDEX($L$20:$L$96,MATCH(LARGE($N$20:$N$96,56),$N$20:$N$96,0))),"")</f>
        <v/>
      </c>
      <c r="G75" s="319">
        <f>IFERROR(INDEX('계좌현황'!K:K,INDEX($L$20:$L$96,MATCH(LARGE($N$20:$N$96,56),$N$20:$N$96,0))),0)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IFERROR(INDEX('계좌현황'!A:A,INDEX($L$20:$L$96,MATCH(LARGE($N$20:$N$96,57),$N$20:$N$96,0))),"")</f>
        <v/>
      </c>
      <c r="C76" s="288">
        <f>IFERROR(INDEX('계좌현황'!C:C,INDEX($L$20:$L$96,MATCH(LARGE($N$20:$N$96,57),$N$20:$N$96,0))),"")</f>
        <v/>
      </c>
      <c r="D76" s="288">
        <f>IFERROR(INDEX('계좌현황'!D:D,INDEX($L$20:$L$96,MATCH(LARGE($N$20:$N$96,57),$N$20:$N$96,0))),"")</f>
        <v/>
      </c>
      <c r="E76" s="288">
        <f>IFERROR(INDEX('계좌현황'!E:E,INDEX($L$20:$L$96,MATCH(LARGE($N$20:$N$96,57),$N$20:$N$96,0))),"")</f>
        <v/>
      </c>
      <c r="F76" s="318">
        <f>IFERROR(INDEX('계좌현황'!F:F,INDEX($L$20:$L$96,MATCH(LARGE($N$20:$N$96,57),$N$20:$N$96,0))),"")</f>
        <v/>
      </c>
      <c r="G76" s="319">
        <f>IFERROR(INDEX('계좌현황'!K:K,INDEX($L$20:$L$96,MATCH(LARGE($N$20:$N$96,57),$N$20:$N$96,0))),0)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IFERROR(INDEX('계좌현황'!A:A,INDEX($L$20:$L$96,MATCH(LARGE($N$20:$N$96,58),$N$20:$N$96,0))),"")</f>
        <v/>
      </c>
      <c r="C77" s="288">
        <f>IFERROR(INDEX('계좌현황'!C:C,INDEX($L$20:$L$96,MATCH(LARGE($N$20:$N$96,58),$N$20:$N$96,0))),"")</f>
        <v/>
      </c>
      <c r="D77" s="288">
        <f>IFERROR(INDEX('계좌현황'!D:D,INDEX($L$20:$L$96,MATCH(LARGE($N$20:$N$96,58),$N$20:$N$96,0))),"")</f>
        <v/>
      </c>
      <c r="E77" s="288">
        <f>IFERROR(INDEX('계좌현황'!E:E,INDEX($L$20:$L$96,MATCH(LARGE($N$20:$N$96,58),$N$20:$N$96,0))),"")</f>
        <v/>
      </c>
      <c r="F77" s="318">
        <f>IFERROR(INDEX('계좌현황'!F:F,INDEX($L$20:$L$96,MATCH(LARGE($N$20:$N$96,58),$N$20:$N$96,0))),"")</f>
        <v/>
      </c>
      <c r="G77" s="319">
        <f>IFERROR(INDEX('계좌현황'!K:K,INDEX($L$20:$L$96,MATCH(LARGE($N$20:$N$96,58),$N$20:$N$96,0))),0)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IFERROR(INDEX('계좌현황'!A:A,INDEX($L$20:$L$96,MATCH(LARGE($N$20:$N$96,59),$N$20:$N$96,0))),"")</f>
        <v/>
      </c>
      <c r="C78" s="288">
        <f>IFERROR(INDEX('계좌현황'!C:C,INDEX($L$20:$L$96,MATCH(LARGE($N$20:$N$96,59),$N$20:$N$96,0))),"")</f>
        <v/>
      </c>
      <c r="D78" s="288">
        <f>IFERROR(INDEX('계좌현황'!D:D,INDEX($L$20:$L$96,MATCH(LARGE($N$20:$N$96,59),$N$20:$N$96,0))),"")</f>
        <v/>
      </c>
      <c r="E78" s="288">
        <f>IFERROR(INDEX('계좌현황'!E:E,INDEX($L$20:$L$96,MATCH(LARGE($N$20:$N$96,59),$N$20:$N$96,0))),"")</f>
        <v/>
      </c>
      <c r="F78" s="318">
        <f>IFERROR(INDEX('계좌현황'!F:F,INDEX($L$20:$L$96,MATCH(LARGE($N$20:$N$96,59),$N$20:$N$96,0))),"")</f>
        <v/>
      </c>
      <c r="G78" s="319">
        <f>IFERROR(INDEX('계좌현황'!K:K,INDEX($L$20:$L$96,MATCH(LARGE($N$20:$N$96,59),$N$20:$N$96,0))),0)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IFERROR(INDEX('계좌현황'!A:A,INDEX($L$20:$L$96,MATCH(LARGE($N$20:$N$96,60),$N$20:$N$96,0))),"")</f>
        <v/>
      </c>
      <c r="C79" s="288">
        <f>IFERROR(INDEX('계좌현황'!C:C,INDEX($L$20:$L$96,MATCH(LARGE($N$20:$N$96,60),$N$20:$N$96,0))),"")</f>
        <v/>
      </c>
      <c r="D79" s="288">
        <f>IFERROR(INDEX('계좌현황'!D:D,INDEX($L$20:$L$96,MATCH(LARGE($N$20:$N$96,60),$N$20:$N$96,0))),"")</f>
        <v/>
      </c>
      <c r="E79" s="288">
        <f>IFERROR(INDEX('계좌현황'!E:E,INDEX($L$20:$L$96,MATCH(LARGE($N$20:$N$96,60),$N$20:$N$96,0))),"")</f>
        <v/>
      </c>
      <c r="F79" s="318">
        <f>IFERROR(INDEX('계좌현황'!F:F,INDEX($L$20:$L$96,MATCH(LARGE($N$20:$N$96,60),$N$20:$N$96,0))),"")</f>
        <v/>
      </c>
      <c r="G79" s="319">
        <f>IFERROR(INDEX('계좌현황'!K:K,INDEX($L$20:$L$96,MATCH(LARGE($N$20:$N$96,60),$N$20:$N$96,0))),0)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IFERROR(INDEX('계좌현황'!A:A,INDEX($L$20:$L$96,MATCH(LARGE($N$20:$N$96,61),$N$20:$N$96,0))),"")</f>
        <v/>
      </c>
      <c r="C80" s="288">
        <f>IFERROR(INDEX('계좌현황'!C:C,INDEX($L$20:$L$96,MATCH(LARGE($N$20:$N$96,61),$N$20:$N$96,0))),"")</f>
        <v/>
      </c>
      <c r="D80" s="288">
        <f>IFERROR(INDEX('계좌현황'!D:D,INDEX($L$20:$L$96,MATCH(LARGE($N$20:$N$96,61),$N$20:$N$96,0))),"")</f>
        <v/>
      </c>
      <c r="E80" s="288">
        <f>IFERROR(INDEX('계좌현황'!E:E,INDEX($L$20:$L$96,MATCH(LARGE($N$20:$N$96,61),$N$20:$N$96,0))),"")</f>
        <v/>
      </c>
      <c r="F80" s="318">
        <f>IFERROR(INDEX('계좌현황'!F:F,INDEX($L$20:$L$96,MATCH(LARGE($N$20:$N$96,61),$N$20:$N$96,0))),"")</f>
        <v/>
      </c>
      <c r="G80" s="319">
        <f>IFERROR(INDEX('계좌현황'!K:K,INDEX($L$20:$L$96,MATCH(LARGE($N$20:$N$96,61),$N$20:$N$96,0))),0)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IFERROR(INDEX('계좌현황'!A:A,INDEX($L$20:$L$96,MATCH(LARGE($N$20:$N$96,62),$N$20:$N$96,0))),"")</f>
        <v/>
      </c>
      <c r="C81" s="288">
        <f>IFERROR(INDEX('계좌현황'!C:C,INDEX($L$20:$L$96,MATCH(LARGE($N$20:$N$96,62),$N$20:$N$96,0))),"")</f>
        <v/>
      </c>
      <c r="D81" s="288">
        <f>IFERROR(INDEX('계좌현황'!D:D,INDEX($L$20:$L$96,MATCH(LARGE($N$20:$N$96,62),$N$20:$N$96,0))),"")</f>
        <v/>
      </c>
      <c r="E81" s="288">
        <f>IFERROR(INDEX('계좌현황'!E:E,INDEX($L$20:$L$96,MATCH(LARGE($N$20:$N$96,62),$N$20:$N$96,0))),"")</f>
        <v/>
      </c>
      <c r="F81" s="318">
        <f>IFERROR(INDEX('계좌현황'!F:F,INDEX($L$20:$L$96,MATCH(LARGE($N$20:$N$96,62),$N$20:$N$96,0))),"")</f>
        <v/>
      </c>
      <c r="G81" s="319">
        <f>IFERROR(INDEX('계좌현황'!K:K,INDEX($L$20:$L$96,MATCH(LARGE($N$20:$N$96,62),$N$20:$N$96,0))),0)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IFERROR(INDEX('계좌현황'!A:A,INDEX($L$20:$L$96,MATCH(LARGE($N$20:$N$96,63),$N$20:$N$96,0))),"")</f>
        <v/>
      </c>
      <c r="C82" s="288">
        <f>IFERROR(INDEX('계좌현황'!C:C,INDEX($L$20:$L$96,MATCH(LARGE($N$20:$N$96,63),$N$20:$N$96,0))),"")</f>
        <v/>
      </c>
      <c r="D82" s="288">
        <f>IFERROR(INDEX('계좌현황'!D:D,INDEX($L$20:$L$96,MATCH(LARGE($N$20:$N$96,63),$N$20:$N$96,0))),"")</f>
        <v/>
      </c>
      <c r="E82" s="288">
        <f>IFERROR(INDEX('계좌현황'!E:E,INDEX($L$20:$L$96,MATCH(LARGE($N$20:$N$96,63),$N$20:$N$96,0))),"")</f>
        <v/>
      </c>
      <c r="F82" s="318">
        <f>IFERROR(INDEX('계좌현황'!F:F,INDEX($L$20:$L$96,MATCH(LARGE($N$20:$N$96,63),$N$20:$N$96,0))),"")</f>
        <v/>
      </c>
      <c r="G82" s="319">
        <f>IFERROR(INDEX('계좌현황'!K:K,INDEX($L$20:$L$96,MATCH(LARGE($N$20:$N$96,63),$N$20:$N$96,0))),0)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288" t="n">
        <v>64</v>
      </c>
      <c r="B83" s="288">
        <f>IFERROR(INDEX('계좌현황'!A:A,INDEX($L$20:$L$96,MATCH(LARGE($N$20:$N$96,64),$N$20:$N$96,0))),"")</f>
        <v/>
      </c>
      <c r="C83" s="288">
        <f>IFERROR(INDEX('계좌현황'!C:C,INDEX($L$20:$L$96,MATCH(LARGE($N$20:$N$96,64),$N$20:$N$96,0))),"")</f>
        <v/>
      </c>
      <c r="D83" s="288">
        <f>IFERROR(INDEX('계좌현황'!D:D,INDEX($L$20:$L$96,MATCH(LARGE($N$20:$N$96,64),$N$20:$N$96,0))),"")</f>
        <v/>
      </c>
      <c r="E83" s="288">
        <f>IFERROR(INDEX('계좌현황'!E:E,INDEX($L$20:$L$96,MATCH(LARGE($N$20:$N$96,64),$N$20:$N$96,0))),"")</f>
        <v/>
      </c>
      <c r="F83" s="318">
        <f>IFERROR(INDEX('계좌현황'!F:F,INDEX($L$20:$L$96,MATCH(LARGE($N$20:$N$96,64),$N$20:$N$96,0))),"")</f>
        <v/>
      </c>
      <c r="G83" s="319">
        <f>IFERROR(INDEX('계좌현황'!K:K,INDEX($L$20:$L$96,MATCH(LARGE($N$20:$N$96,64),$N$20:$N$96,0))),0)</f>
        <v/>
      </c>
      <c r="H83" s="320">
        <f>IF($B$3=0,0,G83/$B$3)</f>
        <v/>
      </c>
      <c r="I83" s="320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88" t="n">
        <v>65</v>
      </c>
      <c r="B84" s="288">
        <f>IFERROR(INDEX('계좌현황'!A:A,INDEX($L$20:$L$96,MATCH(LARGE($N$20:$N$96,65),$N$20:$N$96,0))),"")</f>
        <v/>
      </c>
      <c r="C84" s="288">
        <f>IFERROR(INDEX('계좌현황'!C:C,INDEX($L$20:$L$96,MATCH(LARGE($N$20:$N$96,65),$N$20:$N$96,0))),"")</f>
        <v/>
      </c>
      <c r="D84" s="288">
        <f>IFERROR(INDEX('계좌현황'!D:D,INDEX($L$20:$L$96,MATCH(LARGE($N$20:$N$96,65),$N$20:$N$96,0))),"")</f>
        <v/>
      </c>
      <c r="E84" s="288">
        <f>IFERROR(INDEX('계좌현황'!E:E,INDEX($L$20:$L$96,MATCH(LARGE($N$20:$N$96,65),$N$20:$N$96,0))),"")</f>
        <v/>
      </c>
      <c r="F84" s="318">
        <f>IFERROR(INDEX('계좌현황'!F:F,INDEX($L$20:$L$96,MATCH(LARGE($N$20:$N$96,65),$N$20:$N$96,0))),"")</f>
        <v/>
      </c>
      <c r="G84" s="319">
        <f>IFERROR(INDEX('계좌현황'!K:K,INDEX($L$20:$L$96,MATCH(LARGE($N$20:$N$96,65),$N$20:$N$96,0))),0)</f>
        <v/>
      </c>
      <c r="H84" s="320">
        <f>IF($B$3=0,0,G84/$B$3)</f>
        <v/>
      </c>
      <c r="I84" s="320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300" t="n">
        <v>66</v>
      </c>
      <c r="B85" s="300">
        <f>IFERROR(INDEX('계좌현황'!A:A,INDEX($L$20:$L$96,MATCH(LARGE($N$20:$N$96,66),$N$20:$N$96,0))),"")</f>
        <v/>
      </c>
      <c r="C85" s="300">
        <f>IFERROR(INDEX('계좌현황'!C:C,INDEX($L$20:$L$96,MATCH(LARGE($N$20:$N$96,66),$N$20:$N$96,0))),"")</f>
        <v/>
      </c>
      <c r="D85" s="300">
        <f>IFERROR(INDEX('계좌현황'!D:D,INDEX($L$20:$L$96,MATCH(LARGE($N$20:$N$96,66),$N$20:$N$96,0))),"")</f>
        <v/>
      </c>
      <c r="E85" s="300">
        <f>IFERROR(INDEX('계좌현황'!E:E,INDEX($L$20:$L$96,MATCH(LARGE($N$20:$N$96,66),$N$20:$N$96,0))),"")</f>
        <v/>
      </c>
      <c r="F85" s="330">
        <f>IFERROR(INDEX('계좌현황'!F:F,INDEX($L$20:$L$96,MATCH(LARGE($N$20:$N$96,66),$N$20:$N$96,0))),"")</f>
        <v/>
      </c>
      <c r="G85" s="331">
        <f>IFERROR(INDEX('계좌현황'!K:K,INDEX($L$20:$L$96,MATCH(LARGE($N$20:$N$96,66),$N$20:$N$96,0))),0)</f>
        <v/>
      </c>
      <c r="H85" s="332">
        <f>IF($B$3=0,0,G85/$B$3)</f>
        <v/>
      </c>
      <c r="I85" s="332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0" t="n">
        <v>67</v>
      </c>
      <c r="B86" s="300">
        <f>IFERROR(INDEX('계좌현황'!A:A,INDEX($L$20:$L$96,MATCH(LARGE($N$20:$N$96,67),$N$20:$N$96,0))),"")</f>
        <v/>
      </c>
      <c r="C86" s="300">
        <f>IFERROR(INDEX('계좌현황'!C:C,INDEX($L$20:$L$96,MATCH(LARGE($N$20:$N$96,67),$N$20:$N$96,0))),"")</f>
        <v/>
      </c>
      <c r="D86" s="300">
        <f>IFERROR(INDEX('계좌현황'!D:D,INDEX($L$20:$L$96,MATCH(LARGE($N$20:$N$96,67),$N$20:$N$96,0))),"")</f>
        <v/>
      </c>
      <c r="E86" s="300">
        <f>IFERROR(INDEX('계좌현황'!E:E,INDEX($L$20:$L$96,MATCH(LARGE($N$20:$N$96,67),$N$20:$N$96,0))),"")</f>
        <v/>
      </c>
      <c r="F86" s="330">
        <f>IFERROR(INDEX('계좌현황'!F:F,INDEX($L$20:$L$96,MATCH(LARGE($N$20:$N$96,67),$N$20:$N$96,0))),"")</f>
        <v/>
      </c>
      <c r="G86" s="331">
        <f>IFERROR(INDEX('계좌현황'!K:K,INDEX($L$20:$L$96,MATCH(LARGE($N$20:$N$96,67),$N$20:$N$96,0))),0)</f>
        <v/>
      </c>
      <c r="H86" s="332">
        <f>IF($B$3=0,0,G86/$B$3)</f>
        <v/>
      </c>
      <c r="I86" s="332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IFERROR(INDEX('계좌현황'!A:A,INDEX($L$20:$L$96,MATCH(LARGE($N$20:$N$96,68),$N$20:$N$96,0))),"")</f>
        <v/>
      </c>
      <c r="C87" s="288">
        <f>IFERROR(INDEX('계좌현황'!C:C,INDEX($L$20:$L$96,MATCH(LARGE($N$20:$N$96,68),$N$20:$N$96,0))),"")</f>
        <v/>
      </c>
      <c r="D87" s="288">
        <f>IFERROR(INDEX('계좌현황'!D:D,INDEX($L$20:$L$96,MATCH(LARGE($N$20:$N$96,68),$N$20:$N$96,0))),"")</f>
        <v/>
      </c>
      <c r="E87" s="288">
        <f>IFERROR(INDEX('계좌현황'!E:E,INDEX($L$20:$L$96,MATCH(LARGE($N$20:$N$96,68),$N$20:$N$96,0))),"")</f>
        <v/>
      </c>
      <c r="F87" s="318">
        <f>IFERROR(INDEX('계좌현황'!F:F,INDEX($L$20:$L$96,MATCH(LARGE($N$20:$N$96,68),$N$20:$N$96,0))),"")</f>
        <v/>
      </c>
      <c r="G87" s="319">
        <f>IFERROR(INDEX('계좌현황'!K:K,INDEX($L$20:$L$96,MATCH(LARGE($N$20:$N$96,68),$N$20:$N$96,0))),0)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288" t="n">
        <v>69</v>
      </c>
      <c r="B88" s="288">
        <f>IFERROR(INDEX('계좌현황'!A:A,INDEX($L$20:$L$96,MATCH(LARGE($N$20:$N$96,69),$N$20:$N$96,0))),"")</f>
        <v/>
      </c>
      <c r="C88" s="288">
        <f>IFERROR(INDEX('계좌현황'!C:C,INDEX($L$20:$L$96,MATCH(LARGE($N$20:$N$96,69),$N$20:$N$96,0))),"")</f>
        <v/>
      </c>
      <c r="D88" s="288">
        <f>IFERROR(INDEX('계좌현황'!D:D,INDEX($L$20:$L$96,MATCH(LARGE($N$20:$N$96,69),$N$20:$N$96,0))),"")</f>
        <v/>
      </c>
      <c r="E88" s="288">
        <f>IFERROR(INDEX('계좌현황'!E:E,INDEX($L$20:$L$96,MATCH(LARGE($N$20:$N$96,69),$N$20:$N$96,0))),"")</f>
        <v/>
      </c>
      <c r="F88" s="318">
        <f>IFERROR(INDEX('계좌현황'!F:F,INDEX($L$20:$L$96,MATCH(LARGE($N$20:$N$96,69),$N$20:$N$96,0))),"")</f>
        <v/>
      </c>
      <c r="G88" s="319">
        <f>IFERROR(INDEX('계좌현황'!K:K,INDEX($L$20:$L$96,MATCH(LARGE($N$20:$N$96,69),$N$20:$N$96,0))),0)</f>
        <v/>
      </c>
      <c r="H88" s="320">
        <f>IF($B$3=0,0,G88/$B$3)</f>
        <v/>
      </c>
      <c r="I88" s="320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300" t="n">
        <v>70</v>
      </c>
      <c r="B89" s="300">
        <f>IFERROR(INDEX('계좌현황'!A:A,INDEX($L$20:$L$96,MATCH(LARGE($N$20:$N$96,70),$N$20:$N$96,0))),"")</f>
        <v/>
      </c>
      <c r="C89" s="300">
        <f>IFERROR(INDEX('계좌현황'!C:C,INDEX($L$20:$L$96,MATCH(LARGE($N$20:$N$96,70),$N$20:$N$96,0))),"")</f>
        <v/>
      </c>
      <c r="D89" s="300">
        <f>IFERROR(INDEX('계좌현황'!D:D,INDEX($L$20:$L$96,MATCH(LARGE($N$20:$N$96,70),$N$20:$N$96,0))),"")</f>
        <v/>
      </c>
      <c r="E89" s="300">
        <f>IFERROR(INDEX('계좌현황'!E:E,INDEX($L$20:$L$96,MATCH(LARGE($N$20:$N$96,70),$N$20:$N$96,0))),"")</f>
        <v/>
      </c>
      <c r="F89" s="330">
        <f>IFERROR(INDEX('계좌현황'!F:F,INDEX($L$20:$L$96,MATCH(LARGE($N$20:$N$96,70),$N$20:$N$96,0))),"")</f>
        <v/>
      </c>
      <c r="G89" s="331">
        <f>IFERROR(INDEX('계좌현황'!K:K,INDEX($L$20:$L$96,MATCH(LARGE($N$20:$N$96,70),$N$20:$N$96,0))),0)</f>
        <v/>
      </c>
      <c r="H89" s="332">
        <f>IF($B$3=0,0,G89/$B$3)</f>
        <v/>
      </c>
      <c r="I89" s="332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IFERROR(INDEX('계좌현황'!A:A,INDEX($L$20:$L$96,MATCH(LARGE($N$20:$N$96,71),$N$20:$N$96,0))),"")</f>
        <v/>
      </c>
      <c r="C90" s="288">
        <f>IFERROR(INDEX('계좌현황'!C:C,INDEX($L$20:$L$96,MATCH(LARGE($N$20:$N$96,71),$N$20:$N$96,0))),"")</f>
        <v/>
      </c>
      <c r="D90" s="288">
        <f>IFERROR(INDEX('계좌현황'!D:D,INDEX($L$20:$L$96,MATCH(LARGE($N$20:$N$96,71),$N$20:$N$96,0))),"")</f>
        <v/>
      </c>
      <c r="E90" s="288">
        <f>IFERROR(INDEX('계좌현황'!E:E,INDEX($L$20:$L$96,MATCH(LARGE($N$20:$N$96,71),$N$20:$N$96,0))),"")</f>
        <v/>
      </c>
      <c r="F90" s="318">
        <f>IFERROR(INDEX('계좌현황'!F:F,INDEX($L$20:$L$96,MATCH(LARGE($N$20:$N$96,71),$N$20:$N$96,0))),"")</f>
        <v/>
      </c>
      <c r="G90" s="319">
        <f>IFERROR(INDEX('계좌현황'!K:K,INDEX($L$20:$L$96,MATCH(LARGE($N$20:$N$96,71),$N$20:$N$96,0))),0)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IFERROR(INDEX('계좌현황'!A:A,INDEX($L$20:$L$96,MATCH(LARGE($N$20:$N$96,72),$N$20:$N$96,0))),"")</f>
        <v/>
      </c>
      <c r="C91" s="288">
        <f>IFERROR(INDEX('계좌현황'!C:C,INDEX($L$20:$L$96,MATCH(LARGE($N$20:$N$96,72),$N$20:$N$96,0))),"")</f>
        <v/>
      </c>
      <c r="D91" s="288">
        <f>IFERROR(INDEX('계좌현황'!D:D,INDEX($L$20:$L$96,MATCH(LARGE($N$20:$N$96,72),$N$20:$N$96,0))),"")</f>
        <v/>
      </c>
      <c r="E91" s="288">
        <f>IFERROR(INDEX('계좌현황'!E:E,INDEX($L$20:$L$96,MATCH(LARGE($N$20:$N$96,72),$N$20:$N$96,0))),"")</f>
        <v/>
      </c>
      <c r="F91" s="318">
        <f>IFERROR(INDEX('계좌현황'!F:F,INDEX($L$20:$L$96,MATCH(LARGE($N$20:$N$96,72),$N$20:$N$96,0))),"")</f>
        <v/>
      </c>
      <c r="G91" s="319">
        <f>IFERROR(INDEX('계좌현황'!K:K,INDEX($L$20:$L$96,MATCH(LARGE($N$20:$N$96,72),$N$20:$N$96,0))),0)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IFERROR(INDEX('계좌현황'!A:A,INDEX($L$20:$L$96,MATCH(LARGE($N$20:$N$96,73),$N$20:$N$96,0))),"")</f>
        <v/>
      </c>
      <c r="C92" s="288">
        <f>IFERROR(INDEX('계좌현황'!C:C,INDEX($L$20:$L$96,MATCH(LARGE($N$20:$N$96,73),$N$20:$N$96,0))),"")</f>
        <v/>
      </c>
      <c r="D92" s="288">
        <f>IFERROR(INDEX('계좌현황'!D:D,INDEX($L$20:$L$96,MATCH(LARGE($N$20:$N$96,73),$N$20:$N$96,0))),"")</f>
        <v/>
      </c>
      <c r="E92" s="288">
        <f>IFERROR(INDEX('계좌현황'!E:E,INDEX($L$20:$L$96,MATCH(LARGE($N$20:$N$96,73),$N$20:$N$96,0))),"")</f>
        <v/>
      </c>
      <c r="F92" s="318">
        <f>IFERROR(INDEX('계좌현황'!F:F,INDEX($L$20:$L$96,MATCH(LARGE($N$20:$N$96,73),$N$20:$N$96,0))),"")</f>
        <v/>
      </c>
      <c r="G92" s="319">
        <f>IFERROR(INDEX('계좌현황'!K:K,INDEX($L$20:$L$96,MATCH(LARGE($N$20:$N$96,73),$N$20:$N$96,0))),0)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IFERROR(INDEX('계좌현황'!A:A,INDEX($L$20:$L$96,MATCH(LARGE($N$20:$N$96,74),$N$20:$N$96,0))),"")</f>
        <v/>
      </c>
      <c r="C93" s="288">
        <f>IFERROR(INDEX('계좌현황'!C:C,INDEX($L$20:$L$96,MATCH(LARGE($N$20:$N$96,74),$N$20:$N$96,0))),"")</f>
        <v/>
      </c>
      <c r="D93" s="288">
        <f>IFERROR(INDEX('계좌현황'!D:D,INDEX($L$20:$L$96,MATCH(LARGE($N$20:$N$96,74),$N$20:$N$96,0))),"")</f>
        <v/>
      </c>
      <c r="E93" s="288">
        <f>IFERROR(INDEX('계좌현황'!E:E,INDEX($L$20:$L$96,MATCH(LARGE($N$20:$N$96,74),$N$20:$N$96,0))),"")</f>
        <v/>
      </c>
      <c r="F93" s="318">
        <f>IFERROR(INDEX('계좌현황'!F:F,INDEX($L$20:$L$96,MATCH(LARGE($N$20:$N$96,74),$N$20:$N$96,0))),"")</f>
        <v/>
      </c>
      <c r="G93" s="319">
        <f>IFERROR(INDEX('계좌현황'!K:K,INDEX($L$20:$L$96,MATCH(LARGE($N$20:$N$96,74),$N$20:$N$96,0))),0)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88" t="n">
        <v>75</v>
      </c>
      <c r="B94" s="288">
        <f>IFERROR(INDEX('계좌현황'!A:A,INDEX($L$20:$L$96,MATCH(LARGE($N$20:$N$96,75),$N$20:$N$96,0))),"")</f>
        <v/>
      </c>
      <c r="C94" s="288">
        <f>IFERROR(INDEX('계좌현황'!C:C,INDEX($L$20:$L$96,MATCH(LARGE($N$20:$N$96,75),$N$20:$N$96,0))),"")</f>
        <v/>
      </c>
      <c r="D94" s="288">
        <f>IFERROR(INDEX('계좌현황'!D:D,INDEX($L$20:$L$96,MATCH(LARGE($N$20:$N$96,75),$N$20:$N$96,0))),"")</f>
        <v/>
      </c>
      <c r="E94" s="288">
        <f>IFERROR(INDEX('계좌현황'!E:E,INDEX($L$20:$L$96,MATCH(LARGE($N$20:$N$96,75),$N$20:$N$96,0))),"")</f>
        <v/>
      </c>
      <c r="F94" s="318">
        <f>IFERROR(INDEX('계좌현황'!F:F,INDEX($L$20:$L$96,MATCH(LARGE($N$20:$N$96,75),$N$20:$N$96,0))),"")</f>
        <v/>
      </c>
      <c r="G94" s="319">
        <f>IFERROR(INDEX('계좌현황'!K:K,INDEX($L$20:$L$96,MATCH(LARGE($N$20:$N$96,75),$N$20:$N$96,0))),0)</f>
        <v/>
      </c>
      <c r="H94" s="320">
        <f>IF($B$3=0,0,G94/$B$3)</f>
        <v/>
      </c>
      <c r="I94" s="320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1" t="n">
        <v>76</v>
      </c>
      <c r="B95" s="291">
        <f>IFERROR(INDEX('계좌현황'!A:A,INDEX($L$20:$L$96,MATCH(LARGE($N$20:$N$96,76),$N$20:$N$96,0))),"")</f>
        <v/>
      </c>
      <c r="C95" s="291">
        <f>IFERROR(INDEX('계좌현황'!C:C,INDEX($L$20:$L$96,MATCH(LARGE($N$20:$N$96,76),$N$20:$N$96,0))),"")</f>
        <v/>
      </c>
      <c r="D95" s="291">
        <f>IFERROR(INDEX('계좌현황'!D:D,INDEX($L$20:$L$96,MATCH(LARGE($N$20:$N$96,76),$N$20:$N$96,0))),"")</f>
        <v/>
      </c>
      <c r="E95" s="291">
        <f>IFERROR(INDEX('계좌현황'!E:E,INDEX($L$20:$L$96,MATCH(LARGE($N$20:$N$96,76),$N$20:$N$96,0))),"")</f>
        <v/>
      </c>
      <c r="F95" s="321">
        <f>IFERROR(INDEX('계좌현황'!F:F,INDEX($L$20:$L$96,MATCH(LARGE($N$20:$N$96,76),$N$20:$N$96,0))),"")</f>
        <v/>
      </c>
      <c r="G95" s="322">
        <f>IFERROR(INDEX('계좌현황'!K:K,INDEX($L$20:$L$96,MATCH(LARGE($N$20:$N$96,76),$N$20:$N$96,0))),0)</f>
        <v/>
      </c>
      <c r="H95" s="323">
        <f>IF($B$3=0,0,G95/$B$3)</f>
        <v/>
      </c>
      <c r="I95" s="323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A96" s="297" t="n">
        <v>77</v>
      </c>
      <c r="B96" s="297">
        <f>IFERROR(INDEX('계좌현황'!A:A,INDEX($L$20:$L$96,MATCH(LARGE($N$20:$N$96,77),$N$20:$N$96,0))),"")</f>
        <v/>
      </c>
      <c r="C96" s="297">
        <f>IFERROR(INDEX('계좌현황'!C:C,INDEX($L$20:$L$96,MATCH(LARGE($N$20:$N$96,77),$N$20:$N$96,0))),"")</f>
        <v/>
      </c>
      <c r="D96" s="297">
        <f>IFERROR(INDEX('계좌현황'!D:D,INDEX($L$20:$L$96,MATCH(LARGE($N$20:$N$96,77),$N$20:$N$96,0))),"")</f>
        <v/>
      </c>
      <c r="E96" s="297">
        <f>IFERROR(INDEX('계좌현황'!E:E,INDEX($L$20:$L$96,MATCH(LARGE($N$20:$N$96,77),$N$20:$N$96,0))),"")</f>
        <v/>
      </c>
      <c r="F96" s="327">
        <f>IFERROR(INDEX('계좌현황'!F:F,INDEX($L$20:$L$96,MATCH(LARGE($N$20:$N$96,77),$N$20:$N$96,0))),"")</f>
        <v/>
      </c>
      <c r="G96" s="328">
        <f>IFERROR(INDEX('계좌현황'!K:K,INDEX($L$20:$L$96,MATCH(LARGE($N$20:$N$96,77),$N$20:$N$96,0))),0)</f>
        <v/>
      </c>
      <c r="H96" s="329">
        <f>IF($B$3=0,0,G96/$B$3)</f>
        <v/>
      </c>
      <c r="I96" s="329">
        <f>I95+H96</f>
        <v/>
      </c>
      <c r="L96" t="n">
        <v>85</v>
      </c>
      <c r="M96">
        <f>'계좌현황'!K85</f>
        <v/>
      </c>
      <c r="N96">
        <f>IF(M96="",-1E99,M96*100000+(10000-L96))</f>
        <v/>
      </c>
    </row>
    <row r="97">
      <c r="E97" s="274" t="inlineStr">
        <is>
          <t>합계</t>
        </is>
      </c>
      <c r="G97" s="333">
        <f>SUM(G20:G96)</f>
        <v/>
      </c>
      <c r="H97" s="334">
        <f>SUM(H20:H96)</f>
        <v/>
      </c>
    </row>
    <row r="100">
      <c r="A100" s="271" t="inlineStr">
        <is>
          <t>③ 비중 차트 (전체 100%)</t>
        </is>
      </c>
    </row>
  </sheetData>
  <autoFilter ref="A19:I96"/>
  <mergeCells count="4">
    <mergeCell ref="A18:H18"/>
    <mergeCell ref="A100:H10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199" min="1" max="1"/>
    <col outlineLevel="1" width="12.59765625" customWidth="1" style="199" min="2" max="5"/>
    <col outlineLevel="1" width="11.1328125" customWidth="1" style="199" min="6" max="6"/>
    <col width="15" customWidth="1" style="199" min="7" max="7"/>
    <col width="16.265625" customWidth="1" style="199" min="8" max="8"/>
    <col width="4.3984375" customWidth="1" style="199" min="14" max="16"/>
    <col outlineLevel="1" width="12.59765625" customWidth="1" style="199" min="21" max="33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199">
      <c r="A2" s="204" t="n"/>
      <c r="B2" s="204" t="n"/>
      <c r="C2" s="204" t="n"/>
      <c r="D2" s="204" t="n"/>
      <c r="E2" s="204" t="n"/>
      <c r="F2" s="204" t="n"/>
      <c r="G2" s="16" t="n"/>
      <c r="H2" s="248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199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99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99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99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99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99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99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99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99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99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99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99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99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99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99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99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99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99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99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99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99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99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99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99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99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99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99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99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99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99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99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99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99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99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99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99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99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99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99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99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99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99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99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99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99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99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99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99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99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99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99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99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99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99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99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99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99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99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99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99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99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99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99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99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99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99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99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99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99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99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99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99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99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99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99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99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99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99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99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99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99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99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99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99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99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99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99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99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99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99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99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99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99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99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99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99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99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99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99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99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99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99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99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99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99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99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99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99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99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99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99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99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99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99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99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99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99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99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99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99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99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99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99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99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99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99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99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99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99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99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99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99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99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99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99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99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99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99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99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99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99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99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99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99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99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99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99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99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99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99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99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99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99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99" min="3" max="5"/>
    <col width="13.1328125" customWidth="1" style="199" min="6" max="6"/>
    <col width="22.59765625" customWidth="1" style="199" min="7" max="7"/>
    <col width="18.3984375" customWidth="1" style="199" min="8" max="9"/>
  </cols>
  <sheetData>
    <row r="1" ht="12.75" customHeight="1" s="199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99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99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99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99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199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199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199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199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199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199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199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199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199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199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199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199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199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199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199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199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199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199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199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199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199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199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199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199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199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199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199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199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199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199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199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199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199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199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199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199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199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199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199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199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199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199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199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199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199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199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199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199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199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199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199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199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199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199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199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199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199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199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199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199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199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199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199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199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199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199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199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199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199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199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199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199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199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199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199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199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199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199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199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199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199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199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199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199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199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199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199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199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199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199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199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199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199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199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199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199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199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199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199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199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199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199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199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199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199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199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199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199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199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199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199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199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199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199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199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199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199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199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199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199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199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199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199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199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199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199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199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199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199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199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199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199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199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199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199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199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199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199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199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199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199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199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199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199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199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199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199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199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199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199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199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199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199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199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199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199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199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199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199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199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199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199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199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199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199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199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199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199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199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199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199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199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199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199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199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199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199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199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199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199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199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199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199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199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199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199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199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199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199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199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199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199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199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199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199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199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199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199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199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199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199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199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199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199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199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199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199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199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199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199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199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199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199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199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199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199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199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199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199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199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199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199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199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199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199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199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199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199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199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199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199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199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199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199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199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199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199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199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199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199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199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199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199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199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199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199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199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199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199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199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199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199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199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199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199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199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199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199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199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199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199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199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199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199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199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199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199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199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199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199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199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199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199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199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199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199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199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199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199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199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199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199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199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199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199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199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199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199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199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199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199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199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199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199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199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199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199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199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199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199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199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199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199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199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199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199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199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199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199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199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199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199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199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199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199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199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199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199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199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199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199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199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199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199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199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199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199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199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199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199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199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199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199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199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199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199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199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199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199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199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199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199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199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199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199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199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199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199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199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199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199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199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199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199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199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199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199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199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199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199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199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199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199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199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199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199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199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199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199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199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199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199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199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199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199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199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199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199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199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199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199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199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199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199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199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199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199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199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199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199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199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199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199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199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199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199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199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199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199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199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199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199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199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199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199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199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199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199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199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199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199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199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199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199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199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199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199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199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199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199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199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199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199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199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199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199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199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199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199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199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199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199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199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199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199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199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199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199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199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199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199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199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199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199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199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99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99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99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99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99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99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99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99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99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99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99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99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99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99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99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99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99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99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99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99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99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99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99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99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99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99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99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99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99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99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99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99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99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99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99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99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99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99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99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99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99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99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99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99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99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99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99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99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99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99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99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99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99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99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99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99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99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99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99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99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99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99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99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99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99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99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99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99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99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99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99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99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99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99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99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99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99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99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99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99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99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99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99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99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99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99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99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99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99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99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99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99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99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99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99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99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99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99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99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99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99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99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99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99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99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99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99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99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99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99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99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99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99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99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99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99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99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99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99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99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99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99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99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99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99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99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99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99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99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99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99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99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99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99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99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99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99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99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99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99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99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99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99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99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99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99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99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99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99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99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99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99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99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99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99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99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99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99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99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99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99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99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99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99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99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99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99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99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99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99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99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99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99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99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99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99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99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99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99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99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99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99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99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99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99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99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99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99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99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99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99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99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99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99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99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99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99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99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99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99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99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99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99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99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99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99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99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99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99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99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99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99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99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99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99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99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99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99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99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99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99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99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99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99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99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99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99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99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99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99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99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99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99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99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99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99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99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99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99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99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99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99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99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99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99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99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99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99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99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99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99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99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99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99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99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99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99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99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99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99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99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99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99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99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99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99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99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99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99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99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99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99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99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99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99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99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99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99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99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99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99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99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99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99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99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99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99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99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99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99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99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99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99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99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99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99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99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99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99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99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99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99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99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99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99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99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99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99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99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99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99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99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99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99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99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99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99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99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99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99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99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99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99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99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99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99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99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99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99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99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99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99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99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99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99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99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99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99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99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99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99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99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99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99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99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99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99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99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99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99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99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99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99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99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99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99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99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99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99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99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99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99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99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99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99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99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99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99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99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99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99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99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99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99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99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99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99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99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99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99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99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99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99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99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99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99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99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99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99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99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99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99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99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99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99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99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99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99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99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99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99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99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99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99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99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99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99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99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99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99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99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99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99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99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99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99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99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99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99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99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99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99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99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99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99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99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99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99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99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99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99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99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99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99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99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99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99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99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99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99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99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99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99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99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99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99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99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99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99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99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99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99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99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99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99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99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99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99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99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99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99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99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99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99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99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99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99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99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99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99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99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99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99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99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99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99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99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99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99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99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99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99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99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99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99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99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99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99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99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99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99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99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99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99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99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99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99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99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99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99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99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99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99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99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99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99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99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99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99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99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99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99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99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99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99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99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99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99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99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99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99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99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99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99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99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99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99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99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99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99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99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99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99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99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99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99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99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99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99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99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99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99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99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99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99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99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99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99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0"/>
  <sheetViews>
    <sheetView workbookViewId="0">
      <selection activeCell="A1" sqref="A1"/>
    </sheetView>
  </sheetViews>
  <sheetFormatPr baseColWidth="8" defaultRowHeight="15"/>
  <cols>
    <col width="12" customWidth="1" style="199" min="1" max="1"/>
    <col width="10" customWidth="1" style="199" min="2" max="2"/>
    <col width="14" customWidth="1" style="199" min="3" max="3"/>
    <col width="34" customWidth="1" style="199" min="4" max="4"/>
    <col width="12" customWidth="1" style="199" min="5" max="5"/>
    <col width="12" customWidth="1" style="199" min="6" max="6"/>
    <col width="14" customWidth="1" style="199" min="7" max="7"/>
    <col width="10" customWidth="1" style="199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1,418원/$  | 연간 합계 52,127,279원 · 월평균 4,343,940원</t>
        </is>
      </c>
    </row>
    <row r="3">
      <c r="A3" s="336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4079994.58</v>
      </c>
      <c r="C7" s="277" t="n">
        <v>0</v>
      </c>
      <c r="D7" s="277" t="n">
        <v>4079994.58</v>
      </c>
      <c r="E7" s="276" t="inlineStr">
        <is>
          <t>실적</t>
        </is>
      </c>
    </row>
    <row r="8">
      <c r="A8" s="279" t="inlineStr">
        <is>
          <t>2월</t>
        </is>
      </c>
      <c r="B8" s="280" t="n">
        <v>4211080.800000001</v>
      </c>
      <c r="C8" s="280" t="n">
        <v>25200</v>
      </c>
      <c r="D8" s="280" t="n">
        <v>4236280.800000001</v>
      </c>
      <c r="E8" s="279" t="inlineStr">
        <is>
          <t>혼합</t>
        </is>
      </c>
    </row>
    <row r="9">
      <c r="A9" s="279" t="inlineStr">
        <is>
          <t>3월</t>
        </is>
      </c>
      <c r="B9" s="280" t="n">
        <v>4590113.616</v>
      </c>
      <c r="C9" s="280" t="n">
        <v>55328</v>
      </c>
      <c r="D9" s="280" t="n">
        <v>4645441.616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4196569.834</v>
      </c>
      <c r="C10" s="280" t="n">
        <v>5104</v>
      </c>
      <c r="D10" s="280" t="n">
        <v>4201673.834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4303395.574000001</v>
      </c>
      <c r="C11" s="277" t="n">
        <v>0</v>
      </c>
      <c r="D11" s="277" t="n">
        <v>4303395.574000001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4316582.334</v>
      </c>
      <c r="C12" s="280" t="n">
        <v>55412</v>
      </c>
      <c r="D12" s="280" t="n">
        <v>4371994.334</v>
      </c>
      <c r="E12" s="279" t="inlineStr">
        <is>
          <t>혼합</t>
        </is>
      </c>
    </row>
    <row r="13">
      <c r="A13" s="276" t="inlineStr">
        <is>
          <t>7월</t>
        </is>
      </c>
      <c r="B13" s="277" t="n">
        <v>4331677.734</v>
      </c>
      <c r="C13" s="277" t="n">
        <v>0</v>
      </c>
      <c r="D13" s="277" t="n">
        <v>4331677.734</v>
      </c>
      <c r="E13" s="276" t="inlineStr">
        <is>
          <t>실적</t>
        </is>
      </c>
    </row>
    <row r="14">
      <c r="A14" s="279" t="inlineStr">
        <is>
          <t>8월</t>
        </is>
      </c>
      <c r="B14" s="280" t="n">
        <v>13860</v>
      </c>
      <c r="C14" s="280" t="n">
        <v>4085373.149</v>
      </c>
      <c r="D14" s="280" t="n">
        <v>4099233.149</v>
      </c>
      <c r="E14" s="279" t="inlineStr">
        <is>
          <t>혼합</t>
        </is>
      </c>
    </row>
    <row r="15">
      <c r="A15" s="285" t="inlineStr">
        <is>
          <t>9월</t>
        </is>
      </c>
      <c r="B15" s="286" t="n">
        <v>0</v>
      </c>
      <c r="C15" s="286" t="n">
        <v>4223308.818</v>
      </c>
      <c r="D15" s="286" t="n">
        <v>4223308.818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4068511.272</v>
      </c>
      <c r="D16" s="286" t="n">
        <v>4068511.272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4359665.528</v>
      </c>
      <c r="D17" s="286" t="n">
        <v>4359665.528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5206101.8486</v>
      </c>
      <c r="D18" s="286" t="n">
        <v>5206101.8486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5" t="inlineStr">
        <is>
          <t>종목코드</t>
        </is>
      </c>
      <c r="B23" s="335" t="inlineStr">
        <is>
          <t>종목명</t>
        </is>
      </c>
      <c r="C23" s="335" t="inlineStr">
        <is>
          <t>주기</t>
        </is>
      </c>
      <c r="D23" s="335" t="inlineStr">
        <is>
          <t>연예상(원)</t>
        </is>
      </c>
      <c r="E23" s="335" t="inlineStr">
        <is>
          <t>배당률</t>
        </is>
      </c>
      <c r="F23" s="335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16980419</v>
      </c>
      <c r="E24" s="332" t="n">
        <v>0.0989</v>
      </c>
      <c r="F24" s="301" t="n">
        <v>171646540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32" t="n">
        <v>0.09669999999999999</v>
      </c>
      <c r="F25" s="301" t="n">
        <v>70816800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4497284</v>
      </c>
      <c r="E26" s="332" t="n">
        <v>0.1593</v>
      </c>
      <c r="F26" s="301" t="n">
        <v>28226875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3962280</v>
      </c>
      <c r="E27" s="332" t="n">
        <v>0.1447</v>
      </c>
      <c r="F27" s="301" t="n">
        <v>27390930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32" t="n">
        <v>0.1132</v>
      </c>
      <c r="F28" s="301" t="n">
        <v>30585000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32" t="n">
        <v>0.1375</v>
      </c>
      <c r="F29" s="301" t="n">
        <v>22980600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1895000</v>
      </c>
      <c r="E30" s="332" t="n">
        <v>0.094</v>
      </c>
      <c r="F30" s="301" t="n">
        <v>20150000</v>
      </c>
    </row>
    <row r="31">
      <c r="A31" s="300" t="inlineStr">
        <is>
          <t>498400</t>
        </is>
      </c>
      <c r="B31" s="300" t="inlineStr">
        <is>
          <t>KODEX 200타켓위클리커버드콜</t>
        </is>
      </c>
      <c r="C31" s="300" t="inlineStr">
        <is>
          <t>월배당</t>
        </is>
      </c>
      <c r="D31" s="301" t="n">
        <v>1759680</v>
      </c>
      <c r="E31" s="332" t="n">
        <v>0.1515</v>
      </c>
      <c r="F31" s="301" t="n">
        <v>11615110</v>
      </c>
    </row>
    <row r="32">
      <c r="A32" s="300" t="inlineStr">
        <is>
          <t>468380</t>
        </is>
      </c>
      <c r="B32" s="300" t="inlineStr">
        <is>
          <t>KODEX iShares미국하이일드액티브</t>
        </is>
      </c>
      <c r="C32" s="300" t="inlineStr">
        <is>
          <t>월배당</t>
        </is>
      </c>
      <c r="D32" s="301" t="n">
        <v>1524000</v>
      </c>
      <c r="E32" s="332" t="n">
        <v>0.0677</v>
      </c>
      <c r="F32" s="301" t="n">
        <v>22520000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32" t="n">
        <v>0.0301</v>
      </c>
      <c r="F33" s="301" t="n">
        <v>43349245</v>
      </c>
    </row>
    <row r="34">
      <c r="A34" s="300" t="inlineStr">
        <is>
          <t>0219E0</t>
        </is>
      </c>
      <c r="B34" s="300" t="inlineStr">
        <is>
          <t>KODEX 200커버드콜액티브</t>
        </is>
      </c>
      <c r="C34" s="300" t="inlineStr">
        <is>
          <t>월배당</t>
        </is>
      </c>
      <c r="D34" s="301" t="n">
        <v>1153008</v>
      </c>
      <c r="E34" s="332" t="n">
        <v>0.1182</v>
      </c>
      <c r="F34" s="301" t="n">
        <v>9752840</v>
      </c>
    </row>
    <row r="35">
      <c r="A35" s="300" t="inlineStr">
        <is>
          <t>473330</t>
        </is>
      </c>
      <c r="B35" s="300" t="inlineStr">
        <is>
          <t>SOL 미국 30년국채커버드콜(합성)</t>
        </is>
      </c>
      <c r="C35" s="300" t="inlineStr">
        <is>
          <t>월배당</t>
        </is>
      </c>
      <c r="D35" s="301" t="n">
        <v>1012320</v>
      </c>
      <c r="E35" s="332" t="n">
        <v>0.127</v>
      </c>
      <c r="F35" s="301" t="n">
        <v>7972800</v>
      </c>
    </row>
    <row r="36">
      <c r="A36" s="300" t="inlineStr">
        <is>
          <t>472170</t>
        </is>
      </c>
      <c r="B36" s="300" t="inlineStr">
        <is>
          <t>TIGER 미국테크TOP10채권혼합</t>
        </is>
      </c>
      <c r="C36" s="300" t="inlineStr">
        <is>
          <t>연/반기</t>
        </is>
      </c>
      <c r="D36" s="301" t="n">
        <v>573561</v>
      </c>
      <c r="E36" s="332" t="n">
        <v>0.0205</v>
      </c>
      <c r="F36" s="301" t="n">
        <v>28017765</v>
      </c>
    </row>
    <row r="37">
      <c r="A37" s="300" t="inlineStr">
        <is>
          <t>446720</t>
        </is>
      </c>
      <c r="B37" s="300" t="inlineStr">
        <is>
          <t>SOL 미국배당다우존스</t>
        </is>
      </c>
      <c r="C37" s="300" t="inlineStr">
        <is>
          <t>월배당</t>
        </is>
      </c>
      <c r="D37" s="301" t="n">
        <v>549955</v>
      </c>
      <c r="E37" s="332" t="n">
        <v>0.0297</v>
      </c>
      <c r="F37" s="301" t="n">
        <v>18526900</v>
      </c>
    </row>
    <row r="38">
      <c r="A38" s="300" t="inlineStr">
        <is>
          <t>482730</t>
        </is>
      </c>
      <c r="B38" s="300" t="inlineStr">
        <is>
          <t>미국S&amp;P500타겟데일리커버드콜</t>
        </is>
      </c>
      <c r="C38" s="300" t="inlineStr">
        <is>
          <t>월배당</t>
        </is>
      </c>
      <c r="D38" s="301" t="n">
        <v>501925</v>
      </c>
      <c r="E38" s="332" t="n">
        <v>0.09619999999999999</v>
      </c>
      <c r="F38" s="301" t="n">
        <v>5216875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1418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130143</v>
      </c>
      <c r="F49" s="338" t="n"/>
      <c r="G49" s="277" t="n">
        <v>130143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22440</v>
      </c>
      <c r="F54" s="338" t="n"/>
      <c r="G54" s="277" t="n">
        <v>22440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20291.58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3318.12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149084</v>
      </c>
      <c r="F73" s="338" t="n"/>
      <c r="G73" s="277" t="n">
        <v>149084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1460.54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1758.32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2524.04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2580.76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2" t="n">
        <v>46080</v>
      </c>
      <c r="B92" s="285" t="n">
        <v>2</v>
      </c>
      <c r="C92" s="285" t="inlineStr">
        <is>
          <t>017670</t>
        </is>
      </c>
      <c r="D92" s="285" t="inlineStr">
        <is>
          <t>SKT</t>
        </is>
      </c>
      <c r="E92" s="286" t="n">
        <v>25200</v>
      </c>
      <c r="F92" s="340" t="n"/>
      <c r="G92" s="286" t="n">
        <v>25200</v>
      </c>
      <c r="H92" s="285" t="inlineStr">
        <is>
          <t>예측</t>
        </is>
      </c>
    </row>
    <row r="93">
      <c r="A93" s="341" t="n">
        <v>46080</v>
      </c>
      <c r="B93" s="276" t="n">
        <v>2</v>
      </c>
      <c r="C93" s="276" t="inlineStr">
        <is>
          <t>O</t>
        </is>
      </c>
      <c r="D93" s="276" t="inlineStr">
        <is>
          <t>리얼티인컴</t>
        </is>
      </c>
      <c r="E93" s="277" t="n"/>
      <c r="F93" s="338" t="n">
        <v>14.31</v>
      </c>
      <c r="G93" s="277" t="n">
        <v>20291.58</v>
      </c>
      <c r="H93" s="276" t="inlineStr">
        <is>
          <t>실적</t>
        </is>
      </c>
    </row>
    <row r="94">
      <c r="A94" s="341" t="n">
        <v>46080</v>
      </c>
      <c r="B94" s="276" t="n">
        <v>2</v>
      </c>
      <c r="C94" s="276" t="inlineStr">
        <is>
          <t>TMUS</t>
        </is>
      </c>
      <c r="D94" s="276" t="inlineStr">
        <is>
          <t>T-모바일</t>
        </is>
      </c>
      <c r="E94" s="277" t="n"/>
      <c r="F94" s="338" t="n">
        <v>4.08</v>
      </c>
      <c r="G94" s="277" t="n">
        <v>5785.440000000001</v>
      </c>
      <c r="H94" s="276" t="inlineStr">
        <is>
          <t>실적</t>
        </is>
      </c>
    </row>
    <row r="95">
      <c r="A95" s="341" t="n">
        <v>46083</v>
      </c>
      <c r="B95" s="276" t="n">
        <v>3</v>
      </c>
      <c r="C95" s="276" t="inlineStr">
        <is>
          <t>NKE</t>
        </is>
      </c>
      <c r="D95" s="276" t="inlineStr">
        <is>
          <t>나이키</t>
        </is>
      </c>
      <c r="E95" s="277" t="n"/>
      <c r="F95" s="338" t="n">
        <v>4.1</v>
      </c>
      <c r="G95" s="277" t="n">
        <v>5813.799999999999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0008S0</t>
        </is>
      </c>
      <c r="D96" s="276" t="inlineStr">
        <is>
          <t>TIGER 미국배당다우존스타겟데일리커버드콜</t>
        </is>
      </c>
      <c r="E96" s="277" t="n">
        <v>303000</v>
      </c>
      <c r="F96" s="338" t="n"/>
      <c r="G96" s="277" t="n">
        <v>303000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352820</t>
        </is>
      </c>
      <c r="D97" s="276" t="inlineStr">
        <is>
          <t>하이브</t>
        </is>
      </c>
      <c r="E97" s="277" t="n">
        <v>9000</v>
      </c>
      <c r="F97" s="338" t="n"/>
      <c r="G97" s="277" t="n">
        <v>9000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474220</t>
        </is>
      </c>
      <c r="D98" s="276" t="inlineStr">
        <is>
          <t>TIGER미국테크TOP10커버드콜</t>
        </is>
      </c>
      <c r="E98" s="277" t="n">
        <v>574560</v>
      </c>
      <c r="F98" s="338" t="n"/>
      <c r="G98" s="277" t="n">
        <v>574560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481060</t>
        </is>
      </c>
      <c r="D99" s="276" t="inlineStr">
        <is>
          <t>KODEX 미국30년국채타겟커버드콜(H)</t>
        </is>
      </c>
      <c r="E99" s="277" t="n">
        <v>250920</v>
      </c>
      <c r="F99" s="338" t="n"/>
      <c r="G99" s="277" t="n">
        <v>250920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490490</t>
        </is>
      </c>
      <c r="D100" s="276" t="inlineStr">
        <is>
          <t>SOL미국배당미국채혼합50</t>
        </is>
      </c>
      <c r="E100" s="277" t="n">
        <v>114630</v>
      </c>
      <c r="F100" s="338" t="n"/>
      <c r="G100" s="277" t="n">
        <v>114630</v>
      </c>
      <c r="H100" s="276" t="inlineStr">
        <is>
          <t>실적</t>
        </is>
      </c>
    </row>
    <row r="101">
      <c r="A101" s="341" t="n">
        <v>46093</v>
      </c>
      <c r="B101" s="276" t="n">
        <v>3</v>
      </c>
      <c r="C101" s="276" t="inlineStr">
        <is>
          <t>498400</t>
        </is>
      </c>
      <c r="D101" s="276" t="inlineStr">
        <is>
          <t>KODEX 200타켓위클리커버드콜</t>
        </is>
      </c>
      <c r="E101" s="277" t="n">
        <v>153972</v>
      </c>
      <c r="F101" s="338" t="n"/>
      <c r="G101" s="277" t="n">
        <v>153972</v>
      </c>
      <c r="H101" s="276" t="inlineStr">
        <is>
          <t>실적</t>
        </is>
      </c>
    </row>
    <row r="102">
      <c r="A102" s="341" t="n">
        <v>46098</v>
      </c>
      <c r="B102" s="276" t="n">
        <v>3</v>
      </c>
      <c r="C102" s="276" t="inlineStr">
        <is>
          <t>TSM</t>
        </is>
      </c>
      <c r="D102" s="276" t="inlineStr">
        <is>
          <t>TSMC</t>
        </is>
      </c>
      <c r="E102" s="277" t="n"/>
      <c r="F102" s="338" t="n">
        <v>0.956</v>
      </c>
      <c r="G102" s="277" t="n">
        <v>1355.608</v>
      </c>
      <c r="H102" s="276" t="inlineStr">
        <is>
          <t>실적</t>
        </is>
      </c>
    </row>
    <row r="103">
      <c r="A103" s="341" t="n">
        <v>46105</v>
      </c>
      <c r="B103" s="276" t="n">
        <v>3</v>
      </c>
      <c r="C103" s="276" t="inlineStr">
        <is>
          <t>000270</t>
        </is>
      </c>
      <c r="D103" s="276" t="inlineStr">
        <is>
          <t>기아</t>
        </is>
      </c>
      <c r="E103" s="277" t="n">
        <v>231200</v>
      </c>
      <c r="F103" s="338" t="n"/>
      <c r="G103" s="277" t="n">
        <v>231200</v>
      </c>
      <c r="H103" s="276" t="inlineStr">
        <is>
          <t>실적</t>
        </is>
      </c>
    </row>
    <row r="104">
      <c r="A104" s="341" t="n">
        <v>46106</v>
      </c>
      <c r="B104" s="276" t="n">
        <v>3</v>
      </c>
      <c r="C104" s="276" t="inlineStr">
        <is>
          <t>SCHD</t>
        </is>
      </c>
      <c r="D104" s="276" t="inlineStr">
        <is>
          <t>SCHD</t>
        </is>
      </c>
      <c r="E104" s="277" t="n"/>
      <c r="F104" s="338" t="n">
        <v>6.168</v>
      </c>
      <c r="G104" s="277" t="n">
        <v>8746.224</v>
      </c>
      <c r="H104" s="276" t="inlineStr">
        <is>
          <t>실적</t>
        </is>
      </c>
    </row>
    <row r="105">
      <c r="A105" s="342" t="n">
        <v>46109</v>
      </c>
      <c r="B105" s="285" t="n">
        <v>3</v>
      </c>
      <c r="C105" s="285" t="inlineStr">
        <is>
          <t>005389</t>
        </is>
      </c>
      <c r="D105" s="285" t="inlineStr">
        <is>
          <t>현대차3우B</t>
        </is>
      </c>
      <c r="E105" s="286" t="n">
        <v>26000</v>
      </c>
      <c r="F105" s="340" t="n"/>
      <c r="G105" s="286" t="n">
        <v>26000</v>
      </c>
      <c r="H105" s="285" t="inlineStr">
        <is>
          <t>예측</t>
        </is>
      </c>
    </row>
    <row r="106">
      <c r="A106" s="342" t="n">
        <v>46109</v>
      </c>
      <c r="B106" s="285" t="n">
        <v>3</v>
      </c>
      <c r="C106" s="285" t="inlineStr">
        <is>
          <t>017670</t>
        </is>
      </c>
      <c r="D106" s="285" t="inlineStr">
        <is>
          <t>SKT</t>
        </is>
      </c>
      <c r="E106" s="286" t="n">
        <v>19920</v>
      </c>
      <c r="F106" s="340" t="n"/>
      <c r="G106" s="286" t="n">
        <v>19920</v>
      </c>
      <c r="H106" s="285" t="inlineStr">
        <is>
          <t>예측</t>
        </is>
      </c>
    </row>
    <row r="107">
      <c r="A107" s="342" t="n">
        <v>46109</v>
      </c>
      <c r="B107" s="285" t="n">
        <v>3</v>
      </c>
      <c r="C107" s="285" t="n">
        <v>105560</v>
      </c>
      <c r="D107" s="285" t="inlineStr">
        <is>
          <t>KB금융</t>
        </is>
      </c>
      <c r="E107" s="286" t="n">
        <v>9408</v>
      </c>
      <c r="F107" s="340" t="n"/>
      <c r="G107" s="286" t="n">
        <v>9408</v>
      </c>
      <c r="H107" s="285" t="inlineStr">
        <is>
          <t>예측</t>
        </is>
      </c>
    </row>
    <row r="108">
      <c r="A108" s="341" t="n">
        <v>46111</v>
      </c>
      <c r="B108" s="276" t="n">
        <v>3</v>
      </c>
      <c r="C108" s="276" t="inlineStr">
        <is>
          <t>005930</t>
        </is>
      </c>
      <c r="D108" s="276" t="inlineStr">
        <is>
          <t>삼성전자</t>
        </is>
      </c>
      <c r="E108" s="277" t="n">
        <v>36828</v>
      </c>
      <c r="F108" s="338" t="n"/>
      <c r="G108" s="277" t="n">
        <v>36828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024110</t>
        </is>
      </c>
      <c r="D109" s="276" t="inlineStr">
        <is>
          <t>기업은행</t>
        </is>
      </c>
      <c r="E109" s="277" t="n">
        <v>187592</v>
      </c>
      <c r="F109" s="338" t="n"/>
      <c r="G109" s="277" t="n">
        <v>187592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329200</t>
        </is>
      </c>
      <c r="D110" s="276" t="inlineStr">
        <is>
          <t>TIGER리츠부동산인프라</t>
        </is>
      </c>
      <c r="E110" s="277" t="n">
        <v>165000</v>
      </c>
      <c r="F110" s="338" t="n"/>
      <c r="G110" s="277" t="n">
        <v>165000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433330</t>
        </is>
      </c>
      <c r="D111" s="276" t="inlineStr">
        <is>
          <t>SOL 미국 S&amp;P500</t>
        </is>
      </c>
      <c r="E111" s="277" t="n">
        <v>26313</v>
      </c>
      <c r="F111" s="338" t="n"/>
      <c r="G111" s="277" t="n">
        <v>26313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446720</t>
        </is>
      </c>
      <c r="D112" s="276" t="inlineStr">
        <is>
          <t>SOL 미국배당다우존스</t>
        </is>
      </c>
      <c r="E112" s="277" t="n">
        <v>43890</v>
      </c>
      <c r="F112" s="338" t="n"/>
      <c r="G112" s="277" t="n">
        <v>43890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458760</t>
        </is>
      </c>
      <c r="D113" s="276" t="inlineStr">
        <is>
          <t>TIGER 미배당다우커버드콜2호</t>
        </is>
      </c>
      <c r="E113" s="277" t="n">
        <v>1443182</v>
      </c>
      <c r="F113" s="338" t="n"/>
      <c r="G113" s="277" t="n">
        <v>1443182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468380</t>
        </is>
      </c>
      <c r="D114" s="276" t="inlineStr">
        <is>
          <t>KODEX iShares미국하이일드액티브</t>
        </is>
      </c>
      <c r="E114" s="277" t="n">
        <v>118000</v>
      </c>
      <c r="F114" s="338" t="n"/>
      <c r="G114" s="277" t="n">
        <v>118000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473330</t>
        </is>
      </c>
      <c r="D115" s="276" t="inlineStr">
        <is>
          <t>SOL 미국 30년국채커버드콜(합성)</t>
        </is>
      </c>
      <c r="E115" s="277" t="n">
        <v>73920</v>
      </c>
      <c r="F115" s="338" t="n"/>
      <c r="G115" s="277" t="n">
        <v>73920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475380</t>
        </is>
      </c>
      <c r="D116" s="276" t="inlineStr">
        <is>
          <t>RISE 글로벌리얼티인컴</t>
        </is>
      </c>
      <c r="E116" s="277" t="n">
        <v>3333</v>
      </c>
      <c r="F116" s="338" t="n"/>
      <c r="G116" s="277" t="n">
        <v>3333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476550</t>
        </is>
      </c>
      <c r="D117" s="276" t="inlineStr">
        <is>
          <t>TIGER 미국30년국채커버드콜액티브(H)</t>
        </is>
      </c>
      <c r="E117" s="277" t="n">
        <v>32325</v>
      </c>
      <c r="F117" s="338" t="n"/>
      <c r="G117" s="277" t="n">
        <v>32325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476690</t>
        </is>
      </c>
      <c r="D118" s="276" t="inlineStr">
        <is>
          <t>TIGER 글로벌비만치료제 TOP2 Plus</t>
        </is>
      </c>
      <c r="E118" s="277" t="n">
        <v>3300</v>
      </c>
      <c r="F118" s="338" t="n"/>
      <c r="G118" s="277" t="n">
        <v>3300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482730</t>
        </is>
      </c>
      <c r="D119" s="276" t="inlineStr">
        <is>
          <t>미국S&amp;P500타겟데일리커버드콜</t>
        </is>
      </c>
      <c r="E119" s="277" t="n">
        <v>41225</v>
      </c>
      <c r="F119" s="338" t="n"/>
      <c r="G119" s="277" t="n">
        <v>41225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483280</t>
        </is>
      </c>
      <c r="D120" s="276" t="inlineStr">
        <is>
          <t>KODEX 미국AI테크TOP10타겟커버드콜</t>
        </is>
      </c>
      <c r="E120" s="277" t="n">
        <v>329448</v>
      </c>
      <c r="F120" s="338" t="n"/>
      <c r="G120" s="277" t="n">
        <v>329448</v>
      </c>
      <c r="H120" s="276" t="inlineStr">
        <is>
          <t>실적</t>
        </is>
      </c>
    </row>
    <row r="121">
      <c r="A121" s="341" t="n">
        <v>46111</v>
      </c>
      <c r="B121" s="276" t="n">
        <v>3</v>
      </c>
      <c r="C121" s="276" t="inlineStr">
        <is>
          <t>498410</t>
        </is>
      </c>
      <c r="D121" s="276" t="inlineStr">
        <is>
          <t>KODEX금융고배당TOP10타겟위클리커버드콜</t>
        </is>
      </c>
      <c r="E121" s="277" t="n">
        <v>385074</v>
      </c>
      <c r="F121" s="338" t="n"/>
      <c r="G121" s="277" t="n">
        <v>385074</v>
      </c>
      <c r="H121" s="276" t="inlineStr">
        <is>
          <t>실적</t>
        </is>
      </c>
    </row>
    <row r="122">
      <c r="A122" s="341" t="n">
        <v>46111</v>
      </c>
      <c r="B122" s="276" t="n">
        <v>3</v>
      </c>
      <c r="C122" s="276" t="inlineStr">
        <is>
          <t>NVO</t>
        </is>
      </c>
      <c r="D122" s="276" t="inlineStr">
        <is>
          <t>노보 노디스크</t>
        </is>
      </c>
      <c r="E122" s="277" t="n"/>
      <c r="F122" s="338" t="n">
        <v>19.125</v>
      </c>
      <c r="G122" s="277" t="n">
        <v>27119.25</v>
      </c>
      <c r="H122" s="276" t="inlineStr">
        <is>
          <t>실적</t>
        </is>
      </c>
    </row>
    <row r="123">
      <c r="A123" s="341" t="n">
        <v>46112</v>
      </c>
      <c r="B123" s="276" t="n">
        <v>3</v>
      </c>
      <c r="C123" s="276" t="inlineStr">
        <is>
          <t>O</t>
        </is>
      </c>
      <c r="D123" s="276" t="inlineStr">
        <is>
          <t>리얼티인컴</t>
        </is>
      </c>
      <c r="E123" s="277" t="n"/>
      <c r="F123" s="338" t="n">
        <v>14.363</v>
      </c>
      <c r="G123" s="277" t="n">
        <v>20366.734</v>
      </c>
      <c r="H123" s="276" t="inlineStr">
        <is>
          <t>실적</t>
        </is>
      </c>
    </row>
    <row r="124">
      <c r="A124" s="341" t="n">
        <v>46114</v>
      </c>
      <c r="B124" s="276" t="n">
        <v>4</v>
      </c>
      <c r="C124" s="276" t="inlineStr">
        <is>
          <t>475560</t>
        </is>
      </c>
      <c r="D124" s="276" t="inlineStr">
        <is>
          <t>더본코리아</t>
        </is>
      </c>
      <c r="E124" s="277" t="n">
        <v>7500</v>
      </c>
      <c r="F124" s="338" t="n"/>
      <c r="G124" s="277" t="n">
        <v>7500</v>
      </c>
      <c r="H124" s="276" t="inlineStr">
        <is>
          <t>실적</t>
        </is>
      </c>
    </row>
    <row r="125">
      <c r="A125" s="341" t="n">
        <v>46121</v>
      </c>
      <c r="B125" s="276" t="n">
        <v>4</v>
      </c>
      <c r="C125" s="276" t="inlineStr">
        <is>
          <t>ORCL</t>
        </is>
      </c>
      <c r="D125" s="276" t="inlineStr">
        <is>
          <t>오라클</t>
        </is>
      </c>
      <c r="E125" s="277" t="n"/>
      <c r="F125" s="338" t="n">
        <v>1</v>
      </c>
      <c r="G125" s="277" t="n">
        <v>1418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0008S0</t>
        </is>
      </c>
      <c r="D126" s="276" t="inlineStr">
        <is>
          <t>TIGER 미국배당다우존스타겟데일리커버드콜</t>
        </is>
      </c>
      <c r="E126" s="277" t="n">
        <v>303000</v>
      </c>
      <c r="F126" s="338" t="n"/>
      <c r="G126" s="277" t="n">
        <v>303000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474220</t>
        </is>
      </c>
      <c r="D127" s="276" t="inlineStr">
        <is>
          <t>TIGER미국테크TOP10커버드콜</t>
        </is>
      </c>
      <c r="E127" s="277" t="n">
        <v>574560</v>
      </c>
      <c r="F127" s="338" t="n"/>
      <c r="G127" s="277" t="n">
        <v>574560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481060</t>
        </is>
      </c>
      <c r="D128" s="276" t="inlineStr">
        <is>
          <t>KODEX 미국30년국채타겟커버드콜(H)</t>
        </is>
      </c>
      <c r="E128" s="277" t="n">
        <v>244800</v>
      </c>
      <c r="F128" s="338" t="n"/>
      <c r="G128" s="277" t="n">
        <v>244800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490490</t>
        </is>
      </c>
      <c r="D129" s="276" t="inlineStr">
        <is>
          <t>SOL미국배당미국채혼합50</t>
        </is>
      </c>
      <c r="E129" s="277" t="n">
        <v>114630</v>
      </c>
      <c r="F129" s="338" t="n"/>
      <c r="G129" s="277" t="n">
        <v>114630</v>
      </c>
      <c r="H129" s="276" t="inlineStr">
        <is>
          <t>실적</t>
        </is>
      </c>
    </row>
    <row r="130">
      <c r="A130" s="341" t="n">
        <v>46126</v>
      </c>
      <c r="B130" s="276" t="n">
        <v>4</v>
      </c>
      <c r="C130" s="276" t="inlineStr">
        <is>
          <t>498400</t>
        </is>
      </c>
      <c r="D130" s="276" t="inlineStr">
        <is>
          <t>KODEX 200타켓위클리커버드콜</t>
        </is>
      </c>
      <c r="E130" s="277" t="n">
        <v>160082</v>
      </c>
      <c r="F130" s="338" t="n"/>
      <c r="G130" s="277" t="n">
        <v>160082</v>
      </c>
      <c r="H130" s="276" t="inlineStr">
        <is>
          <t>실적</t>
        </is>
      </c>
    </row>
    <row r="131">
      <c r="A131" s="341" t="n">
        <v>46126</v>
      </c>
      <c r="B131" s="276" t="n">
        <v>4</v>
      </c>
      <c r="C131" s="276" t="inlineStr">
        <is>
          <t>AMT</t>
        </is>
      </c>
      <c r="D131" s="276" t="inlineStr">
        <is>
          <t>아메리칸타워</t>
        </is>
      </c>
      <c r="E131" s="277" t="n"/>
      <c r="F131" s="338" t="n">
        <v>8.949999999999999</v>
      </c>
      <c r="G131" s="277" t="n">
        <v>12691.1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133690</t>
        </is>
      </c>
      <c r="D132" s="276" t="inlineStr">
        <is>
          <t>TIGER 미국나스닥100</t>
        </is>
      </c>
      <c r="E132" s="277" t="n">
        <v>13395</v>
      </c>
      <c r="F132" s="338" t="n"/>
      <c r="G132" s="277" t="n">
        <v>13395</v>
      </c>
      <c r="H132" s="276" t="inlineStr">
        <is>
          <t>실적</t>
        </is>
      </c>
    </row>
    <row r="133">
      <c r="A133" s="341" t="n">
        <v>46141</v>
      </c>
      <c r="B133" s="276" t="n">
        <v>4</v>
      </c>
      <c r="C133" s="276" t="inlineStr">
        <is>
          <t>329200</t>
        </is>
      </c>
      <c r="D133" s="276" t="inlineStr">
        <is>
          <t>TIGER리츠부동산인프라</t>
        </is>
      </c>
      <c r="E133" s="277" t="n">
        <v>165000</v>
      </c>
      <c r="F133" s="338" t="n"/>
      <c r="G133" s="277" t="n">
        <v>165000</v>
      </c>
      <c r="H133" s="276" t="inlineStr">
        <is>
          <t>실적</t>
        </is>
      </c>
    </row>
    <row r="134">
      <c r="A134" s="341" t="n">
        <v>46141</v>
      </c>
      <c r="B134" s="276" t="n">
        <v>4</v>
      </c>
      <c r="C134" s="276" t="inlineStr">
        <is>
          <t>360750</t>
        </is>
      </c>
      <c r="D134" s="276" t="inlineStr">
        <is>
          <t>TIGER미국S&amp;P500</t>
        </is>
      </c>
      <c r="E134" s="277" t="n">
        <v>13578</v>
      </c>
      <c r="F134" s="338" t="n"/>
      <c r="G134" s="277" t="n">
        <v>13578</v>
      </c>
      <c r="H134" s="276" t="inlineStr">
        <is>
          <t>실적</t>
        </is>
      </c>
    </row>
    <row r="135">
      <c r="A135" s="342" t="n">
        <v>46141</v>
      </c>
      <c r="B135" s="285" t="n">
        <v>4</v>
      </c>
      <c r="C135" s="285" t="inlineStr">
        <is>
          <t>364980</t>
        </is>
      </c>
      <c r="D135" s="285" t="inlineStr">
        <is>
          <t>TIGER 2차전지TOP10</t>
        </is>
      </c>
      <c r="E135" s="286" t="n">
        <v>5104</v>
      </c>
      <c r="F135" s="340" t="n"/>
      <c r="G135" s="286" t="n">
        <v>5104</v>
      </c>
      <c r="H135" s="285" t="inlineStr">
        <is>
          <t>예측</t>
        </is>
      </c>
    </row>
    <row r="136">
      <c r="A136" s="341" t="n">
        <v>46141</v>
      </c>
      <c r="B136" s="276" t="n">
        <v>4</v>
      </c>
      <c r="C136" s="276" t="inlineStr">
        <is>
          <t>367380</t>
        </is>
      </c>
      <c r="D136" s="276" t="inlineStr">
        <is>
          <t>ACE 미국나스닥100</t>
        </is>
      </c>
      <c r="E136" s="277" t="n">
        <v>13520</v>
      </c>
      <c r="F136" s="338" t="n"/>
      <c r="G136" s="277" t="n">
        <v>13520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379810</t>
        </is>
      </c>
      <c r="D137" s="276" t="inlineStr">
        <is>
          <t>KODEX 미국나스닥100</t>
        </is>
      </c>
      <c r="E137" s="277" t="n">
        <v>22440</v>
      </c>
      <c r="F137" s="338" t="n"/>
      <c r="G137" s="277" t="n">
        <v>22440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433330</t>
        </is>
      </c>
      <c r="D138" s="276" t="inlineStr">
        <is>
          <t>SOL 미국 S&amp;P500</t>
        </is>
      </c>
      <c r="E138" s="277" t="n">
        <v>12530</v>
      </c>
      <c r="F138" s="338" t="n"/>
      <c r="G138" s="277" t="n">
        <v>12530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446720</t>
        </is>
      </c>
      <c r="D139" s="276" t="inlineStr">
        <is>
          <t>SOL 미국배당다우존스</t>
        </is>
      </c>
      <c r="E139" s="277" t="n">
        <v>39900</v>
      </c>
      <c r="F139" s="338" t="n"/>
      <c r="G139" s="277" t="n">
        <v>39900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458760</t>
        </is>
      </c>
      <c r="D140" s="276" t="inlineStr">
        <is>
          <t>TIGER 미배당다우커버드콜2호</t>
        </is>
      </c>
      <c r="E140" s="277" t="n">
        <v>1412476</v>
      </c>
      <c r="F140" s="338" t="n"/>
      <c r="G140" s="277" t="n">
        <v>1412476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468380</t>
        </is>
      </c>
      <c r="D141" s="276" t="inlineStr">
        <is>
          <t>KODEX iShares미국하이일드액티브</t>
        </is>
      </c>
      <c r="E141" s="277" t="n">
        <v>142000</v>
      </c>
      <c r="F141" s="338" t="n"/>
      <c r="G141" s="277" t="n">
        <v>142000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473330</t>
        </is>
      </c>
      <c r="D142" s="276" t="inlineStr">
        <is>
          <t>SOL 미국 30년국채커버드콜(합성)</t>
        </is>
      </c>
      <c r="E142" s="277" t="n">
        <v>91200</v>
      </c>
      <c r="F142" s="338" t="n"/>
      <c r="G142" s="277" t="n">
        <v>91200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475380</t>
        </is>
      </c>
      <c r="D143" s="276" t="inlineStr">
        <is>
          <t>RISE 글로벌리얼티인컴</t>
        </is>
      </c>
      <c r="E143" s="277" t="n">
        <v>3535</v>
      </c>
      <c r="F143" s="338" t="n"/>
      <c r="G143" s="277" t="n">
        <v>3535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476550</t>
        </is>
      </c>
      <c r="D144" s="276" t="inlineStr">
        <is>
          <t>TIGER 미국30년국채커버드콜액티브(H)</t>
        </is>
      </c>
      <c r="E144" s="277" t="n">
        <v>31894</v>
      </c>
      <c r="F144" s="338" t="n"/>
      <c r="G144" s="277" t="n">
        <v>31894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476690</t>
        </is>
      </c>
      <c r="D145" s="276" t="inlineStr">
        <is>
          <t>TIGER 글로벌비만치료제 TOP2 Plus</t>
        </is>
      </c>
      <c r="E145" s="277" t="n">
        <v>1200</v>
      </c>
      <c r="F145" s="338" t="n"/>
      <c r="G145" s="277" t="n">
        <v>1200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482730</t>
        </is>
      </c>
      <c r="D146" s="276" t="inlineStr">
        <is>
          <t>미국S&amp;P500타겟데일리커버드콜</t>
        </is>
      </c>
      <c r="E146" s="277" t="n">
        <v>42925</v>
      </c>
      <c r="F146" s="338" t="n"/>
      <c r="G146" s="277" t="n">
        <v>42925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483280</t>
        </is>
      </c>
      <c r="D147" s="276" t="inlineStr">
        <is>
          <t>KODEX 미국AI테크TOP10타겟커버드콜</t>
        </is>
      </c>
      <c r="E147" s="277" t="n">
        <v>356160</v>
      </c>
      <c r="F147" s="338" t="n"/>
      <c r="G147" s="277" t="n">
        <v>356160</v>
      </c>
      <c r="H147" s="276" t="inlineStr">
        <is>
          <t>실적</t>
        </is>
      </c>
    </row>
    <row r="148">
      <c r="A148" s="341" t="n">
        <v>46141</v>
      </c>
      <c r="B148" s="276" t="n">
        <v>4</v>
      </c>
      <c r="C148" s="276" t="inlineStr">
        <is>
          <t>498270</t>
        </is>
      </c>
      <c r="D148" s="276" t="inlineStr">
        <is>
          <t>KIWOOM 미국양자컴퓨팅</t>
        </is>
      </c>
      <c r="E148" s="277" t="n">
        <v>3564</v>
      </c>
      <c r="F148" s="338" t="n"/>
      <c r="G148" s="277" t="n">
        <v>3564</v>
      </c>
      <c r="H148" s="276" t="inlineStr">
        <is>
          <t>실적</t>
        </is>
      </c>
    </row>
    <row r="149">
      <c r="A149" s="341" t="n">
        <v>46141</v>
      </c>
      <c r="B149" s="276" t="n">
        <v>4</v>
      </c>
      <c r="C149" s="276" t="inlineStr">
        <is>
          <t>498410</t>
        </is>
      </c>
      <c r="D149" s="276" t="inlineStr">
        <is>
          <t>KODEX금융고배당TOP10타겟위클리커버드콜</t>
        </is>
      </c>
      <c r="E149" s="277" t="n">
        <v>392205</v>
      </c>
      <c r="F149" s="338" t="n"/>
      <c r="G149" s="277" t="n">
        <v>392205</v>
      </c>
      <c r="H149" s="276" t="inlineStr">
        <is>
          <t>실적</t>
        </is>
      </c>
    </row>
    <row r="150">
      <c r="A150" s="341" t="n">
        <v>46142</v>
      </c>
      <c r="B150" s="276" t="n">
        <v>4</v>
      </c>
      <c r="C150" s="276" t="inlineStr">
        <is>
          <t>O</t>
        </is>
      </c>
      <c r="D150" s="276" t="inlineStr">
        <is>
          <t>리얼티인컴</t>
        </is>
      </c>
      <c r="E150" s="277" t="n"/>
      <c r="F150" s="338" t="n">
        <v>14.363</v>
      </c>
      <c r="G150" s="277" t="n">
        <v>20366.734</v>
      </c>
      <c r="H150" s="276" t="inlineStr">
        <is>
          <t>실적</t>
        </is>
      </c>
    </row>
    <row r="151">
      <c r="A151" s="341" t="n">
        <v>46149</v>
      </c>
      <c r="B151" s="276" t="n">
        <v>5</v>
      </c>
      <c r="C151" s="276" t="n">
        <v>105560</v>
      </c>
      <c r="D151" s="276" t="inlineStr">
        <is>
          <t>KB금융</t>
        </is>
      </c>
      <c r="E151" s="277" t="n">
        <v>13716</v>
      </c>
      <c r="F151" s="338" t="n"/>
      <c r="G151" s="277" t="n">
        <v>13716</v>
      </c>
      <c r="H151" s="276" t="inlineStr">
        <is>
          <t>실적</t>
        </is>
      </c>
    </row>
    <row r="152">
      <c r="A152" s="341" t="n">
        <v>46153</v>
      </c>
      <c r="B152" s="276" t="n">
        <v>5</v>
      </c>
      <c r="C152" s="276" t="inlineStr">
        <is>
          <t>AAPL</t>
        </is>
      </c>
      <c r="D152" s="276" t="inlineStr">
        <is>
          <t>애플</t>
        </is>
      </c>
      <c r="E152" s="277" t="n"/>
      <c r="F152" s="338" t="n">
        <v>2.43</v>
      </c>
      <c r="G152" s="277" t="n">
        <v>3445.74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0008S0</t>
        </is>
      </c>
      <c r="D153" s="276" t="inlineStr">
        <is>
          <t>TIGER 미국배당다우존스타겟데일리커버드콜</t>
        </is>
      </c>
      <c r="E153" s="277" t="n">
        <v>306000</v>
      </c>
      <c r="F153" s="338" t="n"/>
      <c r="G153" s="277" t="n">
        <v>306000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474220</t>
        </is>
      </c>
      <c r="D154" s="276" t="inlineStr">
        <is>
          <t>TIGER미국테크TOP10커버드콜</t>
        </is>
      </c>
      <c r="E154" s="277" t="n">
        <v>629280</v>
      </c>
      <c r="F154" s="338" t="n"/>
      <c r="G154" s="277" t="n">
        <v>629280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481060</t>
        </is>
      </c>
      <c r="D155" s="276" t="inlineStr">
        <is>
          <t>KODEX 미국30년국채타겟커버드콜(H)</t>
        </is>
      </c>
      <c r="E155" s="277" t="n">
        <v>241740</v>
      </c>
      <c r="F155" s="338" t="n"/>
      <c r="G155" s="277" t="n">
        <v>241740</v>
      </c>
      <c r="H155" s="276" t="inlineStr">
        <is>
          <t>실적</t>
        </is>
      </c>
    </row>
    <row r="156">
      <c r="A156" s="341" t="n">
        <v>46156</v>
      </c>
      <c r="B156" s="276" t="n">
        <v>5</v>
      </c>
      <c r="C156" s="276" t="inlineStr">
        <is>
          <t>490490</t>
        </is>
      </c>
      <c r="D156" s="276" t="inlineStr">
        <is>
          <t>SOL미국배당미국채혼합50</t>
        </is>
      </c>
      <c r="E156" s="277" t="n">
        <v>84062</v>
      </c>
      <c r="F156" s="338" t="n"/>
      <c r="G156" s="277" t="n">
        <v>84062</v>
      </c>
      <c r="H156" s="276" t="inlineStr">
        <is>
          <t>실적</t>
        </is>
      </c>
    </row>
    <row r="157">
      <c r="A157" s="341" t="n">
        <v>46156</v>
      </c>
      <c r="B157" s="276" t="n">
        <v>5</v>
      </c>
      <c r="C157" s="276" t="inlineStr">
        <is>
          <t>498400</t>
        </is>
      </c>
      <c r="D157" s="276" t="inlineStr">
        <is>
          <t>KODEX 200타켓위클리커버드콜</t>
        </is>
      </c>
      <c r="E157" s="277" t="n">
        <v>212628</v>
      </c>
      <c r="F157" s="338" t="n"/>
      <c r="G157" s="277" t="n">
        <v>212628</v>
      </c>
      <c r="H157" s="276" t="inlineStr">
        <is>
          <t>실적</t>
        </is>
      </c>
    </row>
    <row r="158">
      <c r="A158" s="341" t="n">
        <v>46157</v>
      </c>
      <c r="B158" s="276" t="n">
        <v>5</v>
      </c>
      <c r="C158" s="276" t="inlineStr">
        <is>
          <t>SBUX</t>
        </is>
      </c>
      <c r="D158" s="276" t="inlineStr">
        <is>
          <t>스타벅스</t>
        </is>
      </c>
      <c r="E158" s="277" t="n"/>
      <c r="F158" s="338" t="n">
        <v>1.24</v>
      </c>
      <c r="G158" s="277" t="n">
        <v>1758.32</v>
      </c>
      <c r="H158" s="276" t="inlineStr">
        <is>
          <t>실적</t>
        </is>
      </c>
    </row>
    <row r="159">
      <c r="A159" s="341" t="n">
        <v>46157</v>
      </c>
      <c r="B159" s="276" t="n">
        <v>5</v>
      </c>
      <c r="C159" s="276" t="inlineStr">
        <is>
          <t>XOM</t>
        </is>
      </c>
      <c r="D159" s="276" t="inlineStr">
        <is>
          <t>엑슨모빌</t>
        </is>
      </c>
      <c r="E159" s="277" t="n"/>
      <c r="F159" s="338" t="n">
        <v>1.03</v>
      </c>
      <c r="G159" s="277" t="n">
        <v>1460.54</v>
      </c>
      <c r="H159" s="276" t="inlineStr">
        <is>
          <t>실적</t>
        </is>
      </c>
    </row>
    <row r="160">
      <c r="A160" s="341" t="n">
        <v>46161</v>
      </c>
      <c r="B160" s="276" t="n">
        <v>5</v>
      </c>
      <c r="C160" s="276" t="inlineStr">
        <is>
          <t>CVX</t>
        </is>
      </c>
      <c r="D160" s="276" t="inlineStr">
        <is>
          <t>셰브론</t>
        </is>
      </c>
      <c r="E160" s="277" t="n"/>
      <c r="F160" s="338" t="n">
        <v>1.78</v>
      </c>
      <c r="G160" s="277" t="n">
        <v>2524.04</v>
      </c>
      <c r="H160" s="276" t="inlineStr">
        <is>
          <t>실적</t>
        </is>
      </c>
    </row>
    <row r="161">
      <c r="A161" s="341" t="n">
        <v>46163</v>
      </c>
      <c r="B161" s="276" t="n">
        <v>5</v>
      </c>
      <c r="C161" s="276" t="inlineStr">
        <is>
          <t>MSFT</t>
        </is>
      </c>
      <c r="D161" s="276" t="inlineStr">
        <is>
          <t>마이크로소프트</t>
        </is>
      </c>
      <c r="E161" s="277" t="n"/>
      <c r="F161" s="338" t="n">
        <v>1.82</v>
      </c>
      <c r="G161" s="277" t="n">
        <v>2580.76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005389</t>
        </is>
      </c>
      <c r="D162" s="276" t="inlineStr">
        <is>
          <t>현대차3우B</t>
        </is>
      </c>
      <c r="E162" s="277" t="n">
        <v>32500</v>
      </c>
      <c r="F162" s="338" t="n"/>
      <c r="G162" s="277" t="n">
        <v>32500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017670</t>
        </is>
      </c>
      <c r="D163" s="276" t="inlineStr">
        <is>
          <t>SKT</t>
        </is>
      </c>
      <c r="E163" s="277" t="n">
        <v>19920</v>
      </c>
      <c r="F163" s="338" t="n"/>
      <c r="G163" s="277" t="n">
        <v>19920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329200</t>
        </is>
      </c>
      <c r="D164" s="276" t="inlineStr">
        <is>
          <t>TIGER리츠부동산인프라</t>
        </is>
      </c>
      <c r="E164" s="277" t="n">
        <v>165000</v>
      </c>
      <c r="F164" s="338" t="n"/>
      <c r="G164" s="277" t="n">
        <v>165000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433330</t>
        </is>
      </c>
      <c r="D165" s="276" t="inlineStr">
        <is>
          <t>SOL 미국 S&amp;P500</t>
        </is>
      </c>
      <c r="E165" s="277" t="n">
        <v>22554</v>
      </c>
      <c r="F165" s="338" t="n"/>
      <c r="G165" s="277" t="n">
        <v>22554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446720</t>
        </is>
      </c>
      <c r="D166" s="276" t="inlineStr">
        <is>
          <t>SOL 미국배당다우존스</t>
        </is>
      </c>
      <c r="E166" s="277" t="n">
        <v>43890</v>
      </c>
      <c r="F166" s="338" t="n"/>
      <c r="G166" s="277" t="n">
        <v>43890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458760</t>
        </is>
      </c>
      <c r="D167" s="276" t="inlineStr">
        <is>
          <t>TIGER 미배당다우커버드콜2호</t>
        </is>
      </c>
      <c r="E167" s="277" t="n">
        <v>1473888</v>
      </c>
      <c r="F167" s="338" t="n"/>
      <c r="G167" s="277" t="n">
        <v>1473888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468380</t>
        </is>
      </c>
      <c r="D168" s="276" t="inlineStr">
        <is>
          <t>KODEX iShares미국하이일드액티브</t>
        </is>
      </c>
      <c r="E168" s="277" t="n">
        <v>122000</v>
      </c>
      <c r="F168" s="338" t="n"/>
      <c r="G168" s="277" t="n">
        <v>122000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473330</t>
        </is>
      </c>
      <c r="D169" s="276" t="inlineStr">
        <is>
          <t>SOL 미국 30년국채커버드콜(합성)</t>
        </is>
      </c>
      <c r="E169" s="277" t="n">
        <v>72000</v>
      </c>
      <c r="F169" s="338" t="n"/>
      <c r="G169" s="277" t="n">
        <v>72000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475380</t>
        </is>
      </c>
      <c r="D170" s="276" t="inlineStr">
        <is>
          <t>RISE 글로벌리얼티인컴</t>
        </is>
      </c>
      <c r="E170" s="277" t="n">
        <v>3535</v>
      </c>
      <c r="F170" s="338" t="n"/>
      <c r="G170" s="277" t="n">
        <v>3535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476550</t>
        </is>
      </c>
      <c r="D171" s="276" t="inlineStr">
        <is>
          <t>TIGER 미국30년국채커버드콜액티브(H)</t>
        </is>
      </c>
      <c r="E171" s="277" t="n">
        <v>31032</v>
      </c>
      <c r="F171" s="338" t="n"/>
      <c r="G171" s="277" t="n">
        <v>31032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476690</t>
        </is>
      </c>
      <c r="D172" s="276" t="inlineStr">
        <is>
          <t>TIGER 글로벌비만치료제 TOP2 Plus</t>
        </is>
      </c>
      <c r="E172" s="277" t="n">
        <v>1200</v>
      </c>
      <c r="F172" s="338" t="n"/>
      <c r="G172" s="277" t="n">
        <v>1200</v>
      </c>
      <c r="H172" s="276" t="inlineStr">
        <is>
          <t>실적</t>
        </is>
      </c>
    </row>
    <row r="173">
      <c r="A173" s="341" t="n">
        <v>46170</v>
      </c>
      <c r="B173" s="276" t="n">
        <v>5</v>
      </c>
      <c r="C173" s="276" t="inlineStr">
        <is>
          <t>482730</t>
        </is>
      </c>
      <c r="D173" s="276" t="inlineStr">
        <is>
          <t>미국S&amp;P500타겟데일리커버드콜</t>
        </is>
      </c>
      <c r="E173" s="277" t="n">
        <v>45900</v>
      </c>
      <c r="F173" s="338" t="n"/>
      <c r="G173" s="277" t="n">
        <v>45900</v>
      </c>
      <c r="H173" s="276" t="inlineStr">
        <is>
          <t>실적</t>
        </is>
      </c>
    </row>
    <row r="174">
      <c r="A174" s="341" t="n">
        <v>46170</v>
      </c>
      <c r="B174" s="276" t="n">
        <v>5</v>
      </c>
      <c r="C174" s="276" t="inlineStr">
        <is>
          <t>483280</t>
        </is>
      </c>
      <c r="D174" s="276" t="inlineStr">
        <is>
          <t>KODEX 미국AI테크TOP10타겟커버드콜</t>
        </is>
      </c>
      <c r="E174" s="277" t="n">
        <v>376194</v>
      </c>
      <c r="F174" s="338" t="n"/>
      <c r="G174" s="277" t="n">
        <v>376194</v>
      </c>
      <c r="H174" s="276" t="inlineStr">
        <is>
          <t>실적</t>
        </is>
      </c>
    </row>
    <row r="175">
      <c r="A175" s="341" t="n">
        <v>46170</v>
      </c>
      <c r="B175" s="276" t="n">
        <v>5</v>
      </c>
      <c r="C175" s="276" t="inlineStr">
        <is>
          <t>498410</t>
        </is>
      </c>
      <c r="D175" s="276" t="inlineStr">
        <is>
          <t>KODEX금융고배당TOP10타겟위클리커버드콜</t>
        </is>
      </c>
      <c r="E175" s="277" t="n">
        <v>368435</v>
      </c>
      <c r="F175" s="338" t="n"/>
      <c r="G175" s="277" t="n">
        <v>368435</v>
      </c>
      <c r="H175" s="276" t="inlineStr">
        <is>
          <t>실적</t>
        </is>
      </c>
    </row>
    <row r="176">
      <c r="A176" s="341" t="n">
        <v>46171</v>
      </c>
      <c r="B176" s="276" t="n">
        <v>5</v>
      </c>
      <c r="C176" s="276" t="inlineStr">
        <is>
          <t>O</t>
        </is>
      </c>
      <c r="D176" s="276" t="inlineStr">
        <is>
          <t>리얼티인컴</t>
        </is>
      </c>
      <c r="E176" s="277" t="n"/>
      <c r="F176" s="338" t="n">
        <v>14.363</v>
      </c>
      <c r="G176" s="277" t="n">
        <v>20366.734</v>
      </c>
      <c r="H176" s="276" t="inlineStr">
        <is>
          <t>실적</t>
        </is>
      </c>
    </row>
    <row r="177">
      <c r="A177" s="341" t="n">
        <v>46171</v>
      </c>
      <c r="B177" s="276" t="n">
        <v>5</v>
      </c>
      <c r="C177" s="276" t="inlineStr">
        <is>
          <t>TMUS</t>
        </is>
      </c>
      <c r="D177" s="276" t="inlineStr">
        <is>
          <t>T-모바일</t>
        </is>
      </c>
      <c r="E177" s="277" t="n"/>
      <c r="F177" s="338" t="n">
        <v>4.08</v>
      </c>
      <c r="G177" s="277" t="n">
        <v>5785.440000000001</v>
      </c>
      <c r="H177" s="276" t="inlineStr">
        <is>
          <t>실적</t>
        </is>
      </c>
    </row>
    <row r="178">
      <c r="A178" s="341" t="n">
        <v>46174</v>
      </c>
      <c r="B178" s="276" t="n">
        <v>6</v>
      </c>
      <c r="C178" s="276" t="inlineStr">
        <is>
          <t>NKE</t>
        </is>
      </c>
      <c r="D178" s="276" t="inlineStr">
        <is>
          <t>나이키</t>
        </is>
      </c>
      <c r="E178" s="277" t="n"/>
      <c r="F178" s="338" t="n">
        <v>4.1</v>
      </c>
      <c r="G178" s="277" t="n">
        <v>5813.799999999999</v>
      </c>
      <c r="H178" s="276" t="inlineStr">
        <is>
          <t>실적</t>
        </is>
      </c>
    </row>
    <row r="179">
      <c r="A179" s="341" t="n">
        <v>46177</v>
      </c>
      <c r="B179" s="276" t="n">
        <v>6</v>
      </c>
      <c r="C179" s="276" t="inlineStr">
        <is>
          <t>NVDA</t>
        </is>
      </c>
      <c r="D179" s="276" t="inlineStr">
        <is>
          <t>엔비디아</t>
        </is>
      </c>
      <c r="E179" s="277" t="n"/>
      <c r="F179" s="338" t="n">
        <v>1</v>
      </c>
      <c r="G179" s="277" t="n">
        <v>1418</v>
      </c>
      <c r="H179" s="276" t="inlineStr">
        <is>
          <t>실적</t>
        </is>
      </c>
    </row>
    <row r="180">
      <c r="A180" s="341" t="n">
        <v>46184</v>
      </c>
      <c r="B180" s="276" t="n">
        <v>6</v>
      </c>
      <c r="C180" s="276" t="inlineStr">
        <is>
          <t>TSM</t>
        </is>
      </c>
      <c r="D180" s="276" t="inlineStr">
        <is>
          <t>TSMC</t>
        </is>
      </c>
      <c r="E180" s="277" t="n"/>
      <c r="F180" s="338" t="n">
        <v>0.955</v>
      </c>
      <c r="G180" s="277" t="n">
        <v>1354.19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0008S0</t>
        </is>
      </c>
      <c r="D181" s="276" t="inlineStr">
        <is>
          <t>TIGER 미국배당다우존스타겟데일리커버드콜</t>
        </is>
      </c>
      <c r="E181" s="277" t="n">
        <v>318000</v>
      </c>
      <c r="F181" s="338" t="n"/>
      <c r="G181" s="277" t="n">
        <v>318000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474220</t>
        </is>
      </c>
      <c r="D182" s="276" t="inlineStr">
        <is>
          <t>TIGER미국테크TOP10커버드콜</t>
        </is>
      </c>
      <c r="E182" s="277" t="n">
        <v>606480</v>
      </c>
      <c r="F182" s="338" t="n"/>
      <c r="G182" s="277" t="n">
        <v>606480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481060</t>
        </is>
      </c>
      <c r="D183" s="276" t="inlineStr">
        <is>
          <t>KODEX 미국30년국채타겟커버드콜(H)</t>
        </is>
      </c>
      <c r="E183" s="277" t="n">
        <v>238680</v>
      </c>
      <c r="F183" s="338" t="n"/>
      <c r="G183" s="277" t="n">
        <v>238680</v>
      </c>
      <c r="H183" s="276" t="inlineStr">
        <is>
          <t>실적</t>
        </is>
      </c>
    </row>
    <row r="184">
      <c r="A184" s="341" t="n">
        <v>46185</v>
      </c>
      <c r="B184" s="276" t="n">
        <v>6</v>
      </c>
      <c r="C184" s="276" t="inlineStr">
        <is>
          <t>490490</t>
        </is>
      </c>
      <c r="D184" s="276" t="inlineStr">
        <is>
          <t>SOL미국배당미국채혼합50</t>
        </is>
      </c>
      <c r="E184" s="277" t="n">
        <v>129914</v>
      </c>
      <c r="F184" s="338" t="n"/>
      <c r="G184" s="277" t="n">
        <v>129914</v>
      </c>
      <c r="H184" s="276" t="inlineStr">
        <is>
          <t>실적</t>
        </is>
      </c>
    </row>
    <row r="185">
      <c r="A185" s="341" t="n">
        <v>46185</v>
      </c>
      <c r="B185" s="276" t="n">
        <v>6</v>
      </c>
      <c r="C185" s="276" t="inlineStr">
        <is>
          <t>498400</t>
        </is>
      </c>
      <c r="D185" s="276" t="inlineStr">
        <is>
          <t>KODEX 200타켓위클리커버드콜</t>
        </is>
      </c>
      <c r="E185" s="277" t="n">
        <v>213850</v>
      </c>
      <c r="F185" s="338" t="n"/>
      <c r="G185" s="277" t="n">
        <v>213850</v>
      </c>
      <c r="H185" s="276" t="inlineStr">
        <is>
          <t>실적</t>
        </is>
      </c>
    </row>
    <row r="186">
      <c r="A186" s="341" t="n">
        <v>46185</v>
      </c>
      <c r="B186" s="276" t="n">
        <v>6</v>
      </c>
      <c r="C186" s="276" t="inlineStr">
        <is>
          <t>AMT</t>
        </is>
      </c>
      <c r="D186" s="276" t="inlineStr">
        <is>
          <t>아메리칸타워</t>
        </is>
      </c>
      <c r="E186" s="277" t="n"/>
      <c r="F186" s="338" t="n">
        <v>8.949999999999999</v>
      </c>
      <c r="G186" s="277" t="n">
        <v>12691.1</v>
      </c>
      <c r="H186" s="276" t="inlineStr">
        <is>
          <t>실적</t>
        </is>
      </c>
    </row>
    <row r="187">
      <c r="A187" s="341" t="n">
        <v>46197</v>
      </c>
      <c r="B187" s="276" t="n">
        <v>6</v>
      </c>
      <c r="C187" s="276" t="inlineStr">
        <is>
          <t>QLD</t>
        </is>
      </c>
      <c r="D187" s="276" t="inlineStr">
        <is>
          <t>QLD</t>
        </is>
      </c>
      <c r="E187" s="277" t="n"/>
      <c r="F187" s="338" t="n">
        <v>2.623</v>
      </c>
      <c r="G187" s="277" t="n">
        <v>3719.414</v>
      </c>
      <c r="H187" s="276" t="inlineStr">
        <is>
          <t>실적</t>
        </is>
      </c>
    </row>
    <row r="188">
      <c r="A188" s="341" t="n">
        <v>46197</v>
      </c>
      <c r="B188" s="276" t="n">
        <v>6</v>
      </c>
      <c r="C188" s="276" t="inlineStr">
        <is>
          <t>SCHD</t>
        </is>
      </c>
      <c r="D188" s="276" t="inlineStr">
        <is>
          <t>SCHD</t>
        </is>
      </c>
      <c r="E188" s="277" t="n"/>
      <c r="F188" s="338" t="n">
        <v>6.072</v>
      </c>
      <c r="G188" s="277" t="n">
        <v>8610.096</v>
      </c>
      <c r="H188" s="276" t="inlineStr">
        <is>
          <t>실적</t>
        </is>
      </c>
    </row>
    <row r="189">
      <c r="A189" s="342" t="n">
        <v>46200</v>
      </c>
      <c r="B189" s="285" t="n">
        <v>6</v>
      </c>
      <c r="C189" s="285" t="inlineStr">
        <is>
          <t>005389</t>
        </is>
      </c>
      <c r="D189" s="285" t="inlineStr">
        <is>
          <t>현대차3우B</t>
        </is>
      </c>
      <c r="E189" s="286" t="n">
        <v>26000</v>
      </c>
      <c r="F189" s="340" t="n"/>
      <c r="G189" s="286" t="n">
        <v>26000</v>
      </c>
      <c r="H189" s="285" t="inlineStr">
        <is>
          <t>예측</t>
        </is>
      </c>
    </row>
    <row r="190">
      <c r="A190" s="342" t="n">
        <v>46200</v>
      </c>
      <c r="B190" s="285" t="n">
        <v>6</v>
      </c>
      <c r="C190" s="285" t="inlineStr">
        <is>
          <t>017670</t>
        </is>
      </c>
      <c r="D190" s="285" t="inlineStr">
        <is>
          <t>SKT</t>
        </is>
      </c>
      <c r="E190" s="286" t="n">
        <v>19920</v>
      </c>
      <c r="F190" s="340" t="n"/>
      <c r="G190" s="286" t="n">
        <v>19920</v>
      </c>
      <c r="H190" s="285" t="inlineStr">
        <is>
          <t>예측</t>
        </is>
      </c>
    </row>
    <row r="191">
      <c r="A191" s="342" t="n">
        <v>46200</v>
      </c>
      <c r="B191" s="285" t="n">
        <v>6</v>
      </c>
      <c r="C191" s="285" t="n">
        <v>105560</v>
      </c>
      <c r="D191" s="285" t="inlineStr">
        <is>
          <t>KB금융</t>
        </is>
      </c>
      <c r="E191" s="286" t="n">
        <v>9492</v>
      </c>
      <c r="F191" s="340" t="n"/>
      <c r="G191" s="286" t="n">
        <v>9492</v>
      </c>
      <c r="H191" s="285" t="inlineStr">
        <is>
          <t>예측</t>
        </is>
      </c>
    </row>
    <row r="192">
      <c r="A192" s="341" t="n">
        <v>46202</v>
      </c>
      <c r="B192" s="276" t="n">
        <v>6</v>
      </c>
      <c r="C192" s="276" t="inlineStr">
        <is>
          <t>005930</t>
        </is>
      </c>
      <c r="D192" s="276" t="inlineStr">
        <is>
          <t>삼성전자</t>
        </is>
      </c>
      <c r="E192" s="277" t="n">
        <v>37026</v>
      </c>
      <c r="F192" s="338" t="n"/>
      <c r="G192" s="277" t="n">
        <v>37026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329200</t>
        </is>
      </c>
      <c r="D193" s="276" t="inlineStr">
        <is>
          <t>TIGER리츠부동산인프라</t>
        </is>
      </c>
      <c r="E193" s="277" t="n">
        <v>165000</v>
      </c>
      <c r="F193" s="338" t="n"/>
      <c r="G193" s="277" t="n">
        <v>165000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433330</t>
        </is>
      </c>
      <c r="D194" s="276" t="inlineStr">
        <is>
          <t>SOL 미국 S&amp;P500</t>
        </is>
      </c>
      <c r="E194" s="277" t="n">
        <v>30072</v>
      </c>
      <c r="F194" s="338" t="n"/>
      <c r="G194" s="277" t="n">
        <v>30072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446720</t>
        </is>
      </c>
      <c r="D195" s="276" t="inlineStr">
        <is>
          <t>SOL 미국배당다우존스</t>
        </is>
      </c>
      <c r="E195" s="277" t="n">
        <v>55860</v>
      </c>
      <c r="F195" s="338" t="n"/>
      <c r="G195" s="277" t="n">
        <v>55860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458760</t>
        </is>
      </c>
      <c r="D196" s="276" t="inlineStr">
        <is>
          <t>TIGER 미배당다우커버드콜2호</t>
        </is>
      </c>
      <c r="E196" s="277" t="n">
        <v>1489241</v>
      </c>
      <c r="F196" s="338" t="n"/>
      <c r="G196" s="277" t="n">
        <v>1489241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468380</t>
        </is>
      </c>
      <c r="D197" s="276" t="inlineStr">
        <is>
          <t>KODEX iShares미국하이일드액티브</t>
        </is>
      </c>
      <c r="E197" s="277" t="n">
        <v>130000</v>
      </c>
      <c r="F197" s="338" t="n"/>
      <c r="G197" s="277" t="n">
        <v>130000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473330</t>
        </is>
      </c>
      <c r="D198" s="276" t="inlineStr">
        <is>
          <t>SOL 미국 30년국채커버드콜(합성)</t>
        </is>
      </c>
      <c r="E198" s="277" t="n">
        <v>81600</v>
      </c>
      <c r="F198" s="338" t="n"/>
      <c r="G198" s="277" t="n">
        <v>81600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475380</t>
        </is>
      </c>
      <c r="D199" s="276" t="inlineStr">
        <is>
          <t>RISE 글로벌리얼티인컴</t>
        </is>
      </c>
      <c r="E199" s="277" t="n">
        <v>3535</v>
      </c>
      <c r="F199" s="338" t="n"/>
      <c r="G199" s="277" t="n">
        <v>3535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476550</t>
        </is>
      </c>
      <c r="D200" s="276" t="inlineStr">
        <is>
          <t>TIGER 미국30년국채커버드콜액티브(H)</t>
        </is>
      </c>
      <c r="E200" s="277" t="n">
        <v>31463</v>
      </c>
      <c r="F200" s="338" t="n"/>
      <c r="G200" s="277" t="n">
        <v>31463</v>
      </c>
      <c r="H200" s="276" t="inlineStr">
        <is>
          <t>실적</t>
        </is>
      </c>
    </row>
    <row r="201">
      <c r="A201" s="341" t="n">
        <v>46202</v>
      </c>
      <c r="B201" s="276" t="n">
        <v>6</v>
      </c>
      <c r="C201" s="276" t="inlineStr">
        <is>
          <t>476690</t>
        </is>
      </c>
      <c r="D201" s="276" t="inlineStr">
        <is>
          <t>TIGER 글로벌비만치료제 TOP2 Plus</t>
        </is>
      </c>
      <c r="E201" s="277" t="n">
        <v>1500</v>
      </c>
      <c r="F201" s="338" t="n"/>
      <c r="G201" s="277" t="n">
        <v>1500</v>
      </c>
      <c r="H201" s="276" t="inlineStr">
        <is>
          <t>실적</t>
        </is>
      </c>
    </row>
    <row r="202">
      <c r="A202" s="341" t="n">
        <v>46202</v>
      </c>
      <c r="B202" s="276" t="n">
        <v>6</v>
      </c>
      <c r="C202" s="276" t="inlineStr">
        <is>
          <t>482730</t>
        </is>
      </c>
      <c r="D202" s="276" t="inlineStr">
        <is>
          <t>미국S&amp;P500타겟데일리커버드콜</t>
        </is>
      </c>
      <c r="E202" s="277" t="n">
        <v>45900</v>
      </c>
      <c r="F202" s="338" t="n"/>
      <c r="G202" s="277" t="n">
        <v>45900</v>
      </c>
      <c r="H202" s="276" t="inlineStr">
        <is>
          <t>실적</t>
        </is>
      </c>
    </row>
    <row r="203">
      <c r="A203" s="341" t="n">
        <v>46202</v>
      </c>
      <c r="B203" s="276" t="n">
        <v>6</v>
      </c>
      <c r="C203" s="276" t="inlineStr">
        <is>
          <t>483280</t>
        </is>
      </c>
      <c r="D203" s="276" t="inlineStr">
        <is>
          <t>KODEX 미국AI테크TOP10타겟커버드콜</t>
        </is>
      </c>
      <c r="E203" s="277" t="n">
        <v>351708</v>
      </c>
      <c r="F203" s="338" t="n"/>
      <c r="G203" s="277" t="n">
        <v>351708</v>
      </c>
      <c r="H203" s="276" t="inlineStr">
        <is>
          <t>실적</t>
        </is>
      </c>
    </row>
    <row r="204">
      <c r="A204" s="341" t="n">
        <v>46202</v>
      </c>
      <c r="B204" s="276" t="n">
        <v>6</v>
      </c>
      <c r="C204" s="276" t="inlineStr">
        <is>
          <t>498410</t>
        </is>
      </c>
      <c r="D204" s="276" t="inlineStr">
        <is>
          <t>KODEX금융고배당TOP10타겟위클리커버드콜</t>
        </is>
      </c>
      <c r="E204" s="277" t="n">
        <v>332780</v>
      </c>
      <c r="F204" s="338" t="n"/>
      <c r="G204" s="277" t="n">
        <v>332780</v>
      </c>
      <c r="H204" s="276" t="inlineStr">
        <is>
          <t>실적</t>
        </is>
      </c>
    </row>
    <row r="205">
      <c r="A205" s="341" t="n">
        <v>46203</v>
      </c>
      <c r="B205" s="276" t="n">
        <v>6</v>
      </c>
      <c r="C205" s="276" t="inlineStr">
        <is>
          <t>O</t>
        </is>
      </c>
      <c r="D205" s="276" t="inlineStr">
        <is>
          <t>리얼티인컴</t>
        </is>
      </c>
      <c r="E205" s="277" t="n"/>
      <c r="F205" s="338" t="n">
        <v>14.363</v>
      </c>
      <c r="G205" s="277" t="n">
        <v>20366.734</v>
      </c>
      <c r="H205" s="276" t="inlineStr">
        <is>
          <t>실적</t>
        </is>
      </c>
    </row>
    <row r="206">
      <c r="A206" s="341" t="n">
        <v>46213</v>
      </c>
      <c r="B206" s="276" t="n">
        <v>7</v>
      </c>
      <c r="C206" s="276" t="inlineStr">
        <is>
          <t>ORCL</t>
        </is>
      </c>
      <c r="D206" s="276" t="inlineStr">
        <is>
          <t>오라클</t>
        </is>
      </c>
      <c r="E206" s="277" t="n"/>
      <c r="F206" s="338" t="n">
        <v>1</v>
      </c>
      <c r="G206" s="277" t="n">
        <v>1418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0008S0</t>
        </is>
      </c>
      <c r="D207" s="276" t="inlineStr">
        <is>
          <t>TIGER 미국배당다우존스타겟데일리커버드콜</t>
        </is>
      </c>
      <c r="E207" s="277" t="n">
        <v>312000</v>
      </c>
      <c r="F207" s="338" t="n"/>
      <c r="G207" s="277" t="n">
        <v>312000</v>
      </c>
      <c r="H207" s="276" t="inlineStr">
        <is>
          <t>실적</t>
        </is>
      </c>
    </row>
    <row r="208">
      <c r="A208" s="341" t="n">
        <v>46217</v>
      </c>
      <c r="B208" s="276" t="n">
        <v>7</v>
      </c>
      <c r="C208" s="276" t="inlineStr">
        <is>
          <t>474220</t>
        </is>
      </c>
      <c r="D208" s="276" t="inlineStr">
        <is>
          <t>TIGER미국테크TOP10커버드콜</t>
        </is>
      </c>
      <c r="E208" s="277" t="n">
        <v>601920</v>
      </c>
      <c r="F208" s="338" t="n"/>
      <c r="G208" s="277" t="n">
        <v>601920</v>
      </c>
      <c r="H208" s="276" t="inlineStr">
        <is>
          <t>실적</t>
        </is>
      </c>
    </row>
    <row r="209">
      <c r="A209" s="341" t="n">
        <v>46217</v>
      </c>
      <c r="B209" s="276" t="n">
        <v>7</v>
      </c>
      <c r="C209" s="276" t="inlineStr">
        <is>
          <t>481060</t>
        </is>
      </c>
      <c r="D209" s="276" t="inlineStr">
        <is>
          <t>KODEX 미국30년국채타겟커버드콜(H)</t>
        </is>
      </c>
      <c r="E209" s="277" t="n">
        <v>238680</v>
      </c>
      <c r="F209" s="338" t="n"/>
      <c r="G209" s="277" t="n">
        <v>238680</v>
      </c>
      <c r="H209" s="276" t="inlineStr">
        <is>
          <t>실적</t>
        </is>
      </c>
    </row>
    <row r="210">
      <c r="A210" s="341" t="n">
        <v>46217</v>
      </c>
      <c r="B210" s="276" t="n">
        <v>7</v>
      </c>
      <c r="C210" s="276" t="inlineStr">
        <is>
          <t>490490</t>
        </is>
      </c>
      <c r="D210" s="276" t="inlineStr">
        <is>
          <t>SOL미국배당미국채혼합50</t>
        </is>
      </c>
      <c r="E210" s="277" t="n">
        <v>103167</v>
      </c>
      <c r="F210" s="338" t="n"/>
      <c r="G210" s="277" t="n">
        <v>103167</v>
      </c>
      <c r="H210" s="276" t="inlineStr">
        <is>
          <t>실적</t>
        </is>
      </c>
    </row>
    <row r="211">
      <c r="A211" s="341" t="n">
        <v>46217</v>
      </c>
      <c r="B211" s="276" t="n">
        <v>7</v>
      </c>
      <c r="C211" s="276" t="inlineStr">
        <is>
          <t>498400</t>
        </is>
      </c>
      <c r="D211" s="276" t="inlineStr">
        <is>
          <t>KODEX 200타켓위클리커버드콜</t>
        </is>
      </c>
      <c r="E211" s="277" t="n">
        <v>197353</v>
      </c>
      <c r="F211" s="338" t="n"/>
      <c r="G211" s="277" t="n">
        <v>197353</v>
      </c>
      <c r="H211" s="276" t="inlineStr">
        <is>
          <t>실적</t>
        </is>
      </c>
    </row>
    <row r="212">
      <c r="A212" s="341" t="n">
        <v>46233</v>
      </c>
      <c r="B212" s="276" t="n">
        <v>7</v>
      </c>
      <c r="C212" s="276" t="inlineStr">
        <is>
          <t>0219E0</t>
        </is>
      </c>
      <c r="D212" s="276" t="inlineStr">
        <is>
          <t>KODEX 200커버드콜액티브</t>
        </is>
      </c>
      <c r="E212" s="277" t="n">
        <v>192168</v>
      </c>
      <c r="F212" s="338" t="n"/>
      <c r="G212" s="277" t="n">
        <v>192168</v>
      </c>
      <c r="H212" s="276" t="inlineStr">
        <is>
          <t>실적</t>
        </is>
      </c>
    </row>
    <row r="213">
      <c r="A213" s="341" t="n">
        <v>46233</v>
      </c>
      <c r="B213" s="276" t="n">
        <v>7</v>
      </c>
      <c r="C213" s="276" t="inlineStr">
        <is>
          <t>024110</t>
        </is>
      </c>
      <c r="D213" s="276" t="inlineStr">
        <is>
          <t>기업은행</t>
        </is>
      </c>
      <c r="E213" s="277" t="n">
        <v>37590</v>
      </c>
      <c r="F213" s="338" t="n"/>
      <c r="G213" s="277" t="n">
        <v>37590</v>
      </c>
      <c r="H213" s="276" t="inlineStr">
        <is>
          <t>실적</t>
        </is>
      </c>
    </row>
    <row r="214">
      <c r="A214" s="341" t="n">
        <v>46233</v>
      </c>
      <c r="B214" s="276" t="n">
        <v>7</v>
      </c>
      <c r="C214" s="276" t="inlineStr">
        <is>
          <t>133690</t>
        </is>
      </c>
      <c r="D214" s="276" t="inlineStr">
        <is>
          <t>TIGER 미국나스닥100</t>
        </is>
      </c>
      <c r="E214" s="277" t="n">
        <v>14535</v>
      </c>
      <c r="F214" s="338" t="n"/>
      <c r="G214" s="277" t="n">
        <v>14535</v>
      </c>
      <c r="H214" s="276" t="inlineStr">
        <is>
          <t>실적</t>
        </is>
      </c>
    </row>
    <row r="215">
      <c r="A215" s="341" t="n">
        <v>46233</v>
      </c>
      <c r="B215" s="276" t="n">
        <v>7</v>
      </c>
      <c r="C215" s="276" t="inlineStr">
        <is>
          <t>329200</t>
        </is>
      </c>
      <c r="D215" s="276" t="inlineStr">
        <is>
          <t>TIGER리츠부동산인프라</t>
        </is>
      </c>
      <c r="E215" s="277" t="n">
        <v>165000</v>
      </c>
      <c r="F215" s="338" t="n"/>
      <c r="G215" s="277" t="n">
        <v>165000</v>
      </c>
      <c r="H215" s="276" t="inlineStr">
        <is>
          <t>실적</t>
        </is>
      </c>
    </row>
    <row r="216">
      <c r="A216" s="341" t="n">
        <v>46233</v>
      </c>
      <c r="B216" s="276" t="n">
        <v>7</v>
      </c>
      <c r="C216" s="276" t="inlineStr">
        <is>
          <t>360750</t>
        </is>
      </c>
      <c r="D216" s="276" t="inlineStr">
        <is>
          <t>TIGER미국S&amp;P500</t>
        </is>
      </c>
      <c r="E216" s="277" t="n">
        <v>14454</v>
      </c>
      <c r="F216" s="338" t="n"/>
      <c r="G216" s="277" t="n">
        <v>14454</v>
      </c>
      <c r="H216" s="276" t="inlineStr">
        <is>
          <t>실적</t>
        </is>
      </c>
    </row>
    <row r="217">
      <c r="A217" s="341" t="n">
        <v>46233</v>
      </c>
      <c r="B217" s="276" t="n">
        <v>7</v>
      </c>
      <c r="C217" s="276" t="inlineStr">
        <is>
          <t>367380</t>
        </is>
      </c>
      <c r="D217" s="276" t="inlineStr">
        <is>
          <t>ACE 미국나스닥100</t>
        </is>
      </c>
      <c r="E217" s="277" t="n">
        <v>15210</v>
      </c>
      <c r="F217" s="338" t="n"/>
      <c r="G217" s="277" t="n">
        <v>15210</v>
      </c>
      <c r="H217" s="276" t="inlineStr">
        <is>
          <t>실적</t>
        </is>
      </c>
    </row>
    <row r="218">
      <c r="A218" s="341" t="n">
        <v>46233</v>
      </c>
      <c r="B218" s="276" t="n">
        <v>7</v>
      </c>
      <c r="C218" s="276" t="inlineStr">
        <is>
          <t>379810</t>
        </is>
      </c>
      <c r="D218" s="276" t="inlineStr">
        <is>
          <t>KODEX 미국나스닥100</t>
        </is>
      </c>
      <c r="E218" s="277" t="n">
        <v>27390</v>
      </c>
      <c r="F218" s="338" t="n"/>
      <c r="G218" s="277" t="n">
        <v>27390</v>
      </c>
      <c r="H218" s="276" t="inlineStr">
        <is>
          <t>실적</t>
        </is>
      </c>
    </row>
    <row r="219">
      <c r="A219" s="341" t="n">
        <v>46233</v>
      </c>
      <c r="B219" s="276" t="n">
        <v>7</v>
      </c>
      <c r="C219" s="276" t="inlineStr">
        <is>
          <t>433330</t>
        </is>
      </c>
      <c r="D219" s="276" t="inlineStr">
        <is>
          <t>SOL 미국 S&amp;P500</t>
        </is>
      </c>
      <c r="E219" s="277" t="n">
        <v>15036</v>
      </c>
      <c r="F219" s="338" t="n"/>
      <c r="G219" s="277" t="n">
        <v>15036</v>
      </c>
      <c r="H219" s="276" t="inlineStr">
        <is>
          <t>실적</t>
        </is>
      </c>
    </row>
    <row r="220">
      <c r="A220" s="341" t="n">
        <v>46233</v>
      </c>
      <c r="B220" s="276" t="n">
        <v>7</v>
      </c>
      <c r="C220" s="276" t="inlineStr">
        <is>
          <t>446720</t>
        </is>
      </c>
      <c r="D220" s="276" t="inlineStr">
        <is>
          <t>SOL 미국배당다우존스</t>
        </is>
      </c>
      <c r="E220" s="277" t="n">
        <v>46550</v>
      </c>
      <c r="F220" s="338" t="n"/>
      <c r="G220" s="277" t="n">
        <v>46550</v>
      </c>
      <c r="H220" s="276" t="inlineStr">
        <is>
          <t>실적</t>
        </is>
      </c>
    </row>
    <row r="221">
      <c r="A221" s="341" t="n">
        <v>46233</v>
      </c>
      <c r="B221" s="276" t="n">
        <v>7</v>
      </c>
      <c r="C221" s="276" t="inlineStr">
        <is>
          <t>458760</t>
        </is>
      </c>
      <c r="D221" s="276" t="inlineStr">
        <is>
          <t>TIGER 미배당다우커버드콜2호</t>
        </is>
      </c>
      <c r="E221" s="277" t="n">
        <v>1427829</v>
      </c>
      <c r="F221" s="338" t="n"/>
      <c r="G221" s="277" t="n">
        <v>1427829</v>
      </c>
      <c r="H221" s="276" t="inlineStr">
        <is>
          <t>실적</t>
        </is>
      </c>
    </row>
    <row r="222">
      <c r="A222" s="341" t="n">
        <v>46233</v>
      </c>
      <c r="B222" s="276" t="n">
        <v>7</v>
      </c>
      <c r="C222" s="276" t="inlineStr">
        <is>
          <t>468380</t>
        </is>
      </c>
      <c r="D222" s="276" t="inlineStr">
        <is>
          <t>KODEX iShares미국하이일드액티브</t>
        </is>
      </c>
      <c r="E222" s="277" t="n">
        <v>130000</v>
      </c>
      <c r="F222" s="338" t="n"/>
      <c r="G222" s="277" t="n">
        <v>130000</v>
      </c>
      <c r="H222" s="276" t="inlineStr">
        <is>
          <t>실적</t>
        </is>
      </c>
    </row>
    <row r="223">
      <c r="A223" s="341" t="n">
        <v>46233</v>
      </c>
      <c r="B223" s="276" t="n">
        <v>7</v>
      </c>
      <c r="C223" s="276" t="inlineStr">
        <is>
          <t>473330</t>
        </is>
      </c>
      <c r="D223" s="276" t="inlineStr">
        <is>
          <t>SOL 미국 30년국채커버드콜(합성)</t>
        </is>
      </c>
      <c r="E223" s="277" t="n">
        <v>62400</v>
      </c>
      <c r="F223" s="338" t="n"/>
      <c r="G223" s="277" t="n">
        <v>62400</v>
      </c>
      <c r="H223" s="276" t="inlineStr">
        <is>
          <t>실적</t>
        </is>
      </c>
    </row>
    <row r="224">
      <c r="A224" s="341" t="n">
        <v>46233</v>
      </c>
      <c r="B224" s="276" t="n">
        <v>7</v>
      </c>
      <c r="C224" s="276" t="inlineStr">
        <is>
          <t>475380</t>
        </is>
      </c>
      <c r="D224" s="276" t="inlineStr">
        <is>
          <t>RISE 글로벌리얼티인컴</t>
        </is>
      </c>
      <c r="E224" s="277" t="n">
        <v>3333</v>
      </c>
      <c r="F224" s="338" t="n"/>
      <c r="G224" s="277" t="n">
        <v>3333</v>
      </c>
      <c r="H224" s="276" t="inlineStr">
        <is>
          <t>실적</t>
        </is>
      </c>
    </row>
    <row r="225">
      <c r="A225" s="341" t="n">
        <v>46233</v>
      </c>
      <c r="B225" s="276" t="n">
        <v>7</v>
      </c>
      <c r="C225" s="276" t="inlineStr">
        <is>
          <t>476550</t>
        </is>
      </c>
      <c r="D225" s="276" t="inlineStr">
        <is>
          <t>TIGER 미국30년국채커버드콜액티브(H)</t>
        </is>
      </c>
      <c r="E225" s="277" t="n">
        <v>30170</v>
      </c>
      <c r="F225" s="338" t="n"/>
      <c r="G225" s="277" t="n">
        <v>30170</v>
      </c>
      <c r="H225" s="276" t="inlineStr">
        <is>
          <t>실적</t>
        </is>
      </c>
    </row>
    <row r="226">
      <c r="A226" s="341" t="n">
        <v>46233</v>
      </c>
      <c r="B226" s="276" t="n">
        <v>7</v>
      </c>
      <c r="C226" s="276" t="inlineStr">
        <is>
          <t>476690</t>
        </is>
      </c>
      <c r="D226" s="276" t="inlineStr">
        <is>
          <t>TIGER 글로벌비만치료제 TOP2 Plus</t>
        </is>
      </c>
      <c r="E226" s="277" t="n">
        <v>1100</v>
      </c>
      <c r="F226" s="338" t="n"/>
      <c r="G226" s="277" t="n">
        <v>1100</v>
      </c>
      <c r="H226" s="276" t="inlineStr">
        <is>
          <t>실적</t>
        </is>
      </c>
    </row>
    <row r="227">
      <c r="A227" s="341" t="n">
        <v>46233</v>
      </c>
      <c r="B227" s="276" t="n">
        <v>7</v>
      </c>
      <c r="C227" s="276" t="inlineStr">
        <is>
          <t>482730</t>
        </is>
      </c>
      <c r="D227" s="276" t="inlineStr">
        <is>
          <t>미국S&amp;P500타겟데일리커버드콜</t>
        </is>
      </c>
      <c r="E227" s="277" t="n">
        <v>43350</v>
      </c>
      <c r="F227" s="338" t="n"/>
      <c r="G227" s="277" t="n">
        <v>43350</v>
      </c>
      <c r="H227" s="276" t="inlineStr">
        <is>
          <t>실적</t>
        </is>
      </c>
    </row>
    <row r="228">
      <c r="A228" s="341" t="n">
        <v>46233</v>
      </c>
      <c r="B228" s="276" t="n">
        <v>7</v>
      </c>
      <c r="C228" s="276" t="inlineStr">
        <is>
          <t>483280</t>
        </is>
      </c>
      <c r="D228" s="276" t="inlineStr">
        <is>
          <t>KODEX 미국AI테크TOP10타겟커버드콜</t>
        </is>
      </c>
      <c r="E228" s="277" t="n">
        <v>260442</v>
      </c>
      <c r="F228" s="338" t="n"/>
      <c r="G228" s="277" t="n">
        <v>260442</v>
      </c>
      <c r="H228" s="276" t="inlineStr">
        <is>
          <t>실적</t>
        </is>
      </c>
    </row>
    <row r="229">
      <c r="A229" s="341" t="n">
        <v>46233</v>
      </c>
      <c r="B229" s="276" t="n">
        <v>7</v>
      </c>
      <c r="C229" s="276" t="inlineStr">
        <is>
          <t>498270</t>
        </is>
      </c>
      <c r="D229" s="276" t="inlineStr">
        <is>
          <t>KIWOOM 미국양자컴퓨팅</t>
        </is>
      </c>
      <c r="E229" s="277" t="n">
        <v>4158</v>
      </c>
      <c r="F229" s="338" t="n"/>
      <c r="G229" s="277" t="n">
        <v>4158</v>
      </c>
      <c r="H229" s="276" t="inlineStr">
        <is>
          <t>실적</t>
        </is>
      </c>
    </row>
    <row r="230">
      <c r="A230" s="341" t="n">
        <v>46233</v>
      </c>
      <c r="B230" s="276" t="n">
        <v>7</v>
      </c>
      <c r="C230" s="276" t="inlineStr">
        <is>
          <t>498410</t>
        </is>
      </c>
      <c r="D230" s="276" t="inlineStr">
        <is>
          <t>KODEX금융고배당TOP10타겟위클리커버드콜</t>
        </is>
      </c>
      <c r="E230" s="277" t="n">
        <v>366058</v>
      </c>
      <c r="F230" s="338" t="n"/>
      <c r="G230" s="277" t="n">
        <v>366058</v>
      </c>
      <c r="H230" s="276" t="inlineStr">
        <is>
          <t>실적</t>
        </is>
      </c>
    </row>
    <row r="231">
      <c r="A231" s="341" t="n">
        <v>46234</v>
      </c>
      <c r="B231" s="276" t="n">
        <v>7</v>
      </c>
      <c r="C231" s="276" t="inlineStr">
        <is>
          <t>O</t>
        </is>
      </c>
      <c r="D231" s="276" t="inlineStr">
        <is>
          <t>리얼티인컴</t>
        </is>
      </c>
      <c r="E231" s="277" t="n"/>
      <c r="F231" s="338" t="n">
        <v>14.363</v>
      </c>
      <c r="G231" s="277" t="n">
        <v>20366.734</v>
      </c>
      <c r="H231" s="276" t="inlineStr">
        <is>
          <t>실적</t>
        </is>
      </c>
    </row>
    <row r="232">
      <c r="A232" s="342" t="n">
        <v>46235</v>
      </c>
      <c r="B232" s="285" t="n">
        <v>8</v>
      </c>
      <c r="C232" s="285" t="inlineStr">
        <is>
          <t>O</t>
        </is>
      </c>
      <c r="D232" s="285" t="inlineStr">
        <is>
          <t>리얼티인컴</t>
        </is>
      </c>
      <c r="E232" s="286" t="n"/>
      <c r="F232" s="340" t="n">
        <v>14.098</v>
      </c>
      <c r="G232" s="286" t="n">
        <v>19990.964</v>
      </c>
      <c r="H232" s="285" t="inlineStr">
        <is>
          <t>예측</t>
        </is>
      </c>
    </row>
    <row r="233">
      <c r="A233" s="341" t="n">
        <v>46240</v>
      </c>
      <c r="B233" s="276" t="n">
        <v>8</v>
      </c>
      <c r="C233" s="276" t="n">
        <v>105560</v>
      </c>
      <c r="D233" s="276" t="inlineStr">
        <is>
          <t>KB금융</t>
        </is>
      </c>
      <c r="E233" s="277" t="n">
        <v>13860</v>
      </c>
      <c r="F233" s="338" t="n"/>
      <c r="G233" s="277" t="n">
        <v>13860</v>
      </c>
      <c r="H233" s="276" t="inlineStr">
        <is>
          <t>실적</t>
        </is>
      </c>
    </row>
    <row r="234">
      <c r="A234" s="342" t="n">
        <v>46246</v>
      </c>
      <c r="B234" s="285" t="n">
        <v>8</v>
      </c>
      <c r="C234" s="285" t="inlineStr">
        <is>
          <t>AAPL</t>
        </is>
      </c>
      <c r="D234" s="285" t="inlineStr">
        <is>
          <t>애플</t>
        </is>
      </c>
      <c r="E234" s="286" t="n"/>
      <c r="F234" s="340" t="n">
        <v>2.295</v>
      </c>
      <c r="G234" s="286" t="n">
        <v>3254.31</v>
      </c>
      <c r="H234" s="285" t="inlineStr">
        <is>
          <t>예측</t>
        </is>
      </c>
    </row>
    <row r="235">
      <c r="A235" s="342" t="n">
        <v>46247</v>
      </c>
      <c r="B235" s="285" t="n">
        <v>8</v>
      </c>
      <c r="C235" s="285" t="inlineStr">
        <is>
          <t>0008S0</t>
        </is>
      </c>
      <c r="D235" s="285" t="inlineStr">
        <is>
          <t>TIGER 미국배당다우존스타겟데일리커버드콜</t>
        </is>
      </c>
      <c r="E235" s="286" t="n">
        <v>264000</v>
      </c>
      <c r="F235" s="340" t="n"/>
      <c r="G235" s="286" t="n">
        <v>264000</v>
      </c>
      <c r="H235" s="285" t="inlineStr">
        <is>
          <t>예측</t>
        </is>
      </c>
    </row>
    <row r="236">
      <c r="A236" s="342" t="n">
        <v>46247</v>
      </c>
      <c r="B236" s="285" t="n">
        <v>8</v>
      </c>
      <c r="C236" s="285" t="inlineStr">
        <is>
          <t>474220</t>
        </is>
      </c>
      <c r="D236" s="285" t="inlineStr">
        <is>
          <t>TIGER미국테크TOP10커버드콜</t>
        </is>
      </c>
      <c r="E236" s="286" t="n">
        <v>494760</v>
      </c>
      <c r="F236" s="340" t="n"/>
      <c r="G236" s="286" t="n">
        <v>494760</v>
      </c>
      <c r="H236" s="285" t="inlineStr">
        <is>
          <t>예측</t>
        </is>
      </c>
    </row>
    <row r="237">
      <c r="A237" s="342" t="n">
        <v>46247</v>
      </c>
      <c r="B237" s="285" t="n">
        <v>8</v>
      </c>
      <c r="C237" s="285" t="inlineStr">
        <is>
          <t>490490</t>
        </is>
      </c>
      <c r="D237" s="285" t="inlineStr">
        <is>
          <t>SOL미국배당미국채혼합50</t>
        </is>
      </c>
      <c r="E237" s="286" t="n">
        <v>91704</v>
      </c>
      <c r="F237" s="340" t="n"/>
      <c r="G237" s="286" t="n">
        <v>91704</v>
      </c>
      <c r="H237" s="285" t="inlineStr">
        <is>
          <t>예측</t>
        </is>
      </c>
    </row>
    <row r="238">
      <c r="A238" s="342" t="n">
        <v>46247</v>
      </c>
      <c r="B238" s="285" t="n">
        <v>8</v>
      </c>
      <c r="C238" s="285" t="inlineStr">
        <is>
          <t>498400</t>
        </is>
      </c>
      <c r="D238" s="285" t="inlineStr">
        <is>
          <t>KODEX 200타켓위클리커버드콜</t>
        </is>
      </c>
      <c r="E238" s="286" t="n">
        <v>99593</v>
      </c>
      <c r="F238" s="340" t="n"/>
      <c r="G238" s="286" t="n">
        <v>99593</v>
      </c>
      <c r="H238" s="285" t="inlineStr">
        <is>
          <t>예측</t>
        </is>
      </c>
    </row>
    <row r="239">
      <c r="A239" s="342" t="n">
        <v>46249</v>
      </c>
      <c r="B239" s="285" t="n">
        <v>8</v>
      </c>
      <c r="C239" s="285" t="inlineStr">
        <is>
          <t>XOM</t>
        </is>
      </c>
      <c r="D239" s="285" t="inlineStr">
        <is>
          <t>엑슨모빌</t>
        </is>
      </c>
      <c r="E239" s="286" t="n"/>
      <c r="F239" s="340" t="n">
        <v>0.97</v>
      </c>
      <c r="G239" s="286" t="n">
        <v>1375.46</v>
      </c>
      <c r="H239" s="285" t="inlineStr">
        <is>
          <t>예측</t>
        </is>
      </c>
    </row>
    <row r="240">
      <c r="A240" s="342" t="n">
        <v>46250</v>
      </c>
      <c r="B240" s="285" t="n">
        <v>8</v>
      </c>
      <c r="C240" s="285" t="inlineStr">
        <is>
          <t>SBUX</t>
        </is>
      </c>
      <c r="D240" s="285" t="inlineStr">
        <is>
          <t>스타벅스</t>
        </is>
      </c>
      <c r="E240" s="286" t="n"/>
      <c r="F240" s="340" t="n">
        <v>1.18</v>
      </c>
      <c r="G240" s="286" t="n">
        <v>1673.24</v>
      </c>
      <c r="H240" s="285" t="inlineStr">
        <is>
          <t>예측</t>
        </is>
      </c>
    </row>
    <row r="241">
      <c r="A241" s="342" t="n">
        <v>46251</v>
      </c>
      <c r="B241" s="285" t="n">
        <v>8</v>
      </c>
      <c r="C241" s="285" t="inlineStr">
        <is>
          <t>NVO</t>
        </is>
      </c>
      <c r="D241" s="285" t="inlineStr">
        <is>
          <t>노보 노디스크</t>
        </is>
      </c>
      <c r="E241" s="286" t="n"/>
      <c r="F241" s="340" t="n">
        <v>8.227499999999999</v>
      </c>
      <c r="G241" s="286" t="n">
        <v>11666.595</v>
      </c>
      <c r="H241" s="285" t="inlineStr">
        <is>
          <t>예측</t>
        </is>
      </c>
    </row>
    <row r="242">
      <c r="A242" s="342" t="n">
        <v>46252</v>
      </c>
      <c r="B242" s="285" t="n">
        <v>8</v>
      </c>
      <c r="C242" s="285" t="inlineStr">
        <is>
          <t>MSFT</t>
        </is>
      </c>
      <c r="D242" s="285" t="inlineStr">
        <is>
          <t>마이크로소프트</t>
        </is>
      </c>
      <c r="E242" s="286" t="n"/>
      <c r="F242" s="340" t="n">
        <v>1.58</v>
      </c>
      <c r="G242" s="286" t="n">
        <v>2240.44</v>
      </c>
      <c r="H242" s="285" t="inlineStr">
        <is>
          <t>예측</t>
        </is>
      </c>
    </row>
    <row r="243">
      <c r="A243" s="342" t="n">
        <v>46253</v>
      </c>
      <c r="B243" s="285" t="n">
        <v>8</v>
      </c>
      <c r="C243" s="285" t="inlineStr">
        <is>
          <t>CVX</t>
        </is>
      </c>
      <c r="D243" s="285" t="inlineStr">
        <is>
          <t>셰브론</t>
        </is>
      </c>
      <c r="E243" s="286" t="n"/>
      <c r="F243" s="340" t="n">
        <v>1.67</v>
      </c>
      <c r="G243" s="286" t="n">
        <v>2368.06</v>
      </c>
      <c r="H243" s="285" t="inlineStr">
        <is>
          <t>예측</t>
        </is>
      </c>
    </row>
    <row r="244">
      <c r="A244" s="342" t="n">
        <v>46255</v>
      </c>
      <c r="B244" s="285" t="n">
        <v>8</v>
      </c>
      <c r="C244" s="285" t="inlineStr">
        <is>
          <t>481060</t>
        </is>
      </c>
      <c r="D244" s="285" t="inlineStr">
        <is>
          <t>KODEX 미국30년국채타겟커버드콜(H)</t>
        </is>
      </c>
      <c r="E244" s="286" t="n">
        <v>296820</v>
      </c>
      <c r="F244" s="340" t="n"/>
      <c r="G244" s="286" t="n">
        <v>296820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005389</t>
        </is>
      </c>
      <c r="D245" s="285" t="inlineStr">
        <is>
          <t>현대차3우B</t>
        </is>
      </c>
      <c r="E245" s="286" t="n">
        <v>32500</v>
      </c>
      <c r="F245" s="340" t="n"/>
      <c r="G245" s="286" t="n">
        <v>32500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017670</t>
        </is>
      </c>
      <c r="D246" s="285" t="inlineStr">
        <is>
          <t>SKT</t>
        </is>
      </c>
      <c r="E246" s="286" t="n">
        <v>19920</v>
      </c>
      <c r="F246" s="340" t="n"/>
      <c r="G246" s="286" t="n">
        <v>19920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329200</t>
        </is>
      </c>
      <c r="D247" s="285" t="inlineStr">
        <is>
          <t>TIGER리츠부동산인프라</t>
        </is>
      </c>
      <c r="E247" s="286" t="n">
        <v>162500</v>
      </c>
      <c r="F247" s="340" t="n"/>
      <c r="G247" s="286" t="n">
        <v>162500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433330</t>
        </is>
      </c>
      <c r="D248" s="285" t="inlineStr">
        <is>
          <t>SOL 미국 S&amp;P500</t>
        </is>
      </c>
      <c r="E248" s="286" t="n">
        <v>20674</v>
      </c>
      <c r="F248" s="340" t="n"/>
      <c r="G248" s="286" t="n">
        <v>20674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446720</t>
        </is>
      </c>
      <c r="D249" s="285" t="inlineStr">
        <is>
          <t>SOL 미국배당다우존스</t>
        </is>
      </c>
      <c r="E249" s="286" t="n">
        <v>44555</v>
      </c>
      <c r="F249" s="340" t="n"/>
      <c r="G249" s="286" t="n">
        <v>44555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458760</t>
        </is>
      </c>
      <c r="D250" s="285" t="inlineStr">
        <is>
          <t>TIGER 미배당다우커버드콜2호</t>
        </is>
      </c>
      <c r="E250" s="286" t="n">
        <v>1381770</v>
      </c>
      <c r="F250" s="340" t="n"/>
      <c r="G250" s="286" t="n">
        <v>1381770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468380</t>
        </is>
      </c>
      <c r="D251" s="285" t="inlineStr">
        <is>
          <t>KODEX iShares미국하이일드액티브</t>
        </is>
      </c>
      <c r="E251" s="286" t="n">
        <v>112000</v>
      </c>
      <c r="F251" s="340" t="n"/>
      <c r="G251" s="286" t="n">
        <v>112000</v>
      </c>
      <c r="H251" s="285" t="inlineStr">
        <is>
          <t>예측</t>
        </is>
      </c>
    </row>
    <row r="252">
      <c r="A252" s="342" t="n">
        <v>46262</v>
      </c>
      <c r="B252" s="285" t="n">
        <v>8</v>
      </c>
      <c r="C252" s="285" t="inlineStr">
        <is>
          <t>473330</t>
        </is>
      </c>
      <c r="D252" s="285" t="inlineStr">
        <is>
          <t>SOL 미국 30년국채커버드콜(합성)</t>
        </is>
      </c>
      <c r="E252" s="286" t="n">
        <v>81600</v>
      </c>
      <c r="F252" s="340" t="n"/>
      <c r="G252" s="286" t="n">
        <v>81600</v>
      </c>
      <c r="H252" s="285" t="inlineStr">
        <is>
          <t>예측</t>
        </is>
      </c>
    </row>
    <row r="253">
      <c r="A253" s="342" t="n">
        <v>46262</v>
      </c>
      <c r="B253" s="285" t="n">
        <v>8</v>
      </c>
      <c r="C253" s="285" t="inlineStr">
        <is>
          <t>475380</t>
        </is>
      </c>
      <c r="D253" s="285" t="inlineStr">
        <is>
          <t>RISE 글로벌리얼티인컴</t>
        </is>
      </c>
      <c r="E253" s="286" t="n">
        <v>3636</v>
      </c>
      <c r="F253" s="340" t="n"/>
      <c r="G253" s="286" t="n">
        <v>3636</v>
      </c>
      <c r="H253" s="285" t="inlineStr">
        <is>
          <t>예측</t>
        </is>
      </c>
    </row>
    <row r="254">
      <c r="A254" s="342" t="n">
        <v>46262</v>
      </c>
      <c r="B254" s="285" t="n">
        <v>8</v>
      </c>
      <c r="C254" s="285" t="inlineStr">
        <is>
          <t>476550</t>
        </is>
      </c>
      <c r="D254" s="285" t="inlineStr">
        <is>
          <t>TIGER 미국30년국채커버드콜액티브(H)</t>
        </is>
      </c>
      <c r="E254" s="286" t="n">
        <v>38574</v>
      </c>
      <c r="F254" s="340" t="n"/>
      <c r="G254" s="286" t="n">
        <v>38574</v>
      </c>
      <c r="H254" s="285" t="inlineStr">
        <is>
          <t>예측</t>
        </is>
      </c>
    </row>
    <row r="255">
      <c r="A255" s="342" t="n">
        <v>46262</v>
      </c>
      <c r="B255" s="285" t="n">
        <v>8</v>
      </c>
      <c r="C255" s="285" t="inlineStr">
        <is>
          <t>476690</t>
        </is>
      </c>
      <c r="D255" s="285" t="inlineStr">
        <is>
          <t>TIGER 글로벌비만치료제 TOP2 Plus</t>
        </is>
      </c>
      <c r="E255" s="286" t="n">
        <v>1750</v>
      </c>
      <c r="F255" s="340" t="n"/>
      <c r="G255" s="286" t="n">
        <v>1750</v>
      </c>
      <c r="H255" s="285" t="inlineStr">
        <is>
          <t>예측</t>
        </is>
      </c>
    </row>
    <row r="256">
      <c r="A256" s="342" t="n">
        <v>46262</v>
      </c>
      <c r="B256" s="285" t="n">
        <v>8</v>
      </c>
      <c r="C256" s="285" t="inlineStr">
        <is>
          <t>482730</t>
        </is>
      </c>
      <c r="D256" s="285" t="inlineStr">
        <is>
          <t>미국S&amp;P500타겟데일리커버드콜</t>
        </is>
      </c>
      <c r="E256" s="286" t="n">
        <v>37825</v>
      </c>
      <c r="F256" s="340" t="n"/>
      <c r="G256" s="286" t="n">
        <v>37825</v>
      </c>
      <c r="H256" s="285" t="inlineStr">
        <is>
          <t>예측</t>
        </is>
      </c>
    </row>
    <row r="257">
      <c r="A257" s="342" t="n">
        <v>46262</v>
      </c>
      <c r="B257" s="285" t="n">
        <v>8</v>
      </c>
      <c r="C257" s="285" t="inlineStr">
        <is>
          <t>483280</t>
        </is>
      </c>
      <c r="D257" s="285" t="inlineStr">
        <is>
          <t>KODEX 미국AI테크TOP10타겟커버드콜</t>
        </is>
      </c>
      <c r="E257" s="286" t="n">
        <v>296058</v>
      </c>
      <c r="F257" s="340" t="n"/>
      <c r="G257" s="286" t="n">
        <v>296058</v>
      </c>
      <c r="H257" s="285" t="inlineStr">
        <is>
          <t>예측</t>
        </is>
      </c>
    </row>
    <row r="258">
      <c r="A258" s="342" t="n">
        <v>46262</v>
      </c>
      <c r="B258" s="285" t="n">
        <v>8</v>
      </c>
      <c r="C258" s="285" t="inlineStr">
        <is>
          <t>498410</t>
        </is>
      </c>
      <c r="D258" s="285" t="inlineStr">
        <is>
          <t>KODEX금융고배당TOP10타겟위클리커버드콜</t>
        </is>
      </c>
      <c r="E258" s="286" t="n">
        <v>366058</v>
      </c>
      <c r="F258" s="340" t="n"/>
      <c r="G258" s="286" t="n">
        <v>366058</v>
      </c>
      <c r="H258" s="285" t="inlineStr">
        <is>
          <t>예측</t>
        </is>
      </c>
    </row>
    <row r="259">
      <c r="A259" s="342" t="n">
        <v>46264</v>
      </c>
      <c r="B259" s="285" t="n">
        <v>8</v>
      </c>
      <c r="C259" s="285" t="inlineStr">
        <is>
          <t>TMUS</t>
        </is>
      </c>
      <c r="D259" s="285" t="inlineStr">
        <is>
          <t>T-모바일</t>
        </is>
      </c>
      <c r="E259" s="286" t="n"/>
      <c r="F259" s="340" t="n">
        <v>3.06</v>
      </c>
      <c r="G259" s="286" t="n">
        <v>4339.08</v>
      </c>
      <c r="H259" s="285" t="inlineStr">
        <is>
          <t>예측</t>
        </is>
      </c>
    </row>
    <row r="260">
      <c r="A260" s="342" t="n">
        <v>46265</v>
      </c>
      <c r="B260" s="285" t="n">
        <v>8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192168</v>
      </c>
      <c r="F260" s="340" t="n"/>
      <c r="G260" s="286" t="n">
        <v>192168</v>
      </c>
      <c r="H260" s="285" t="inlineStr">
        <is>
          <t>예측</t>
        </is>
      </c>
    </row>
    <row r="261">
      <c r="A261" s="342" t="n">
        <v>46267</v>
      </c>
      <c r="B261" s="285" t="n">
        <v>9</v>
      </c>
      <c r="C261" s="285" t="inlineStr">
        <is>
          <t>NKE</t>
        </is>
      </c>
      <c r="D261" s="285" t="inlineStr">
        <is>
          <t>나이키</t>
        </is>
      </c>
      <c r="E261" s="286" t="n"/>
      <c r="F261" s="340" t="n">
        <v>3.85</v>
      </c>
      <c r="G261" s="286" t="n">
        <v>5459.3</v>
      </c>
      <c r="H261" s="285" t="inlineStr">
        <is>
          <t>예측</t>
        </is>
      </c>
    </row>
    <row r="262">
      <c r="A262" s="342" t="n">
        <v>46267</v>
      </c>
      <c r="B262" s="285" t="n">
        <v>9</v>
      </c>
      <c r="C262" s="285" t="inlineStr">
        <is>
          <t>O</t>
        </is>
      </c>
      <c r="D262" s="285" t="inlineStr">
        <is>
          <t>리얼티인컴</t>
        </is>
      </c>
      <c r="E262" s="286" t="n"/>
      <c r="F262" s="340" t="n">
        <v>14.098</v>
      </c>
      <c r="G262" s="286" t="n">
        <v>19990.964</v>
      </c>
      <c r="H262" s="285" t="inlineStr">
        <is>
          <t>예측</t>
        </is>
      </c>
    </row>
    <row r="263">
      <c r="A263" s="342" t="n">
        <v>46277</v>
      </c>
      <c r="B263" s="285" t="n">
        <v>9</v>
      </c>
      <c r="C263" s="285" t="inlineStr">
        <is>
          <t>0008S0</t>
        </is>
      </c>
      <c r="D263" s="285" t="inlineStr">
        <is>
          <t>TIGER 미국배당다우존스타겟데일리커버드콜</t>
        </is>
      </c>
      <c r="E263" s="286" t="n">
        <v>264000</v>
      </c>
      <c r="F263" s="340" t="n"/>
      <c r="G263" s="286" t="n">
        <v>264000</v>
      </c>
      <c r="H263" s="285" t="inlineStr">
        <is>
          <t>예측</t>
        </is>
      </c>
    </row>
    <row r="264">
      <c r="A264" s="342" t="n">
        <v>46277</v>
      </c>
      <c r="B264" s="285" t="n">
        <v>9</v>
      </c>
      <c r="C264" s="285" t="inlineStr">
        <is>
          <t>474220</t>
        </is>
      </c>
      <c r="D264" s="285" t="inlineStr">
        <is>
          <t>TIGER미국테크TOP10커버드콜</t>
        </is>
      </c>
      <c r="E264" s="286" t="n">
        <v>494760</v>
      </c>
      <c r="F264" s="340" t="n"/>
      <c r="G264" s="286" t="n">
        <v>494760</v>
      </c>
      <c r="H264" s="285" t="inlineStr">
        <is>
          <t>예측</t>
        </is>
      </c>
    </row>
    <row r="265">
      <c r="A265" s="342" t="n">
        <v>46277</v>
      </c>
      <c r="B265" s="285" t="n">
        <v>9</v>
      </c>
      <c r="C265" s="285" t="inlineStr">
        <is>
          <t>490490</t>
        </is>
      </c>
      <c r="D265" s="285" t="inlineStr">
        <is>
          <t>SOL미국배당미국채혼합50</t>
        </is>
      </c>
      <c r="E265" s="286" t="n">
        <v>137556</v>
      </c>
      <c r="F265" s="340" t="n"/>
      <c r="G265" s="286" t="n">
        <v>137556</v>
      </c>
      <c r="H265" s="285" t="inlineStr">
        <is>
          <t>예측</t>
        </is>
      </c>
    </row>
    <row r="266">
      <c r="A266" s="342" t="n">
        <v>46277</v>
      </c>
      <c r="B266" s="285" t="n">
        <v>9</v>
      </c>
      <c r="C266" s="285" t="inlineStr">
        <is>
          <t>498400</t>
        </is>
      </c>
      <c r="D266" s="285" t="inlineStr">
        <is>
          <t>KODEX 200타켓위클리커버드콜</t>
        </is>
      </c>
      <c r="E266" s="286" t="n">
        <v>98371</v>
      </c>
      <c r="F266" s="340" t="n"/>
      <c r="G266" s="286" t="n">
        <v>98371</v>
      </c>
      <c r="H266" s="285" t="inlineStr">
        <is>
          <t>예측</t>
        </is>
      </c>
    </row>
    <row r="267">
      <c r="A267" s="342" t="n">
        <v>46279</v>
      </c>
      <c r="B267" s="285" t="n">
        <v>9</v>
      </c>
      <c r="C267" s="285" t="inlineStr">
        <is>
          <t>TSM</t>
        </is>
      </c>
      <c r="D267" s="285" t="inlineStr">
        <is>
          <t>TSMC</t>
        </is>
      </c>
      <c r="E267" s="286" t="n"/>
      <c r="F267" s="340" t="n">
        <v>0.724</v>
      </c>
      <c r="G267" s="286" t="n">
        <v>1026.632</v>
      </c>
      <c r="H267" s="285" t="inlineStr">
        <is>
          <t>예측</t>
        </is>
      </c>
    </row>
    <row r="268">
      <c r="A268" s="342" t="n">
        <v>46285</v>
      </c>
      <c r="B268" s="285" t="n">
        <v>9</v>
      </c>
      <c r="C268" s="285" t="inlineStr">
        <is>
          <t>481060</t>
        </is>
      </c>
      <c r="D268" s="285" t="inlineStr">
        <is>
          <t>KODEX 미국30년국채타겟커버드콜(H)</t>
        </is>
      </c>
      <c r="E268" s="286" t="n">
        <v>296820</v>
      </c>
      <c r="F268" s="340" t="n"/>
      <c r="G268" s="286" t="n">
        <v>296820</v>
      </c>
      <c r="H268" s="285" t="inlineStr">
        <is>
          <t>예측</t>
        </is>
      </c>
    </row>
    <row r="269">
      <c r="A269" s="342" t="n">
        <v>46289</v>
      </c>
      <c r="B269" s="285" t="n">
        <v>9</v>
      </c>
      <c r="C269" s="285" t="inlineStr">
        <is>
          <t>QLD</t>
        </is>
      </c>
      <c r="D269" s="285" t="inlineStr">
        <is>
          <t>QLD</t>
        </is>
      </c>
      <c r="E269" s="286" t="n"/>
      <c r="F269" s="340" t="n">
        <v>0.989</v>
      </c>
      <c r="G269" s="286" t="n">
        <v>1402.402</v>
      </c>
      <c r="H269" s="285" t="inlineStr">
        <is>
          <t>예측</t>
        </is>
      </c>
    </row>
    <row r="270">
      <c r="A270" s="342" t="n">
        <v>46289</v>
      </c>
      <c r="B270" s="285" t="n">
        <v>9</v>
      </c>
      <c r="C270" s="285" t="inlineStr">
        <is>
          <t>SCHD</t>
        </is>
      </c>
      <c r="D270" s="285" t="inlineStr">
        <is>
          <t>SCHD</t>
        </is>
      </c>
      <c r="E270" s="286" t="n"/>
      <c r="F270" s="340" t="n">
        <v>6.14</v>
      </c>
      <c r="G270" s="286" t="n">
        <v>8706.52</v>
      </c>
      <c r="H270" s="285" t="inlineStr">
        <is>
          <t>예측</t>
        </is>
      </c>
    </row>
    <row r="271">
      <c r="A271" s="342" t="n">
        <v>46292</v>
      </c>
      <c r="B271" s="285" t="n">
        <v>9</v>
      </c>
      <c r="C271" s="285" t="inlineStr">
        <is>
          <t>005389</t>
        </is>
      </c>
      <c r="D271" s="285" t="inlineStr">
        <is>
          <t>현대차3우B</t>
        </is>
      </c>
      <c r="E271" s="286" t="n">
        <v>26000</v>
      </c>
      <c r="F271" s="340" t="n"/>
      <c r="G271" s="286" t="n">
        <v>26000</v>
      </c>
      <c r="H271" s="285" t="inlineStr">
        <is>
          <t>예측</t>
        </is>
      </c>
    </row>
    <row r="272">
      <c r="A272" s="342" t="n">
        <v>46292</v>
      </c>
      <c r="B272" s="285" t="n">
        <v>9</v>
      </c>
      <c r="C272" s="285" t="inlineStr">
        <is>
          <t>017670</t>
        </is>
      </c>
      <c r="D272" s="285" t="inlineStr">
        <is>
          <t>SKT</t>
        </is>
      </c>
      <c r="E272" s="286" t="n">
        <v>19920</v>
      </c>
      <c r="F272" s="340" t="n"/>
      <c r="G272" s="286" t="n">
        <v>19920</v>
      </c>
      <c r="H272" s="285" t="inlineStr">
        <is>
          <t>예측</t>
        </is>
      </c>
    </row>
    <row r="273">
      <c r="A273" s="342" t="n">
        <v>46292</v>
      </c>
      <c r="B273" s="285" t="n">
        <v>9</v>
      </c>
      <c r="C273" s="285" t="n">
        <v>105560</v>
      </c>
      <c r="D273" s="285" t="inlineStr">
        <is>
          <t>KB금융</t>
        </is>
      </c>
      <c r="E273" s="286" t="n">
        <v>9540</v>
      </c>
      <c r="F273" s="340" t="n"/>
      <c r="G273" s="286" t="n">
        <v>9540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005930</t>
        </is>
      </c>
      <c r="D274" s="285" t="inlineStr">
        <is>
          <t>삼성전자</t>
        </is>
      </c>
      <c r="E274" s="286" t="n">
        <v>36184</v>
      </c>
      <c r="F274" s="340" t="n"/>
      <c r="G274" s="286" t="n">
        <v>36184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329200</t>
        </is>
      </c>
      <c r="D275" s="285" t="inlineStr">
        <is>
          <t>TIGER리츠부동산인프라</t>
        </is>
      </c>
      <c r="E275" s="286" t="n">
        <v>195000</v>
      </c>
      <c r="F275" s="340" t="n"/>
      <c r="G275" s="286" t="n">
        <v>195000</v>
      </c>
      <c r="H275" s="285" t="inlineStr">
        <is>
          <t>예측</t>
        </is>
      </c>
    </row>
    <row r="276">
      <c r="A276" s="342" t="n">
        <v>46293</v>
      </c>
      <c r="B276" s="285" t="n">
        <v>9</v>
      </c>
      <c r="C276" s="285" t="inlineStr">
        <is>
          <t>433330</t>
        </is>
      </c>
      <c r="D276" s="285" t="inlineStr">
        <is>
          <t>SOL 미국 S&amp;P500</t>
        </is>
      </c>
      <c r="E276" s="286" t="n">
        <v>19422</v>
      </c>
      <c r="F276" s="340" t="n"/>
      <c r="G276" s="286" t="n">
        <v>19422</v>
      </c>
      <c r="H276" s="285" t="inlineStr">
        <is>
          <t>예측</t>
        </is>
      </c>
    </row>
    <row r="277">
      <c r="A277" s="342" t="n">
        <v>46293</v>
      </c>
      <c r="B277" s="285" t="n">
        <v>9</v>
      </c>
      <c r="C277" s="285" t="inlineStr">
        <is>
          <t>446720</t>
        </is>
      </c>
      <c r="D277" s="285" t="inlineStr">
        <is>
          <t>SOL 미국배당다우존스</t>
        </is>
      </c>
      <c r="E277" s="286" t="n">
        <v>43225</v>
      </c>
      <c r="F277" s="340" t="n"/>
      <c r="G277" s="286" t="n">
        <v>43225</v>
      </c>
      <c r="H277" s="285" t="inlineStr">
        <is>
          <t>예측</t>
        </is>
      </c>
    </row>
    <row r="278">
      <c r="A278" s="342" t="n">
        <v>46293</v>
      </c>
      <c r="B278" s="285" t="n">
        <v>9</v>
      </c>
      <c r="C278" s="285" t="inlineStr">
        <is>
          <t>458760</t>
        </is>
      </c>
      <c r="D278" s="285" t="inlineStr">
        <is>
          <t>TIGER 미배당다우커버드콜2호</t>
        </is>
      </c>
      <c r="E278" s="286" t="n">
        <v>1366417</v>
      </c>
      <c r="F278" s="340" t="n"/>
      <c r="G278" s="286" t="n">
        <v>1366417</v>
      </c>
      <c r="H278" s="285" t="inlineStr">
        <is>
          <t>예측</t>
        </is>
      </c>
    </row>
    <row r="279">
      <c r="A279" s="342" t="n">
        <v>46293</v>
      </c>
      <c r="B279" s="285" t="n">
        <v>9</v>
      </c>
      <c r="C279" s="285" t="inlineStr">
        <is>
          <t>468380</t>
        </is>
      </c>
      <c r="D279" s="285" t="inlineStr">
        <is>
          <t>KODEX iShares미국하이일드액티브</t>
        </is>
      </c>
      <c r="E279" s="286" t="n">
        <v>119000</v>
      </c>
      <c r="F279" s="340" t="n"/>
      <c r="G279" s="286" t="n">
        <v>119000</v>
      </c>
      <c r="H279" s="285" t="inlineStr">
        <is>
          <t>예측</t>
        </is>
      </c>
    </row>
    <row r="280">
      <c r="A280" s="342" t="n">
        <v>46293</v>
      </c>
      <c r="B280" s="285" t="n">
        <v>9</v>
      </c>
      <c r="C280" s="285" t="inlineStr">
        <is>
          <t>473330</t>
        </is>
      </c>
      <c r="D280" s="285" t="inlineStr">
        <is>
          <t>SOL 미국 30년국채커버드콜(합성)</t>
        </is>
      </c>
      <c r="E280" s="286" t="n">
        <v>89280</v>
      </c>
      <c r="F280" s="340" t="n"/>
      <c r="G280" s="286" t="n">
        <v>89280</v>
      </c>
      <c r="H280" s="285" t="inlineStr">
        <is>
          <t>예측</t>
        </is>
      </c>
    </row>
    <row r="281">
      <c r="A281" s="342" t="n">
        <v>46293</v>
      </c>
      <c r="B281" s="285" t="n">
        <v>9</v>
      </c>
      <c r="C281" s="285" t="inlineStr">
        <is>
          <t>475380</t>
        </is>
      </c>
      <c r="D281" s="285" t="inlineStr">
        <is>
          <t>RISE 글로벌리얼티인컴</t>
        </is>
      </c>
      <c r="E281" s="286" t="n">
        <v>3737</v>
      </c>
      <c r="F281" s="340" t="n"/>
      <c r="G281" s="286" t="n">
        <v>3737</v>
      </c>
      <c r="H281" s="285" t="inlineStr">
        <is>
          <t>예측</t>
        </is>
      </c>
    </row>
    <row r="282">
      <c r="A282" s="342" t="n">
        <v>46293</v>
      </c>
      <c r="B282" s="285" t="n">
        <v>9</v>
      </c>
      <c r="C282" s="285" t="inlineStr">
        <is>
          <t>476550</t>
        </is>
      </c>
      <c r="D282" s="285" t="inlineStr">
        <is>
          <t>TIGER 미국30년국채커버드콜액티브(H)</t>
        </is>
      </c>
      <c r="E282" s="286" t="n">
        <v>38790</v>
      </c>
      <c r="F282" s="340" t="n"/>
      <c r="G282" s="286" t="n">
        <v>38790</v>
      </c>
      <c r="H282" s="285" t="inlineStr">
        <is>
          <t>예측</t>
        </is>
      </c>
    </row>
    <row r="283">
      <c r="A283" s="342" t="n">
        <v>46293</v>
      </c>
      <c r="B283" s="285" t="n">
        <v>9</v>
      </c>
      <c r="C283" s="285" t="inlineStr">
        <is>
          <t>476690</t>
        </is>
      </c>
      <c r="D283" s="285" t="inlineStr">
        <is>
          <t>TIGER 글로벌비만치료제 TOP2 Plus</t>
        </is>
      </c>
      <c r="E283" s="286" t="n">
        <v>1250</v>
      </c>
      <c r="F283" s="340" t="n"/>
      <c r="G283" s="286" t="n">
        <v>1250</v>
      </c>
      <c r="H283" s="285" t="inlineStr">
        <is>
          <t>예측</t>
        </is>
      </c>
    </row>
    <row r="284">
      <c r="A284" s="342" t="n">
        <v>46293</v>
      </c>
      <c r="B284" s="285" t="n">
        <v>9</v>
      </c>
      <c r="C284" s="285" t="inlineStr">
        <is>
          <t>482730</t>
        </is>
      </c>
      <c r="D284" s="285" t="inlineStr">
        <is>
          <t>미국S&amp;P500타겟데일리커버드콜</t>
        </is>
      </c>
      <c r="E284" s="286" t="n">
        <v>38250</v>
      </c>
      <c r="F284" s="340" t="n"/>
      <c r="G284" s="286" t="n">
        <v>38250</v>
      </c>
      <c r="H284" s="285" t="inlineStr">
        <is>
          <t>예측</t>
        </is>
      </c>
    </row>
    <row r="285">
      <c r="A285" s="342" t="n">
        <v>46293</v>
      </c>
      <c r="B285" s="285" t="n">
        <v>9</v>
      </c>
      <c r="C285" s="285" t="inlineStr">
        <is>
          <t>483280</t>
        </is>
      </c>
      <c r="D285" s="285" t="inlineStr">
        <is>
          <t>KODEX 미국AI테크TOP10타겟커버드콜</t>
        </is>
      </c>
      <c r="E285" s="286" t="n">
        <v>309414</v>
      </c>
      <c r="F285" s="340" t="n"/>
      <c r="G285" s="286" t="n">
        <v>309414</v>
      </c>
      <c r="H285" s="285" t="inlineStr">
        <is>
          <t>예측</t>
        </is>
      </c>
    </row>
    <row r="286">
      <c r="A286" s="342" t="n">
        <v>46294</v>
      </c>
      <c r="B286" s="285" t="n">
        <v>9</v>
      </c>
      <c r="C286" s="285" t="inlineStr">
        <is>
          <t>498410</t>
        </is>
      </c>
      <c r="D286" s="285" t="inlineStr">
        <is>
          <t>KODEX금융고배당TOP10타겟위클리커버드콜</t>
        </is>
      </c>
      <c r="E286" s="286" t="n">
        <v>375566</v>
      </c>
      <c r="F286" s="340" t="n"/>
      <c r="G286" s="286" t="n">
        <v>375566</v>
      </c>
      <c r="H286" s="285" t="inlineStr">
        <is>
          <t>예측</t>
        </is>
      </c>
    </row>
    <row r="287">
      <c r="A287" s="342" t="n">
        <v>46295</v>
      </c>
      <c r="B287" s="285" t="n">
        <v>9</v>
      </c>
      <c r="C287" s="285" t="inlineStr">
        <is>
          <t>0219E0</t>
        </is>
      </c>
      <c r="D287" s="285" t="inlineStr">
        <is>
          <t>KODEX 200커버드콜액티브</t>
        </is>
      </c>
      <c r="E287" s="286" t="n">
        <v>192168</v>
      </c>
      <c r="F287" s="340" t="n"/>
      <c r="G287" s="286" t="n">
        <v>192168</v>
      </c>
      <c r="H287" s="285" t="inlineStr">
        <is>
          <t>예측</t>
        </is>
      </c>
    </row>
    <row r="288">
      <c r="A288" s="342" t="n">
        <v>46295</v>
      </c>
      <c r="B288" s="285" t="n">
        <v>9</v>
      </c>
      <c r="C288" s="285" t="inlineStr">
        <is>
          <t>AMT</t>
        </is>
      </c>
      <c r="D288" s="285" t="inlineStr">
        <is>
          <t>아메리칸타워</t>
        </is>
      </c>
      <c r="E288" s="286" t="n"/>
      <c r="F288" s="340" t="n">
        <v>8.5</v>
      </c>
      <c r="G288" s="286" t="n">
        <v>12053</v>
      </c>
      <c r="H288" s="285" t="inlineStr">
        <is>
          <t>예측</t>
        </is>
      </c>
    </row>
    <row r="289">
      <c r="A289" s="342" t="n">
        <v>46304</v>
      </c>
      <c r="B289" s="285" t="n">
        <v>10</v>
      </c>
      <c r="C289" s="285" t="inlineStr">
        <is>
          <t>AMT</t>
        </is>
      </c>
      <c r="D289" s="285" t="inlineStr">
        <is>
          <t>아메리칸타워</t>
        </is>
      </c>
      <c r="E289" s="286" t="n"/>
      <c r="F289" s="340" t="n">
        <v>8.1</v>
      </c>
      <c r="G289" s="286" t="n">
        <v>11485.8</v>
      </c>
      <c r="H289" s="285" t="inlineStr">
        <is>
          <t>예측</t>
        </is>
      </c>
    </row>
    <row r="290">
      <c r="A290" s="342" t="n">
        <v>46305</v>
      </c>
      <c r="B290" s="285" t="n">
        <v>10</v>
      </c>
      <c r="C290" s="285" t="inlineStr">
        <is>
          <t>ORCL</t>
        </is>
      </c>
      <c r="D290" s="285" t="inlineStr">
        <is>
          <t>오라클</t>
        </is>
      </c>
      <c r="E290" s="286" t="n"/>
      <c r="F290" s="340" t="n">
        <v>0.9</v>
      </c>
      <c r="G290" s="286" t="n">
        <v>1276.2</v>
      </c>
      <c r="H290" s="285" t="inlineStr">
        <is>
          <t>예측</t>
        </is>
      </c>
    </row>
    <row r="291">
      <c r="A291" s="342" t="n">
        <v>46306</v>
      </c>
      <c r="B291" s="285" t="n">
        <v>10</v>
      </c>
      <c r="C291" s="285" t="inlineStr">
        <is>
          <t>O</t>
        </is>
      </c>
      <c r="D291" s="285" t="inlineStr">
        <is>
          <t>리얼티인컴</t>
        </is>
      </c>
      <c r="E291" s="286" t="n"/>
      <c r="F291" s="340" t="n">
        <v>14.204</v>
      </c>
      <c r="G291" s="286" t="n">
        <v>20141.272</v>
      </c>
      <c r="H291" s="285" t="inlineStr">
        <is>
          <t>예측</t>
        </is>
      </c>
    </row>
    <row r="292">
      <c r="A292" s="342" t="n">
        <v>46309</v>
      </c>
      <c r="B292" s="285" t="n">
        <v>10</v>
      </c>
      <c r="C292" s="285" t="inlineStr">
        <is>
          <t>0008S0</t>
        </is>
      </c>
      <c r="D292" s="285" t="inlineStr">
        <is>
          <t>TIGER 미국배당다우존스타겟데일리커버드콜</t>
        </is>
      </c>
      <c r="E292" s="286" t="n">
        <v>261000</v>
      </c>
      <c r="F292" s="340" t="n"/>
      <c r="G292" s="286" t="n">
        <v>261000</v>
      </c>
      <c r="H292" s="285" t="inlineStr">
        <is>
          <t>예측</t>
        </is>
      </c>
    </row>
    <row r="293">
      <c r="A293" s="342" t="n">
        <v>46309</v>
      </c>
      <c r="B293" s="285" t="n">
        <v>10</v>
      </c>
      <c r="C293" s="285" t="inlineStr">
        <is>
          <t>474220</t>
        </is>
      </c>
      <c r="D293" s="285" t="inlineStr">
        <is>
          <t>TIGER미국테크TOP10커버드콜</t>
        </is>
      </c>
      <c r="E293" s="286" t="n">
        <v>522120</v>
      </c>
      <c r="F293" s="340" t="n"/>
      <c r="G293" s="286" t="n">
        <v>522120</v>
      </c>
      <c r="H293" s="285" t="inlineStr">
        <is>
          <t>예측</t>
        </is>
      </c>
    </row>
    <row r="294">
      <c r="A294" s="342" t="n">
        <v>46309</v>
      </c>
      <c r="B294" s="285" t="n">
        <v>10</v>
      </c>
      <c r="C294" s="285" t="inlineStr">
        <is>
          <t>481060</t>
        </is>
      </c>
      <c r="D294" s="285" t="inlineStr">
        <is>
          <t>KODEX 미국30년국채타겟커버드콜(H)</t>
        </is>
      </c>
      <c r="E294" s="286" t="n">
        <v>287640</v>
      </c>
      <c r="F294" s="340" t="n"/>
      <c r="G294" s="286" t="n">
        <v>287640</v>
      </c>
      <c r="H294" s="285" t="inlineStr">
        <is>
          <t>예측</t>
        </is>
      </c>
    </row>
    <row r="295">
      <c r="A295" s="342" t="n">
        <v>46309</v>
      </c>
      <c r="B295" s="285" t="n">
        <v>10</v>
      </c>
      <c r="C295" s="285" t="inlineStr">
        <is>
          <t>490490</t>
        </is>
      </c>
      <c r="D295" s="285" t="inlineStr">
        <is>
          <t>SOL미국배당미국채혼합50</t>
        </is>
      </c>
      <c r="E295" s="286" t="n">
        <v>80241</v>
      </c>
      <c r="F295" s="340" t="n"/>
      <c r="G295" s="286" t="n">
        <v>80241</v>
      </c>
      <c r="H295" s="285" t="inlineStr">
        <is>
          <t>예측</t>
        </is>
      </c>
    </row>
    <row r="296">
      <c r="A296" s="342" t="n">
        <v>46309</v>
      </c>
      <c r="B296" s="285" t="n">
        <v>10</v>
      </c>
      <c r="C296" s="285" t="inlineStr">
        <is>
          <t>498400</t>
        </is>
      </c>
      <c r="D296" s="285" t="inlineStr">
        <is>
          <t>KODEX 200타켓위클리커버드콜</t>
        </is>
      </c>
      <c r="E296" s="286" t="n">
        <v>105092</v>
      </c>
      <c r="F296" s="340" t="n"/>
      <c r="G296" s="286" t="n">
        <v>105092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133690</t>
        </is>
      </c>
      <c r="D297" s="285" t="inlineStr">
        <is>
          <t>TIGER 미국나스닥100</t>
        </is>
      </c>
      <c r="E297" s="286" t="n">
        <v>11457</v>
      </c>
      <c r="F297" s="340" t="n"/>
      <c r="G297" s="286" t="n">
        <v>11457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329200</t>
        </is>
      </c>
      <c r="D298" s="285" t="inlineStr">
        <is>
          <t>TIGER리츠부동산인프라</t>
        </is>
      </c>
      <c r="E298" s="286" t="n">
        <v>155000</v>
      </c>
      <c r="F298" s="340" t="n"/>
      <c r="G298" s="286" t="n">
        <v>155000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360750</t>
        </is>
      </c>
      <c r="D299" s="285" t="inlineStr">
        <is>
          <t>TIGER미국S&amp;P500</t>
        </is>
      </c>
      <c r="E299" s="286" t="n">
        <v>13688</v>
      </c>
      <c r="F299" s="340" t="n"/>
      <c r="G299" s="286" t="n">
        <v>13688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367380</t>
        </is>
      </c>
      <c r="D300" s="285" t="inlineStr">
        <is>
          <t>ACE 미국나스닥100</t>
        </is>
      </c>
      <c r="E300" s="286" t="n">
        <v>12337</v>
      </c>
      <c r="F300" s="340" t="n"/>
      <c r="G300" s="286" t="n">
        <v>12337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379810</t>
        </is>
      </c>
      <c r="D301" s="285" t="inlineStr">
        <is>
          <t>KODEX 미국나스닥100</t>
        </is>
      </c>
      <c r="E301" s="286" t="n">
        <v>20790</v>
      </c>
      <c r="F301" s="340" t="n"/>
      <c r="G301" s="286" t="n">
        <v>20790</v>
      </c>
      <c r="H301" s="285" t="inlineStr">
        <is>
          <t>예측</t>
        </is>
      </c>
    </row>
    <row r="302">
      <c r="A302" s="342" t="n">
        <v>46325</v>
      </c>
      <c r="B302" s="285" t="n">
        <v>10</v>
      </c>
      <c r="C302" s="285" t="inlineStr">
        <is>
          <t>433330</t>
        </is>
      </c>
      <c r="D302" s="285" t="inlineStr">
        <is>
          <t>SOL 미국 S&amp;P500</t>
        </is>
      </c>
      <c r="E302" s="286" t="n">
        <v>13783</v>
      </c>
      <c r="F302" s="340" t="n"/>
      <c r="G302" s="286" t="n">
        <v>13783</v>
      </c>
      <c r="H302" s="285" t="inlineStr">
        <is>
          <t>예측</t>
        </is>
      </c>
    </row>
    <row r="303">
      <c r="A303" s="342" t="n">
        <v>46325</v>
      </c>
      <c r="B303" s="285" t="n">
        <v>10</v>
      </c>
      <c r="C303" s="285" t="inlineStr">
        <is>
          <t>446720</t>
        </is>
      </c>
      <c r="D303" s="285" t="inlineStr">
        <is>
          <t>SOL 미국배당다우존스</t>
        </is>
      </c>
      <c r="E303" s="286" t="n">
        <v>43890</v>
      </c>
      <c r="F303" s="340" t="n"/>
      <c r="G303" s="286" t="n">
        <v>43890</v>
      </c>
      <c r="H303" s="285" t="inlineStr">
        <is>
          <t>예측</t>
        </is>
      </c>
    </row>
    <row r="304">
      <c r="A304" s="342" t="n">
        <v>46325</v>
      </c>
      <c r="B304" s="285" t="n">
        <v>10</v>
      </c>
      <c r="C304" s="285" t="inlineStr">
        <is>
          <t>458760</t>
        </is>
      </c>
      <c r="D304" s="285" t="inlineStr">
        <is>
          <t>TIGER 미배당다우커버드콜2호</t>
        </is>
      </c>
      <c r="E304" s="286" t="n">
        <v>1343388</v>
      </c>
      <c r="F304" s="340" t="n"/>
      <c r="G304" s="286" t="n">
        <v>1343388</v>
      </c>
      <c r="H304" s="285" t="inlineStr">
        <is>
          <t>예측</t>
        </is>
      </c>
    </row>
    <row r="305">
      <c r="A305" s="342" t="n">
        <v>46325</v>
      </c>
      <c r="B305" s="285" t="n">
        <v>10</v>
      </c>
      <c r="C305" s="285" t="inlineStr">
        <is>
          <t>468380</t>
        </is>
      </c>
      <c r="D305" s="285" t="inlineStr">
        <is>
          <t>KODEX iShares미국하이일드액티브</t>
        </is>
      </c>
      <c r="E305" s="286" t="n">
        <v>120000</v>
      </c>
      <c r="F305" s="340" t="n"/>
      <c r="G305" s="286" t="n">
        <v>120000</v>
      </c>
      <c r="H305" s="285" t="inlineStr">
        <is>
          <t>예측</t>
        </is>
      </c>
    </row>
    <row r="306">
      <c r="A306" s="342" t="n">
        <v>46325</v>
      </c>
      <c r="B306" s="285" t="n">
        <v>10</v>
      </c>
      <c r="C306" s="285" t="inlineStr">
        <is>
          <t>473330</t>
        </is>
      </c>
      <c r="D306" s="285" t="inlineStr">
        <is>
          <t>SOL 미국 30년국채커버드콜(합성)</t>
        </is>
      </c>
      <c r="E306" s="286" t="n">
        <v>78720</v>
      </c>
      <c r="F306" s="340" t="n"/>
      <c r="G306" s="286" t="n">
        <v>78720</v>
      </c>
      <c r="H306" s="285" t="inlineStr">
        <is>
          <t>예측</t>
        </is>
      </c>
    </row>
    <row r="307">
      <c r="A307" s="342" t="n">
        <v>46325</v>
      </c>
      <c r="B307" s="285" t="n">
        <v>10</v>
      </c>
      <c r="C307" s="285" t="inlineStr">
        <is>
          <t>475380</t>
        </is>
      </c>
      <c r="D307" s="285" t="inlineStr">
        <is>
          <t>RISE 글로벌리얼티인컴</t>
        </is>
      </c>
      <c r="E307" s="286" t="n">
        <v>3737</v>
      </c>
      <c r="F307" s="340" t="n"/>
      <c r="G307" s="286" t="n">
        <v>3737</v>
      </c>
      <c r="H307" s="285" t="inlineStr">
        <is>
          <t>예측</t>
        </is>
      </c>
    </row>
    <row r="308">
      <c r="A308" s="342" t="n">
        <v>46325</v>
      </c>
      <c r="B308" s="285" t="n">
        <v>10</v>
      </c>
      <c r="C308" s="285" t="inlineStr">
        <is>
          <t>476550</t>
        </is>
      </c>
      <c r="D308" s="285" t="inlineStr">
        <is>
          <t>TIGER 미국30년국채커버드콜액티브(H)</t>
        </is>
      </c>
      <c r="E308" s="286" t="n">
        <v>37928</v>
      </c>
      <c r="F308" s="340" t="n"/>
      <c r="G308" s="286" t="n">
        <v>37928</v>
      </c>
      <c r="H308" s="285" t="inlineStr">
        <is>
          <t>예측</t>
        </is>
      </c>
    </row>
    <row r="309">
      <c r="A309" s="342" t="n">
        <v>46325</v>
      </c>
      <c r="B309" s="285" t="n">
        <v>10</v>
      </c>
      <c r="C309" s="285" t="inlineStr">
        <is>
          <t>476690</t>
        </is>
      </c>
      <c r="D309" s="285" t="inlineStr">
        <is>
          <t>TIGER 글로벌비만치료제 TOP2 Plus</t>
        </is>
      </c>
      <c r="E309" s="286" t="n">
        <v>1200</v>
      </c>
      <c r="F309" s="340" t="n"/>
      <c r="G309" s="286" t="n">
        <v>1200</v>
      </c>
      <c r="H309" s="285" t="inlineStr">
        <is>
          <t>예측</t>
        </is>
      </c>
    </row>
    <row r="310">
      <c r="A310" s="342" t="n">
        <v>46325</v>
      </c>
      <c r="B310" s="285" t="n">
        <v>10</v>
      </c>
      <c r="C310" s="285" t="inlineStr">
        <is>
          <t>482730</t>
        </is>
      </c>
      <c r="D310" s="285" t="inlineStr">
        <is>
          <t>미국S&amp;P500타겟데일리커버드콜</t>
        </is>
      </c>
      <c r="E310" s="286" t="n">
        <v>40375</v>
      </c>
      <c r="F310" s="340" t="n"/>
      <c r="G310" s="286" t="n">
        <v>40375</v>
      </c>
      <c r="H310" s="285" t="inlineStr">
        <is>
          <t>예측</t>
        </is>
      </c>
    </row>
    <row r="311">
      <c r="A311" s="342" t="n">
        <v>46325</v>
      </c>
      <c r="B311" s="285" t="n">
        <v>10</v>
      </c>
      <c r="C311" s="285" t="inlineStr">
        <is>
          <t>483280</t>
        </is>
      </c>
      <c r="D311" s="285" t="inlineStr">
        <is>
          <t>KODEX 미국AI테크TOP10타겟커버드콜</t>
        </is>
      </c>
      <c r="E311" s="286" t="n">
        <v>324996</v>
      </c>
      <c r="F311" s="340" t="n"/>
      <c r="G311" s="286" t="n">
        <v>324996</v>
      </c>
      <c r="H311" s="285" t="inlineStr">
        <is>
          <t>예측</t>
        </is>
      </c>
    </row>
    <row r="312">
      <c r="A312" s="342" t="n">
        <v>46325</v>
      </c>
      <c r="B312" s="285" t="n">
        <v>10</v>
      </c>
      <c r="C312" s="285" t="inlineStr">
        <is>
          <t>498410</t>
        </is>
      </c>
      <c r="D312" s="285" t="inlineStr">
        <is>
          <t>KODEX금융고배당TOP10타겟위클리커버드콜</t>
        </is>
      </c>
      <c r="E312" s="286" t="n">
        <v>366058</v>
      </c>
      <c r="F312" s="340" t="n"/>
      <c r="G312" s="286" t="n">
        <v>366058</v>
      </c>
      <c r="H312" s="285" t="inlineStr">
        <is>
          <t>예측</t>
        </is>
      </c>
    </row>
    <row r="313">
      <c r="A313" s="342" t="n">
        <v>46326</v>
      </c>
      <c r="B313" s="285" t="n">
        <v>10</v>
      </c>
      <c r="C313" s="285" t="inlineStr">
        <is>
          <t>0219E0</t>
        </is>
      </c>
      <c r="D313" s="285" t="inlineStr">
        <is>
          <t>KODEX 200커버드콜액티브</t>
        </is>
      </c>
      <c r="E313" s="286" t="n">
        <v>192168</v>
      </c>
      <c r="F313" s="340" t="n"/>
      <c r="G313" s="286" t="n">
        <v>192168</v>
      </c>
      <c r="H313" s="285" t="inlineStr">
        <is>
          <t>예측</t>
        </is>
      </c>
    </row>
    <row r="314">
      <c r="A314" s="342" t="n">
        <v>46335</v>
      </c>
      <c r="B314" s="285" t="n">
        <v>11</v>
      </c>
      <c r="C314" s="285" t="inlineStr">
        <is>
          <t>AAPL</t>
        </is>
      </c>
      <c r="D314" s="285" t="inlineStr">
        <is>
          <t>애플</t>
        </is>
      </c>
      <c r="E314" s="286" t="n"/>
      <c r="F314" s="340" t="n">
        <v>2.295</v>
      </c>
      <c r="G314" s="286" t="n">
        <v>3254.31</v>
      </c>
      <c r="H314" s="285" t="inlineStr">
        <is>
          <t>예측</t>
        </is>
      </c>
    </row>
    <row r="315">
      <c r="A315" s="342" t="n">
        <v>46339</v>
      </c>
      <c r="B315" s="285" t="n">
        <v>11</v>
      </c>
      <c r="C315" s="285" t="inlineStr">
        <is>
          <t>0008S0</t>
        </is>
      </c>
      <c r="D315" s="285" t="inlineStr">
        <is>
          <t>TIGER 미국배당다우존스타겟데일리커버드콜</t>
        </is>
      </c>
      <c r="E315" s="286" t="n">
        <v>267000</v>
      </c>
      <c r="F315" s="340" t="n"/>
      <c r="G315" s="286" t="n">
        <v>267000</v>
      </c>
      <c r="H315" s="285" t="inlineStr">
        <is>
          <t>예측</t>
        </is>
      </c>
    </row>
    <row r="316">
      <c r="A316" s="342" t="n">
        <v>46339</v>
      </c>
      <c r="B316" s="285" t="n">
        <v>11</v>
      </c>
      <c r="C316" s="285" t="n">
        <v>105560</v>
      </c>
      <c r="D316" s="285" t="inlineStr">
        <is>
          <t>KB금융</t>
        </is>
      </c>
      <c r="E316" s="286" t="n">
        <v>11160</v>
      </c>
      <c r="F316" s="340" t="n"/>
      <c r="G316" s="286" t="n">
        <v>11160</v>
      </c>
      <c r="H316" s="285" t="inlineStr">
        <is>
          <t>예측</t>
        </is>
      </c>
    </row>
    <row r="317">
      <c r="A317" s="342" t="n">
        <v>46339</v>
      </c>
      <c r="B317" s="285" t="n">
        <v>11</v>
      </c>
      <c r="C317" s="285" t="inlineStr">
        <is>
          <t>498400</t>
        </is>
      </c>
      <c r="D317" s="285" t="inlineStr">
        <is>
          <t>KODEX 200타켓위클리커버드콜</t>
        </is>
      </c>
      <c r="E317" s="286" t="n">
        <v>119756</v>
      </c>
      <c r="F317" s="340" t="n"/>
      <c r="G317" s="286" t="n">
        <v>119756</v>
      </c>
      <c r="H317" s="285" t="inlineStr">
        <is>
          <t>예측</t>
        </is>
      </c>
    </row>
    <row r="318">
      <c r="A318" s="342" t="n">
        <v>46340</v>
      </c>
      <c r="B318" s="285" t="n">
        <v>11</v>
      </c>
      <c r="C318" s="285" t="inlineStr">
        <is>
          <t>474220</t>
        </is>
      </c>
      <c r="D318" s="285" t="inlineStr">
        <is>
          <t>TIGER미국테크TOP10커버드콜</t>
        </is>
      </c>
      <c r="E318" s="286" t="n">
        <v>570000</v>
      </c>
      <c r="F318" s="340" t="n"/>
      <c r="G318" s="286" t="n">
        <v>570000</v>
      </c>
      <c r="H318" s="285" t="inlineStr">
        <is>
          <t>예측</t>
        </is>
      </c>
    </row>
    <row r="319">
      <c r="A319" s="342" t="n">
        <v>46340</v>
      </c>
      <c r="B319" s="285" t="n">
        <v>11</v>
      </c>
      <c r="C319" s="285" t="inlineStr">
        <is>
          <t>481060</t>
        </is>
      </c>
      <c r="D319" s="285" t="inlineStr">
        <is>
          <t>KODEX 미국30년국채타겟커버드콜(H)</t>
        </is>
      </c>
      <c r="E319" s="286" t="n">
        <v>278460</v>
      </c>
      <c r="F319" s="340" t="n"/>
      <c r="G319" s="286" t="n">
        <v>278460</v>
      </c>
      <c r="H319" s="285" t="inlineStr">
        <is>
          <t>예측</t>
        </is>
      </c>
    </row>
    <row r="320">
      <c r="A320" s="342" t="n">
        <v>46340</v>
      </c>
      <c r="B320" s="285" t="n">
        <v>11</v>
      </c>
      <c r="C320" s="285" t="inlineStr">
        <is>
          <t>490490</t>
        </is>
      </c>
      <c r="D320" s="285" t="inlineStr">
        <is>
          <t>SOL미국배당미국채혼합50</t>
        </is>
      </c>
      <c r="E320" s="286" t="n">
        <v>122272</v>
      </c>
      <c r="F320" s="340" t="n"/>
      <c r="G320" s="286" t="n">
        <v>122272</v>
      </c>
      <c r="H320" s="285" t="inlineStr">
        <is>
          <t>예측</t>
        </is>
      </c>
    </row>
    <row r="321">
      <c r="A321" s="342" t="n">
        <v>46340</v>
      </c>
      <c r="B321" s="285" t="n">
        <v>11</v>
      </c>
      <c r="C321" s="285" t="inlineStr">
        <is>
          <t>O</t>
        </is>
      </c>
      <c r="D321" s="285" t="inlineStr">
        <is>
          <t>리얼티인컴</t>
        </is>
      </c>
      <c r="E321" s="286" t="n"/>
      <c r="F321" s="340" t="n">
        <v>14.151</v>
      </c>
      <c r="G321" s="286" t="n">
        <v>20066.118</v>
      </c>
      <c r="H321" s="285" t="inlineStr">
        <is>
          <t>예측</t>
        </is>
      </c>
    </row>
    <row r="322">
      <c r="A322" s="342" t="n">
        <v>46340</v>
      </c>
      <c r="B322" s="285" t="n">
        <v>11</v>
      </c>
      <c r="C322" s="285" t="inlineStr">
        <is>
          <t>SBUX</t>
        </is>
      </c>
      <c r="D322" s="285" t="inlineStr">
        <is>
          <t>스타벅스</t>
        </is>
      </c>
      <c r="E322" s="286" t="n"/>
      <c r="F322" s="340" t="n">
        <v>1.23</v>
      </c>
      <c r="G322" s="286" t="n">
        <v>1744.14</v>
      </c>
      <c r="H322" s="285" t="inlineStr">
        <is>
          <t>예측</t>
        </is>
      </c>
    </row>
    <row r="323">
      <c r="A323" s="342" t="n">
        <v>46340</v>
      </c>
      <c r="B323" s="285" t="n">
        <v>11</v>
      </c>
      <c r="C323" s="285" t="inlineStr">
        <is>
          <t>XOM</t>
        </is>
      </c>
      <c r="D323" s="285" t="inlineStr">
        <is>
          <t>엑슨모빌</t>
        </is>
      </c>
      <c r="E323" s="286" t="n"/>
      <c r="F323" s="340" t="n">
        <v>1.01</v>
      </c>
      <c r="G323" s="286" t="n">
        <v>1432.18</v>
      </c>
      <c r="H323" s="285" t="inlineStr">
        <is>
          <t>예측</t>
        </is>
      </c>
    </row>
    <row r="324">
      <c r="A324" s="342" t="n">
        <v>46344</v>
      </c>
      <c r="B324" s="285" t="n">
        <v>11</v>
      </c>
      <c r="C324" s="285" t="inlineStr">
        <is>
          <t>CVX</t>
        </is>
      </c>
      <c r="D324" s="285" t="inlineStr">
        <is>
          <t>셰브론</t>
        </is>
      </c>
      <c r="E324" s="286" t="n"/>
      <c r="F324" s="340" t="n">
        <v>1.67</v>
      </c>
      <c r="G324" s="286" t="n">
        <v>2368.06</v>
      </c>
      <c r="H324" s="285" t="inlineStr">
        <is>
          <t>예측</t>
        </is>
      </c>
    </row>
    <row r="325">
      <c r="A325" s="342" t="n">
        <v>46346</v>
      </c>
      <c r="B325" s="285" t="n">
        <v>11</v>
      </c>
      <c r="C325" s="285" t="inlineStr">
        <is>
          <t>MSFT</t>
        </is>
      </c>
      <c r="D325" s="285" t="inlineStr">
        <is>
          <t>마이크로소프트</t>
        </is>
      </c>
      <c r="E325" s="286" t="n"/>
      <c r="F325" s="340" t="n">
        <v>1.74</v>
      </c>
      <c r="G325" s="286" t="n">
        <v>2467.32</v>
      </c>
      <c r="H325" s="285" t="inlineStr">
        <is>
          <t>예측</t>
        </is>
      </c>
    </row>
    <row r="326">
      <c r="A326" s="342" t="n">
        <v>46352</v>
      </c>
      <c r="B326" s="285" t="n">
        <v>11</v>
      </c>
      <c r="C326" s="285" t="inlineStr">
        <is>
          <t>TMUS</t>
        </is>
      </c>
      <c r="D326" s="285" t="inlineStr">
        <is>
          <t>T-모바일</t>
        </is>
      </c>
      <c r="E326" s="286" t="n"/>
      <c r="F326" s="340" t="n">
        <v>3.8</v>
      </c>
      <c r="G326" s="286" t="n">
        <v>5388.4</v>
      </c>
      <c r="H326" s="285" t="inlineStr">
        <is>
          <t>예측</t>
        </is>
      </c>
    </row>
    <row r="327">
      <c r="A327" s="342" t="n">
        <v>46353</v>
      </c>
      <c r="B327" s="285" t="n">
        <v>11</v>
      </c>
      <c r="C327" s="285" t="inlineStr">
        <is>
          <t>005389</t>
        </is>
      </c>
      <c r="D327" s="285" t="inlineStr">
        <is>
          <t>현대차3우B</t>
        </is>
      </c>
      <c r="E327" s="286" t="n">
        <v>32500</v>
      </c>
      <c r="F327" s="340" t="n"/>
      <c r="G327" s="286" t="n">
        <v>32500</v>
      </c>
      <c r="H327" s="285" t="inlineStr">
        <is>
          <t>예측</t>
        </is>
      </c>
    </row>
    <row r="328">
      <c r="A328" s="342" t="n">
        <v>46353</v>
      </c>
      <c r="B328" s="285" t="n">
        <v>11</v>
      </c>
      <c r="C328" s="285" t="inlineStr">
        <is>
          <t>472170</t>
        </is>
      </c>
      <c r="D328" s="285" t="inlineStr">
        <is>
          <t>TIGER 미국테크TOP10채권혼합</t>
        </is>
      </c>
      <c r="E328" s="286" t="n">
        <v>100521</v>
      </c>
      <c r="F328" s="340" t="n"/>
      <c r="G328" s="286" t="n">
        <v>100521</v>
      </c>
      <c r="H328" s="285" t="inlineStr">
        <is>
          <t>예측</t>
        </is>
      </c>
    </row>
    <row r="329">
      <c r="A329" s="342" t="n">
        <v>46353</v>
      </c>
      <c r="B329" s="285" t="n">
        <v>11</v>
      </c>
      <c r="C329" s="285" t="inlineStr">
        <is>
          <t>498410</t>
        </is>
      </c>
      <c r="D329" s="285" t="inlineStr">
        <is>
          <t>KODEX금융고배당TOP10타겟위클리커버드콜</t>
        </is>
      </c>
      <c r="E329" s="286" t="n">
        <v>366058</v>
      </c>
      <c r="F329" s="340" t="n"/>
      <c r="G329" s="286" t="n">
        <v>366058</v>
      </c>
      <c r="H329" s="285" t="inlineStr">
        <is>
          <t>예측</t>
        </is>
      </c>
    </row>
    <row r="330">
      <c r="A330" s="342" t="n">
        <v>46354</v>
      </c>
      <c r="B330" s="285" t="n">
        <v>11</v>
      </c>
      <c r="C330" s="285" t="inlineStr">
        <is>
          <t>329200</t>
        </is>
      </c>
      <c r="D330" s="285" t="inlineStr">
        <is>
          <t>TIGER리츠부동산인프라</t>
        </is>
      </c>
      <c r="E330" s="286" t="n">
        <v>107500</v>
      </c>
      <c r="F330" s="340" t="n"/>
      <c r="G330" s="286" t="n">
        <v>107500</v>
      </c>
      <c r="H330" s="285" t="inlineStr">
        <is>
          <t>예측</t>
        </is>
      </c>
    </row>
    <row r="331">
      <c r="A331" s="342" t="n">
        <v>46354</v>
      </c>
      <c r="B331" s="285" t="n">
        <v>11</v>
      </c>
      <c r="C331" s="285" t="inlineStr">
        <is>
          <t>433330</t>
        </is>
      </c>
      <c r="D331" s="285" t="inlineStr">
        <is>
          <t>SOL 미국 S&amp;P500</t>
        </is>
      </c>
      <c r="E331" s="286" t="n">
        <v>21928</v>
      </c>
      <c r="F331" s="340" t="n"/>
      <c r="G331" s="286" t="n">
        <v>21928</v>
      </c>
      <c r="H331" s="285" t="inlineStr">
        <is>
          <t>예측</t>
        </is>
      </c>
    </row>
    <row r="332">
      <c r="A332" s="342" t="n">
        <v>46354</v>
      </c>
      <c r="B332" s="285" t="n">
        <v>11</v>
      </c>
      <c r="C332" s="285" t="inlineStr">
        <is>
          <t>446720</t>
        </is>
      </c>
      <c r="D332" s="285" t="inlineStr">
        <is>
          <t>SOL 미국배당다우존스</t>
        </is>
      </c>
      <c r="E332" s="286" t="n">
        <v>53865</v>
      </c>
      <c r="F332" s="340" t="n"/>
      <c r="G332" s="286" t="n">
        <v>53865</v>
      </c>
      <c r="H332" s="285" t="inlineStr">
        <is>
          <t>예측</t>
        </is>
      </c>
    </row>
    <row r="333">
      <c r="A333" s="342" t="n">
        <v>46354</v>
      </c>
      <c r="B333" s="285" t="n">
        <v>11</v>
      </c>
      <c r="C333" s="285" t="inlineStr">
        <is>
          <t>458760</t>
        </is>
      </c>
      <c r="D333" s="285" t="inlineStr">
        <is>
          <t>TIGER 미배당다우커버드콜2호</t>
        </is>
      </c>
      <c r="E333" s="286" t="n">
        <v>1435506</v>
      </c>
      <c r="F333" s="340" t="n"/>
      <c r="G333" s="286" t="n">
        <v>1435506</v>
      </c>
      <c r="H333" s="285" t="inlineStr">
        <is>
          <t>예측</t>
        </is>
      </c>
    </row>
    <row r="334">
      <c r="A334" s="342" t="n">
        <v>46354</v>
      </c>
      <c r="B334" s="285" t="n">
        <v>11</v>
      </c>
      <c r="C334" s="285" t="inlineStr">
        <is>
          <t>468380</t>
        </is>
      </c>
      <c r="D334" s="285" t="inlineStr">
        <is>
          <t>KODEX iShares미국하이일드액티브</t>
        </is>
      </c>
      <c r="E334" s="286" t="n">
        <v>124000</v>
      </c>
      <c r="F334" s="340" t="n"/>
      <c r="G334" s="286" t="n">
        <v>124000</v>
      </c>
      <c r="H334" s="285" t="inlineStr">
        <is>
          <t>예측</t>
        </is>
      </c>
    </row>
    <row r="335">
      <c r="A335" s="342" t="n">
        <v>46354</v>
      </c>
      <c r="B335" s="285" t="n">
        <v>11</v>
      </c>
      <c r="C335" s="285" t="inlineStr">
        <is>
          <t>473330</t>
        </is>
      </c>
      <c r="D335" s="285" t="inlineStr">
        <is>
          <t>SOL 미국 30년국채커버드콜(합성)</t>
        </is>
      </c>
      <c r="E335" s="286" t="n">
        <v>108000</v>
      </c>
      <c r="F335" s="340" t="n"/>
      <c r="G335" s="286" t="n">
        <v>108000</v>
      </c>
      <c r="H335" s="285" t="inlineStr">
        <is>
          <t>예측</t>
        </is>
      </c>
    </row>
    <row r="336">
      <c r="A336" s="342" t="n">
        <v>46354</v>
      </c>
      <c r="B336" s="285" t="n">
        <v>11</v>
      </c>
      <c r="C336" s="285" t="inlineStr">
        <is>
          <t>475380</t>
        </is>
      </c>
      <c r="D336" s="285" t="inlineStr">
        <is>
          <t>RISE 글로벌리얼티인컴</t>
        </is>
      </c>
      <c r="E336" s="286" t="n">
        <v>3737</v>
      </c>
      <c r="F336" s="340" t="n"/>
      <c r="G336" s="286" t="n">
        <v>3737</v>
      </c>
      <c r="H336" s="285" t="inlineStr">
        <is>
          <t>예측</t>
        </is>
      </c>
    </row>
    <row r="337">
      <c r="A337" s="342" t="n">
        <v>46354</v>
      </c>
      <c r="B337" s="285" t="n">
        <v>11</v>
      </c>
      <c r="C337" s="285" t="inlineStr">
        <is>
          <t>476550</t>
        </is>
      </c>
      <c r="D337" s="285" t="inlineStr">
        <is>
          <t>TIGER 미국30년국채커버드콜액티브(H)</t>
        </is>
      </c>
      <c r="E337" s="286" t="n">
        <v>37066</v>
      </c>
      <c r="F337" s="340" t="n"/>
      <c r="G337" s="286" t="n">
        <v>37066</v>
      </c>
      <c r="H337" s="285" t="inlineStr">
        <is>
          <t>예측</t>
        </is>
      </c>
    </row>
    <row r="338">
      <c r="A338" s="342" t="n">
        <v>46354</v>
      </c>
      <c r="B338" s="285" t="n">
        <v>11</v>
      </c>
      <c r="C338" s="285" t="inlineStr">
        <is>
          <t>476690</t>
        </is>
      </c>
      <c r="D338" s="285" t="inlineStr">
        <is>
          <t>TIGER 글로벌비만치료제 TOP2 Plus</t>
        </is>
      </c>
      <c r="E338" s="286" t="n">
        <v>1200</v>
      </c>
      <c r="F338" s="340" t="n"/>
      <c r="G338" s="286" t="n">
        <v>1200</v>
      </c>
      <c r="H338" s="285" t="inlineStr">
        <is>
          <t>예측</t>
        </is>
      </c>
    </row>
    <row r="339">
      <c r="A339" s="342" t="n">
        <v>46354</v>
      </c>
      <c r="B339" s="285" t="n">
        <v>11</v>
      </c>
      <c r="C339" s="285" t="inlineStr">
        <is>
          <t>482730</t>
        </is>
      </c>
      <c r="D339" s="285" t="inlineStr">
        <is>
          <t>미국S&amp;P500타겟데일리커버드콜</t>
        </is>
      </c>
      <c r="E339" s="286" t="n">
        <v>40800</v>
      </c>
      <c r="F339" s="340" t="n"/>
      <c r="G339" s="286" t="n">
        <v>40800</v>
      </c>
      <c r="H339" s="285" t="inlineStr">
        <is>
          <t>예측</t>
        </is>
      </c>
    </row>
    <row r="340">
      <c r="A340" s="342" t="n">
        <v>46354</v>
      </c>
      <c r="B340" s="285" t="n">
        <v>11</v>
      </c>
      <c r="C340" s="285" t="inlineStr">
        <is>
          <t>483280</t>
        </is>
      </c>
      <c r="D340" s="285" t="inlineStr">
        <is>
          <t>KODEX 미국AI테크TOP10타겟커버드콜</t>
        </is>
      </c>
      <c r="E340" s="286" t="n">
        <v>329448</v>
      </c>
      <c r="F340" s="340" t="n"/>
      <c r="G340" s="286" t="n">
        <v>329448</v>
      </c>
      <c r="H340" s="285" t="inlineStr">
        <is>
          <t>예측</t>
        </is>
      </c>
    </row>
    <row r="341">
      <c r="A341" s="342" t="n">
        <v>46356</v>
      </c>
      <c r="B341" s="285" t="n">
        <v>11</v>
      </c>
      <c r="C341" s="285" t="inlineStr">
        <is>
          <t>0219E0</t>
        </is>
      </c>
      <c r="D341" s="285" t="inlineStr">
        <is>
          <t>KODEX 200커버드콜액티브</t>
        </is>
      </c>
      <c r="E341" s="286" t="n">
        <v>192168</v>
      </c>
      <c r="F341" s="340" t="n"/>
      <c r="G341" s="286" t="n">
        <v>192168</v>
      </c>
      <c r="H341" s="285" t="inlineStr">
        <is>
          <t>예측</t>
        </is>
      </c>
    </row>
    <row r="342">
      <c r="A342" s="342" t="n">
        <v>46358</v>
      </c>
      <c r="B342" s="285" t="n">
        <v>12</v>
      </c>
      <c r="C342" s="285" t="inlineStr">
        <is>
          <t>NKE</t>
        </is>
      </c>
      <c r="D342" s="285" t="inlineStr">
        <is>
          <t>나이키</t>
        </is>
      </c>
      <c r="E342" s="286" t="n"/>
      <c r="F342" s="340" t="n">
        <v>4.05</v>
      </c>
      <c r="G342" s="286" t="n">
        <v>5742.9</v>
      </c>
      <c r="H342" s="285" t="inlineStr">
        <is>
          <t>예측</t>
        </is>
      </c>
    </row>
    <row r="343">
      <c r="A343" s="342" t="n">
        <v>46366</v>
      </c>
      <c r="B343" s="285" t="n">
        <v>12</v>
      </c>
      <c r="C343" s="285" t="inlineStr">
        <is>
          <t>SCHD</t>
        </is>
      </c>
      <c r="D343" s="285" t="inlineStr">
        <is>
          <t>SCHD</t>
        </is>
      </c>
      <c r="E343" s="286" t="n"/>
      <c r="F343" s="340" t="n">
        <v>6.516</v>
      </c>
      <c r="G343" s="286" t="n">
        <v>9239.688</v>
      </c>
      <c r="H343" s="285" t="inlineStr">
        <is>
          <t>예측</t>
        </is>
      </c>
    </row>
    <row r="344">
      <c r="A344" s="342" t="n">
        <v>46368</v>
      </c>
      <c r="B344" s="285" t="n">
        <v>12</v>
      </c>
      <c r="C344" s="285" t="inlineStr">
        <is>
          <t>0008S0</t>
        </is>
      </c>
      <c r="D344" s="285" t="inlineStr">
        <is>
          <t>TIGER 미국배당다우존스타겟데일리커버드콜</t>
        </is>
      </c>
      <c r="E344" s="286" t="n">
        <v>273000</v>
      </c>
      <c r="F344" s="340" t="n"/>
      <c r="G344" s="286" t="n">
        <v>273000</v>
      </c>
      <c r="H344" s="285" t="inlineStr">
        <is>
          <t>예측</t>
        </is>
      </c>
    </row>
    <row r="345">
      <c r="A345" s="342" t="n">
        <v>46368</v>
      </c>
      <c r="B345" s="285" t="n">
        <v>12</v>
      </c>
      <c r="C345" s="285" t="inlineStr">
        <is>
          <t>474220</t>
        </is>
      </c>
      <c r="D345" s="285" t="inlineStr">
        <is>
          <t>TIGER미국테크TOP10커버드콜</t>
        </is>
      </c>
      <c r="E345" s="286" t="n">
        <v>581400</v>
      </c>
      <c r="F345" s="340" t="n"/>
      <c r="G345" s="286" t="n">
        <v>581400</v>
      </c>
      <c r="H345" s="285" t="inlineStr">
        <is>
          <t>예측</t>
        </is>
      </c>
    </row>
    <row r="346">
      <c r="A346" s="342" t="n">
        <v>46368</v>
      </c>
      <c r="B346" s="285" t="n">
        <v>12</v>
      </c>
      <c r="C346" s="285" t="inlineStr">
        <is>
          <t>481060</t>
        </is>
      </c>
      <c r="D346" s="285" t="inlineStr">
        <is>
          <t>KODEX 미국30년국채타겟커버드콜(H)</t>
        </is>
      </c>
      <c r="E346" s="286" t="n">
        <v>278460</v>
      </c>
      <c r="F346" s="340" t="n"/>
      <c r="G346" s="286" t="n">
        <v>278460</v>
      </c>
      <c r="H346" s="285" t="inlineStr">
        <is>
          <t>예측</t>
        </is>
      </c>
    </row>
    <row r="347">
      <c r="A347" s="342" t="n">
        <v>46368</v>
      </c>
      <c r="B347" s="285" t="n">
        <v>12</v>
      </c>
      <c r="C347" s="285" t="inlineStr">
        <is>
          <t>490490</t>
        </is>
      </c>
      <c r="D347" s="285" t="inlineStr">
        <is>
          <t>SOL미국배당미국채혼합50</t>
        </is>
      </c>
      <c r="E347" s="286" t="n">
        <v>114630</v>
      </c>
      <c r="F347" s="340" t="n"/>
      <c r="G347" s="286" t="n">
        <v>114630</v>
      </c>
      <c r="H347" s="285" t="inlineStr">
        <is>
          <t>예측</t>
        </is>
      </c>
    </row>
    <row r="348">
      <c r="A348" s="342" t="n">
        <v>46368</v>
      </c>
      <c r="B348" s="285" t="n">
        <v>12</v>
      </c>
      <c r="C348" s="285" t="inlineStr">
        <is>
          <t>498400</t>
        </is>
      </c>
      <c r="D348" s="285" t="inlineStr">
        <is>
          <t>KODEX 200타켓위클리커버드콜</t>
        </is>
      </c>
      <c r="E348" s="286" t="n">
        <v>119756</v>
      </c>
      <c r="F348" s="340" t="n"/>
      <c r="G348" s="286" t="n">
        <v>119756</v>
      </c>
      <c r="H348" s="285" t="inlineStr">
        <is>
          <t>예측</t>
        </is>
      </c>
    </row>
    <row r="349">
      <c r="A349" s="342" t="n">
        <v>46368</v>
      </c>
      <c r="B349" s="285" t="n">
        <v>12</v>
      </c>
      <c r="C349" s="285" t="inlineStr">
        <is>
          <t>TSM</t>
        </is>
      </c>
      <c r="D349" s="285" t="inlineStr">
        <is>
          <t>TSMC</t>
        </is>
      </c>
      <c r="E349" s="286" t="n"/>
      <c r="F349" s="340" t="n">
        <v>0.7255</v>
      </c>
      <c r="G349" s="286" t="n">
        <v>1028.759</v>
      </c>
      <c r="H349" s="285" t="inlineStr">
        <is>
          <t>예측</t>
        </is>
      </c>
    </row>
    <row r="350">
      <c r="A350" s="342" t="n">
        <v>46372</v>
      </c>
      <c r="B350" s="285" t="n">
        <v>12</v>
      </c>
      <c r="C350" s="285" t="inlineStr">
        <is>
          <t>O</t>
        </is>
      </c>
      <c r="D350" s="285" t="inlineStr">
        <is>
          <t>리얼티인컴</t>
        </is>
      </c>
      <c r="E350" s="286" t="n"/>
      <c r="F350" s="340" t="n">
        <v>14.151</v>
      </c>
      <c r="G350" s="286" t="n">
        <v>20066.118</v>
      </c>
      <c r="H350" s="285" t="inlineStr">
        <is>
          <t>예측</t>
        </is>
      </c>
    </row>
    <row r="351">
      <c r="A351" s="342" t="n">
        <v>46380</v>
      </c>
      <c r="B351" s="285" t="n">
        <v>12</v>
      </c>
      <c r="C351" s="285" t="inlineStr">
        <is>
          <t>QLD</t>
        </is>
      </c>
      <c r="D351" s="285" t="inlineStr">
        <is>
          <t>QLD</t>
        </is>
      </c>
      <c r="E351" s="286" t="n"/>
      <c r="F351" s="340" t="n">
        <v>1.1502</v>
      </c>
      <c r="G351" s="286" t="n">
        <v>1630.9836</v>
      </c>
      <c r="H351" s="285" t="inlineStr">
        <is>
          <t>예측</t>
        </is>
      </c>
    </row>
    <row r="352">
      <c r="A352" s="342" t="n">
        <v>46383</v>
      </c>
      <c r="B352" s="285" t="n">
        <v>12</v>
      </c>
      <c r="C352" s="285" t="inlineStr">
        <is>
          <t>472170</t>
        </is>
      </c>
      <c r="D352" s="285" t="inlineStr">
        <is>
          <t>TIGER 미국테크TOP10채권혼합</t>
        </is>
      </c>
      <c r="E352" s="286" t="n">
        <v>473040</v>
      </c>
      <c r="F352" s="340" t="n"/>
      <c r="G352" s="286" t="n">
        <v>473040</v>
      </c>
      <c r="H352" s="285" t="inlineStr">
        <is>
          <t>예측</t>
        </is>
      </c>
    </row>
    <row r="353">
      <c r="A353" s="342" t="n">
        <v>46384</v>
      </c>
      <c r="B353" s="285" t="n">
        <v>12</v>
      </c>
      <c r="C353" s="285" t="inlineStr">
        <is>
          <t>005930</t>
        </is>
      </c>
      <c r="D353" s="285" t="inlineStr">
        <is>
          <t>삼성전자</t>
        </is>
      </c>
      <c r="E353" s="286" t="n">
        <v>45986</v>
      </c>
      <c r="F353" s="340" t="n"/>
      <c r="G353" s="286" t="n">
        <v>45986</v>
      </c>
      <c r="H353" s="285" t="inlineStr">
        <is>
          <t>예측</t>
        </is>
      </c>
    </row>
    <row r="354">
      <c r="A354" s="342" t="n">
        <v>46384</v>
      </c>
      <c r="B354" s="285" t="n">
        <v>12</v>
      </c>
      <c r="C354" s="285" t="inlineStr">
        <is>
          <t>329200</t>
        </is>
      </c>
      <c r="D354" s="285" t="inlineStr">
        <is>
          <t>TIGER리츠부동산인프라</t>
        </is>
      </c>
      <c r="E354" s="286" t="n">
        <v>120000</v>
      </c>
      <c r="F354" s="340" t="n"/>
      <c r="G354" s="286" t="n">
        <v>120000</v>
      </c>
      <c r="H354" s="285" t="inlineStr">
        <is>
          <t>예측</t>
        </is>
      </c>
    </row>
    <row r="355">
      <c r="A355" s="342" t="n">
        <v>46384</v>
      </c>
      <c r="B355" s="285" t="n">
        <v>12</v>
      </c>
      <c r="C355" s="285" t="inlineStr">
        <is>
          <t>433330</t>
        </is>
      </c>
      <c r="D355" s="285" t="inlineStr">
        <is>
          <t>SOL 미국 S&amp;P500</t>
        </is>
      </c>
      <c r="E355" s="286" t="n">
        <v>22554</v>
      </c>
      <c r="F355" s="340" t="n"/>
      <c r="G355" s="286" t="n">
        <v>22554</v>
      </c>
      <c r="H355" s="285" t="inlineStr">
        <is>
          <t>예측</t>
        </is>
      </c>
    </row>
    <row r="356">
      <c r="A356" s="342" t="n">
        <v>46384</v>
      </c>
      <c r="B356" s="285" t="n">
        <v>12</v>
      </c>
      <c r="C356" s="285" t="inlineStr">
        <is>
          <t>446720</t>
        </is>
      </c>
      <c r="D356" s="285" t="inlineStr">
        <is>
          <t>SOL 미국배당다우존스</t>
        </is>
      </c>
      <c r="E356" s="286" t="n">
        <v>47880</v>
      </c>
      <c r="F356" s="340" t="n"/>
      <c r="G356" s="286" t="n">
        <v>47880</v>
      </c>
      <c r="H356" s="285" t="inlineStr">
        <is>
          <t>예측</t>
        </is>
      </c>
    </row>
    <row r="357">
      <c r="A357" s="342" t="n">
        <v>46384</v>
      </c>
      <c r="B357" s="285" t="n">
        <v>12</v>
      </c>
      <c r="C357" s="285" t="inlineStr">
        <is>
          <t>458760</t>
        </is>
      </c>
      <c r="D357" s="285" t="inlineStr">
        <is>
          <t>TIGER 미배당다우커버드콜2호</t>
        </is>
      </c>
      <c r="E357" s="286" t="n">
        <v>1412476</v>
      </c>
      <c r="F357" s="340" t="n"/>
      <c r="G357" s="286" t="n">
        <v>1412476</v>
      </c>
      <c r="H357" s="285" t="inlineStr">
        <is>
          <t>예측</t>
        </is>
      </c>
    </row>
    <row r="358">
      <c r="A358" s="342" t="n">
        <v>46384</v>
      </c>
      <c r="B358" s="285" t="n">
        <v>12</v>
      </c>
      <c r="C358" s="285" t="inlineStr">
        <is>
          <t>468380</t>
        </is>
      </c>
      <c r="D358" s="285" t="inlineStr">
        <is>
          <t>KODEX iShares미국하이일드액티브</t>
        </is>
      </c>
      <c r="E358" s="286" t="n">
        <v>133000</v>
      </c>
      <c r="F358" s="340" t="n"/>
      <c r="G358" s="286" t="n">
        <v>133000</v>
      </c>
      <c r="H358" s="285" t="inlineStr">
        <is>
          <t>예측</t>
        </is>
      </c>
    </row>
    <row r="359">
      <c r="A359" s="342" t="n">
        <v>46384</v>
      </c>
      <c r="B359" s="285" t="n">
        <v>12</v>
      </c>
      <c r="C359" s="285" t="inlineStr">
        <is>
          <t>473330</t>
        </is>
      </c>
      <c r="D359" s="285" t="inlineStr">
        <is>
          <t>SOL 미국 30년국채커버드콜(합성)</t>
        </is>
      </c>
      <c r="E359" s="286" t="n">
        <v>129600</v>
      </c>
      <c r="F359" s="340" t="n"/>
      <c r="G359" s="286" t="n">
        <v>129600</v>
      </c>
      <c r="H359" s="285" t="inlineStr">
        <is>
          <t>예측</t>
        </is>
      </c>
    </row>
    <row r="360">
      <c r="A360" s="342" t="n">
        <v>46384</v>
      </c>
      <c r="B360" s="285" t="n">
        <v>12</v>
      </c>
      <c r="C360" s="285" t="inlineStr">
        <is>
          <t>475380</t>
        </is>
      </c>
      <c r="D360" s="285" t="inlineStr">
        <is>
          <t>RISE 글로벌리얼티인컴</t>
        </is>
      </c>
      <c r="E360" s="286" t="n">
        <v>3737</v>
      </c>
      <c r="F360" s="340" t="n"/>
      <c r="G360" s="286" t="n">
        <v>3737</v>
      </c>
      <c r="H360" s="285" t="inlineStr">
        <is>
          <t>예측</t>
        </is>
      </c>
    </row>
    <row r="361">
      <c r="A361" s="342" t="n">
        <v>46384</v>
      </c>
      <c r="B361" s="285" t="n">
        <v>12</v>
      </c>
      <c r="C361" s="285" t="inlineStr">
        <is>
          <t>476550</t>
        </is>
      </c>
      <c r="D361" s="285" t="inlineStr">
        <is>
          <t>TIGER 미국30년국채커버드콜액티브(H)</t>
        </is>
      </c>
      <c r="E361" s="286" t="n">
        <v>34911</v>
      </c>
      <c r="F361" s="340" t="n"/>
      <c r="G361" s="286" t="n">
        <v>34911</v>
      </c>
      <c r="H361" s="285" t="inlineStr">
        <is>
          <t>예측</t>
        </is>
      </c>
    </row>
    <row r="362">
      <c r="A362" s="342" t="n">
        <v>46384</v>
      </c>
      <c r="B362" s="285" t="n">
        <v>12</v>
      </c>
      <c r="C362" s="285" t="inlineStr">
        <is>
          <t>476690</t>
        </is>
      </c>
      <c r="D362" s="285" t="inlineStr">
        <is>
          <t>TIGER 글로벌비만치료제 TOP2 Plus</t>
        </is>
      </c>
      <c r="E362" s="286" t="n">
        <v>1350</v>
      </c>
      <c r="F362" s="340" t="n"/>
      <c r="G362" s="286" t="n">
        <v>1350</v>
      </c>
      <c r="H362" s="285" t="inlineStr">
        <is>
          <t>예측</t>
        </is>
      </c>
    </row>
    <row r="363">
      <c r="A363" s="342" t="n">
        <v>46384</v>
      </c>
      <c r="B363" s="285" t="n">
        <v>12</v>
      </c>
      <c r="C363" s="285" t="inlineStr">
        <is>
          <t>482730</t>
        </is>
      </c>
      <c r="D363" s="285" t="inlineStr">
        <is>
          <t>미국S&amp;P500타겟데일리커버드콜</t>
        </is>
      </c>
      <c r="E363" s="286" t="n">
        <v>41650</v>
      </c>
      <c r="F363" s="340" t="n"/>
      <c r="G363" s="286" t="n">
        <v>41650</v>
      </c>
      <c r="H363" s="285" t="inlineStr">
        <is>
          <t>예측</t>
        </is>
      </c>
    </row>
    <row r="364">
      <c r="A364" s="342" t="n">
        <v>46384</v>
      </c>
      <c r="B364" s="285" t="n">
        <v>12</v>
      </c>
      <c r="C364" s="285" t="inlineStr">
        <is>
          <t>483280</t>
        </is>
      </c>
      <c r="D364" s="285" t="inlineStr">
        <is>
          <t>KODEX 미국AI테크TOP10타겟커버드콜</t>
        </is>
      </c>
      <c r="E364" s="286" t="n">
        <v>342804</v>
      </c>
      <c r="F364" s="340" t="n"/>
      <c r="G364" s="286" t="n">
        <v>342804</v>
      </c>
      <c r="H364" s="285" t="inlineStr">
        <is>
          <t>예측</t>
        </is>
      </c>
    </row>
    <row r="365">
      <c r="A365" s="342" t="n">
        <v>46384</v>
      </c>
      <c r="B365" s="285" t="n">
        <v>12</v>
      </c>
      <c r="C365" s="285" t="inlineStr">
        <is>
          <t>AMT</t>
        </is>
      </c>
      <c r="D365" s="285" t="inlineStr">
        <is>
          <t>아메리칸타워</t>
        </is>
      </c>
      <c r="E365" s="286" t="n"/>
      <c r="F365" s="340" t="n">
        <v>8.300000000000001</v>
      </c>
      <c r="G365" s="286" t="n">
        <v>11769.4</v>
      </c>
      <c r="H365" s="285" t="inlineStr">
        <is>
          <t>예측</t>
        </is>
      </c>
    </row>
    <row r="366">
      <c r="A366" s="342" t="n">
        <v>46385</v>
      </c>
      <c r="B366" s="285" t="n">
        <v>12</v>
      </c>
      <c r="C366" s="285" t="inlineStr">
        <is>
          <t>381170</t>
        </is>
      </c>
      <c r="D366" s="285" t="inlineStr">
        <is>
          <t>TIGER 미국테크TOP10 INDXX</t>
        </is>
      </c>
      <c r="E366" s="286" t="n">
        <v>24871</v>
      </c>
      <c r="F366" s="340" t="n"/>
      <c r="G366" s="286" t="n">
        <v>24871</v>
      </c>
      <c r="H366" s="285" t="inlineStr">
        <is>
          <t>예측</t>
        </is>
      </c>
    </row>
    <row r="367">
      <c r="A367" s="342" t="n">
        <v>46385</v>
      </c>
      <c r="B367" s="285" t="n">
        <v>12</v>
      </c>
      <c r="C367" s="285" t="inlineStr">
        <is>
          <t>438100</t>
        </is>
      </c>
      <c r="D367" s="285" t="inlineStr">
        <is>
          <t>ACE미국나스닥100미국채혼합50액티브</t>
        </is>
      </c>
      <c r="E367" s="286" t="n">
        <v>228672</v>
      </c>
      <c r="F367" s="340" t="n"/>
      <c r="G367" s="286" t="n">
        <v>228672</v>
      </c>
      <c r="H367" s="285" t="inlineStr">
        <is>
          <t>예측</t>
        </is>
      </c>
    </row>
    <row r="368">
      <c r="A368" s="342" t="n">
        <v>46385</v>
      </c>
      <c r="B368" s="285" t="n">
        <v>12</v>
      </c>
      <c r="C368" s="285" t="inlineStr">
        <is>
          <t>457480</t>
        </is>
      </c>
      <c r="D368" s="285" t="inlineStr">
        <is>
          <t>ACE테슬라밸류체인액티브</t>
        </is>
      </c>
      <c r="E368" s="286" t="n">
        <v>173375</v>
      </c>
      <c r="F368" s="340" t="n"/>
      <c r="G368" s="286" t="n">
        <v>173375</v>
      </c>
      <c r="H368" s="285" t="inlineStr">
        <is>
          <t>예측</t>
        </is>
      </c>
    </row>
    <row r="369">
      <c r="A369" s="342" t="n">
        <v>46385</v>
      </c>
      <c r="B369" s="285" t="n">
        <v>12</v>
      </c>
      <c r="C369" s="285" t="inlineStr">
        <is>
          <t>498410</t>
        </is>
      </c>
      <c r="D369" s="285" t="inlineStr">
        <is>
          <t>KODEX금융고배당TOP10타겟위클리커버드콜</t>
        </is>
      </c>
      <c r="E369" s="286" t="n">
        <v>361304</v>
      </c>
      <c r="F369" s="340" t="n"/>
      <c r="G369" s="286" t="n">
        <v>361304</v>
      </c>
      <c r="H369" s="285" t="inlineStr">
        <is>
          <t>예측</t>
        </is>
      </c>
    </row>
    <row r="370">
      <c r="A370" s="342" t="n">
        <v>46387</v>
      </c>
      <c r="B370" s="285" t="n">
        <v>12</v>
      </c>
      <c r="C370" s="285" t="inlineStr">
        <is>
          <t>0219E0</t>
        </is>
      </c>
      <c r="D370" s="285" t="inlineStr">
        <is>
          <t>KODEX 200커버드콜액티브</t>
        </is>
      </c>
      <c r="E370" s="286" t="n">
        <v>192168</v>
      </c>
      <c r="F370" s="340" t="n"/>
      <c r="G370" s="286" t="n">
        <v>192168</v>
      </c>
      <c r="H370" s="285" t="inlineStr">
        <is>
          <t>예측</t>
        </is>
      </c>
    </row>
  </sheetData>
  <autoFilter ref="A43:H370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2026-08-06T06:04:46Z</dcterms:modified>
  <cp:lastModifiedBy>조효진 (상담심리)</cp:lastModifiedBy>
</cp:coreProperties>
</file>