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name="계좌현황" sheetId="1" state="visible" r:id="rId1"/>
    <sheet name="금액순" sheetId="2" state="visible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4285F4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EA4335"/>
              </a:solidFill>
              <a:ln>
                <a:prstDash val="solid"/>
              </a:ln>
            </spPr>
          </dPt>
          <dPt>
            <idx val="2"/>
            <bubble3D val="0"/>
            <spPr>
              <a:solidFill>
                <a:srgbClr val="FBBC04"/>
              </a:solidFill>
              <a:ln>
                <a:prstDash val="solid"/>
              </a:ln>
            </spPr>
          </dPt>
          <dPt>
            <idx val="3"/>
            <bubble3D val="0"/>
            <spPr>
              <a:solidFill>
                <a:srgbClr val="34A853"/>
              </a:solidFill>
              <a:ln>
                <a:prstDash val="solid"/>
              </a:ln>
            </spPr>
          </dPt>
          <dPt>
            <idx val="4"/>
            <bubble3D val="0"/>
            <spPr>
              <a:solidFill>
                <a:srgbClr val="FF6D01"/>
              </a:solidFill>
              <a:ln>
                <a:prstDash val="solid"/>
              </a:ln>
            </spPr>
          </dPt>
          <dPt>
            <idx val="5"/>
            <bubble3D val="0"/>
            <spPr>
              <a:solidFill>
                <a:srgbClr val="46BDC6"/>
              </a:solidFill>
              <a:ln>
                <a:prstDash val="solid"/>
              </a:ln>
            </spPr>
          </dPt>
          <dPt>
            <idx val="6"/>
            <bubble3D val="0"/>
            <spPr>
              <a:solidFill>
                <a:srgbClr val="7BAAF7"/>
              </a:solidFill>
              <a:ln>
                <a:prstDash val="solid"/>
              </a:ln>
            </spPr>
          </dPt>
          <dPt>
            <idx val="7"/>
            <bubble3D val="0"/>
            <spPr>
              <a:solidFill>
                <a:srgbClr val="F07B72"/>
              </a:solidFill>
              <a:ln>
                <a:prstDash val="solid"/>
              </a:ln>
            </spPr>
          </dPt>
          <dPt>
            <idx val="8"/>
            <bubble3D val="0"/>
            <spPr>
              <a:solidFill>
                <a:srgbClr val="FCD04F"/>
              </a:solidFill>
              <a:ln>
                <a:prstDash val="solid"/>
              </a:ln>
            </spPr>
          </dPt>
          <dPt>
            <idx val="9"/>
            <bubble3D val="0"/>
            <spPr>
              <a:solidFill>
                <a:srgbClr val="71C287"/>
              </a:solidFill>
              <a:ln>
                <a:prstDash val="solid"/>
              </a:ln>
            </spPr>
          </dPt>
          <dPt>
            <idx val="10"/>
            <bubble3D val="0"/>
            <spPr>
              <a:solidFill>
                <a:srgbClr val="FF994D"/>
              </a:solidFill>
              <a:ln>
                <a:prstDash val="solid"/>
              </a:ln>
            </spPr>
          </dPt>
          <dPt>
            <idx val="11"/>
            <bubble3D val="0"/>
            <spPr>
              <a:solidFill>
                <a:srgbClr val="7ED1D7"/>
              </a:solidFill>
              <a:ln>
                <a:prstDash val="solid"/>
              </a:ln>
            </spPr>
          </dPt>
          <dPt>
            <idx val="12"/>
            <bubble3D val="0"/>
            <spPr>
              <a:solidFill>
                <a:srgbClr val="B3CEFB"/>
              </a:solidFill>
              <a:ln>
                <a:prstDash val="solid"/>
              </a:ln>
            </spPr>
          </dPt>
          <dPt>
            <idx val="13"/>
            <bubble3D val="0"/>
            <spPr>
              <a:solidFill>
                <a:srgbClr val="F7B4AE"/>
              </a:solidFill>
              <a:ln>
                <a:prstDash val="solid"/>
              </a:ln>
            </spPr>
          </dPt>
          <dPt>
            <idx val="14"/>
            <bubble3D val="0"/>
            <spPr>
              <a:solidFill>
                <a:srgbClr val="FDE49B"/>
              </a:solidFill>
              <a:ln>
                <a:prstDash val="solid"/>
              </a:ln>
            </spPr>
          </dPt>
          <dPt>
            <idx val="15"/>
            <bubble3D val="0"/>
            <spPr>
              <a:solidFill>
                <a:srgbClr val="AEDCBA"/>
              </a:solidFill>
              <a:ln>
                <a:prstDash val="solid"/>
              </a:ln>
            </spPr>
          </dPt>
          <dPt>
            <idx val="16"/>
            <bubble3D val="0"/>
            <spPr>
              <a:solidFill>
                <a:srgbClr val="FFC599"/>
              </a:solidFill>
              <a:ln>
                <a:prstDash val="solid"/>
              </a:ln>
            </spPr>
          </dPt>
          <dPt>
            <idx val="17"/>
            <bubble3D val="0"/>
            <spPr>
              <a:solidFill>
                <a:srgbClr val="B5E5E8"/>
              </a:solidFill>
              <a:ln>
                <a:prstDash val="solid"/>
              </a:ln>
            </spPr>
          </dPt>
          <dPt>
            <idx val="18"/>
            <bubble3D val="0"/>
            <spPr>
              <a:solidFill>
                <a:srgbClr val="ECF3FE"/>
              </a:solidFill>
              <a:ln>
                <a:prstDash val="solid"/>
              </a:ln>
            </spPr>
          </dPt>
          <dPt>
            <idx val="19"/>
            <bubble3D val="0"/>
            <spPr>
              <a:solidFill>
                <a:srgbClr val="FDECEB"/>
              </a:solidFill>
              <a:ln>
                <a:prstDash val="solid"/>
              </a:ln>
            </spPr>
          </dPt>
          <dPt>
            <idx val="20"/>
            <bubble3D val="0"/>
            <spPr>
              <a:solidFill>
                <a:srgbClr val="FFF8E6"/>
              </a:solidFill>
              <a:ln>
                <a:prstDash val="solid"/>
              </a:ln>
            </spPr>
          </dPt>
          <dPt>
            <idx val="21"/>
            <bubble3D val="0"/>
            <spPr>
              <a:solidFill>
                <a:srgbClr val="EBF6EE"/>
              </a:solidFill>
              <a:ln>
                <a:prstDash val="solid"/>
              </a:ln>
            </spPr>
          </dPt>
          <dPt>
            <idx val="22"/>
            <bubble3D val="0"/>
            <spPr>
              <a:solidFill>
                <a:srgbClr val="FFF0E6"/>
              </a:solidFill>
              <a:ln>
                <a:prstDash val="solid"/>
              </a:ln>
            </spPr>
          </dPt>
          <dPt>
            <idx val="23"/>
            <bubble3D val="0"/>
            <spPr>
              <a:solidFill>
                <a:srgbClr val="EDF8F9"/>
              </a:solidFill>
              <a:ln>
                <a:prstDash val="solid"/>
              </a:ln>
            </spPr>
          </dPt>
          <dPt>
            <idx val="24"/>
            <bubble3D val="0"/>
            <spPr>
              <a:solidFill>
                <a:srgbClr val="251701"/>
              </a:solidFill>
              <a:ln>
                <a:prstDash val="solid"/>
              </a:ln>
            </spPr>
          </dPt>
          <dPt>
            <idx val="25"/>
            <bubble3D val="0"/>
            <spPr>
              <a:solidFill>
                <a:srgbClr val="032527"/>
              </a:solidFill>
              <a:ln>
                <a:prstDash val="solid"/>
              </a:ln>
            </spPr>
          </dPt>
          <dPt>
            <idx val="26"/>
            <bubble3D val="0"/>
            <spPr>
              <a:solidFill>
                <a:srgbClr val="000C31"/>
              </a:solidFill>
              <a:ln>
                <a:prstDash val="solid"/>
              </a:ln>
            </spPr>
          </dPt>
          <dPt>
            <idx val="27"/>
            <bubble3D val="0"/>
            <spPr>
              <a:solidFill>
                <a:srgbClr val="281021"/>
              </a:solidFill>
              <a:ln>
                <a:prstDash val="solid"/>
              </a:ln>
            </spPr>
          </dPt>
          <dPt>
            <idx val="28"/>
            <bubble3D val="0"/>
            <spPr>
              <a:solidFill>
                <a:srgbClr val="FF1C32"/>
              </a:solidFill>
              <a:ln>
                <a:prstDash val="solid"/>
              </a:ln>
            </spPr>
          </dPt>
          <dPt>
            <idx val="29"/>
            <bubble3D val="0"/>
            <spPr>
              <a:solidFill>
                <a:srgbClr val="240C0A"/>
              </a:solidFill>
              <a:ln>
                <a:prstDash val="solid"/>
              </a:ln>
            </spPr>
          </dPt>
          <dPt>
            <idx val="30"/>
            <bubble3D val="0"/>
            <spPr>
              <a:solidFill>
                <a:srgbClr val="5E3C05"/>
              </a:solidFill>
              <a:ln>
                <a:prstDash val="solid"/>
              </a:ln>
            </spPr>
          </dPt>
          <dPt>
            <idx val="31"/>
            <bubble3D val="0"/>
            <spPr>
              <a:solidFill>
                <a:srgbClr val="0A5D64"/>
              </a:solidFill>
              <a:ln>
                <a:prstDash val="solid"/>
              </a:ln>
            </spPr>
          </dPt>
          <dPt>
            <idx val="32"/>
            <bubble3D val="0"/>
            <spPr>
              <a:solidFill>
                <a:srgbClr val="01217D"/>
              </a:solidFill>
              <a:ln>
                <a:prstDash val="solid"/>
              </a:ln>
            </spPr>
          </dPt>
          <dPt>
            <idx val="33"/>
            <bubble3D val="0"/>
            <spPr>
              <a:solidFill>
                <a:srgbClr val="652B55"/>
              </a:solidFill>
              <a:ln>
                <a:prstDash val="solid"/>
              </a:ln>
            </spPr>
          </dPt>
          <dPt>
            <idx val="34"/>
            <bubble3D val="0"/>
            <spPr>
              <a:solidFill>
                <a:srgbClr val="FF487E"/>
              </a:solidFill>
              <a:ln>
                <a:prstDash val="solid"/>
              </a:ln>
            </spPr>
          </dPt>
          <dPt>
            <idx val="35"/>
            <bubble3D val="0"/>
            <spPr>
              <a:solidFill>
                <a:srgbClr val="5C201C"/>
              </a:solidFill>
              <a:ln>
                <a:prstDash val="solid"/>
              </a:ln>
            </spPr>
          </dPt>
          <dPt>
            <idx val="36"/>
            <bubble3D val="0"/>
            <spPr>
              <a:solidFill>
                <a:srgbClr val="966108"/>
              </a:solidFill>
              <a:ln>
                <a:prstDash val="solid"/>
              </a:ln>
            </spPr>
          </dPt>
          <dPt>
            <idx val="37"/>
            <bubble3D val="0"/>
            <spPr>
              <a:solidFill>
                <a:srgbClr val="1095A1"/>
              </a:solidFill>
              <a:ln>
                <a:prstDash val="solid"/>
              </a:ln>
            </spPr>
          </dPt>
          <dPt>
            <idx val="38"/>
            <bubble3D val="0"/>
            <spPr>
              <a:solidFill>
                <a:srgbClr val="0235C8"/>
              </a:solidFill>
              <a:ln>
                <a:prstDash val="solid"/>
              </a:ln>
            </spPr>
          </dPt>
          <dPt>
            <idx val="39"/>
            <bubble3D val="0"/>
            <spPr>
              <a:solidFill>
                <a:srgbClr val="A14589"/>
              </a:solidFill>
              <a:ln>
                <a:prstDash val="solid"/>
              </a:ln>
            </spPr>
          </dPt>
          <dPt>
            <idx val="40"/>
            <bubble3D val="0"/>
            <spPr>
              <a:solidFill>
                <a:srgbClr val="FF74CA"/>
              </a:solidFill>
              <a:ln>
                <a:prstDash val="solid"/>
              </a:ln>
            </spPr>
          </dPt>
          <dPt>
            <idx val="41"/>
            <bubble3D val="0"/>
            <spPr>
              <a:solidFill>
                <a:srgbClr val="93342D"/>
              </a:solidFill>
              <a:ln>
                <a:prstDash val="solid"/>
              </a:ln>
            </spPr>
          </dPt>
          <dPt>
            <idx val="42"/>
            <bubble3D val="0"/>
            <spPr>
              <a:solidFill>
                <a:srgbClr val="CF850B"/>
              </a:solidFill>
              <a:ln>
                <a:prstDash val="solid"/>
              </a:ln>
            </spPr>
          </dPt>
          <dPt>
            <idx val="43"/>
            <bubble3D val="0"/>
            <spPr>
              <a:solidFill>
                <a:srgbClr val="16CEDD"/>
              </a:solidFill>
              <a:ln>
                <a:prstDash val="solid"/>
              </a:ln>
            </spPr>
          </dPt>
          <dPt>
            <idx val="44"/>
            <bubble3D val="0"/>
            <spPr>
              <a:solidFill>
                <a:srgbClr val="034913"/>
              </a:solidFill>
              <a:ln>
                <a:prstDash val="solid"/>
              </a:ln>
            </spPr>
          </dPt>
          <dPt>
            <idx val="45"/>
            <bubble3D val="0"/>
            <spPr>
              <a:solidFill>
                <a:srgbClr val="DE5FBC"/>
              </a:solidFill>
              <a:ln>
                <a:prstDash val="solid"/>
              </a:ln>
            </spPr>
          </dPt>
          <dPt>
            <idx val="46"/>
            <bubble3D val="0"/>
            <spPr>
              <a:solidFill>
                <a:srgbClr val="FFA016"/>
              </a:solidFill>
              <a:ln>
                <a:prstDash val="solid"/>
              </a:ln>
            </spPr>
          </dPt>
          <dPt>
            <idx val="47"/>
            <bubble3D val="0"/>
            <spPr>
              <a:solidFill>
                <a:srgbClr val="CA483E"/>
              </a:solidFill>
              <a:ln>
                <a:prstDash val="solid"/>
              </a:ln>
            </spPr>
          </dPt>
          <dPt>
            <idx val="48"/>
            <bubble3D val="0"/>
            <spPr>
              <a:solidFill>
                <a:srgbClr val="08AA0E"/>
              </a:solidFill>
              <a:ln>
                <a:prstDash val="solid"/>
              </a:ln>
            </spPr>
          </dPt>
          <dPt>
            <idx val="49"/>
            <bubble3D val="0"/>
            <spPr>
              <a:solidFill>
                <a:srgbClr val="1C061A"/>
              </a:solidFill>
              <a:ln>
                <a:prstDash val="solid"/>
              </a:ln>
            </spPr>
          </dPt>
          <dPt>
            <idx val="50"/>
            <bubble3D val="0"/>
            <spPr>
              <a:solidFill>
                <a:srgbClr val="055D5E"/>
              </a:solidFill>
              <a:ln>
                <a:prstDash val="solid"/>
              </a:ln>
            </spPr>
          </dPt>
          <dPt>
            <idx val="51"/>
            <bubble3D val="0"/>
            <spPr>
              <a:solidFill>
                <a:srgbClr val="1B79F0"/>
              </a:solidFill>
              <a:ln>
                <a:prstDash val="solid"/>
              </a:ln>
            </spPr>
          </dPt>
          <dPt>
            <idx val="52"/>
            <bubble3D val="0"/>
            <spPr>
              <a:solidFill>
                <a:srgbClr val="FFCB63"/>
              </a:solidFill>
              <a:ln>
                <a:prstDash val="solid"/>
              </a:ln>
            </spPr>
          </dPt>
          <dPt>
            <idx val="53"/>
            <bubble3D val="0"/>
            <spPr>
              <a:solidFill>
                <a:srgbClr val="025B4F"/>
              </a:solidFill>
              <a:ln>
                <a:prstDash val="solid"/>
              </a:ln>
            </spPr>
          </dPt>
          <dPt>
            <idx val="54"/>
            <bubble3D val="0"/>
            <spPr>
              <a:solidFill>
                <a:srgbClr val="40CE12"/>
              </a:solidFill>
              <a:ln>
                <a:prstDash val="solid"/>
              </a:ln>
            </spPr>
          </dPt>
          <dPt>
            <idx val="55"/>
            <bubble3D val="0"/>
            <spPr>
              <a:solidFill>
                <a:srgbClr val="233F56"/>
              </a:solidFill>
              <a:ln>
                <a:prstDash val="solid"/>
              </a:ln>
            </spPr>
          </dPt>
          <dPt>
            <idx val="56"/>
            <bubble3D val="0"/>
            <spPr>
              <a:solidFill>
                <a:srgbClr val="0671AA"/>
              </a:solidFill>
              <a:ln>
                <a:prstDash val="solid"/>
              </a:ln>
            </spPr>
          </dPt>
          <dPt>
            <idx val="57"/>
            <bubble3D val="0"/>
            <spPr>
              <a:solidFill>
                <a:srgbClr val="589323"/>
              </a:solidFill>
              <a:ln>
                <a:prstDash val="solid"/>
              </a:ln>
            </spPr>
          </dPt>
          <dPt>
            <idx val="58"/>
            <bubble3D val="0"/>
            <spPr>
              <a:solidFill>
                <a:srgbClr val="FFF7AF"/>
              </a:solidFill>
              <a:ln>
                <a:prstDash val="solid"/>
              </a:ln>
            </spPr>
          </dPt>
          <dPt>
            <idx val="59"/>
            <bubble3D val="0"/>
            <spPr>
              <a:solidFill>
                <a:srgbClr val="3A6F60"/>
              </a:solidFill>
              <a:ln>
                <a:prstDash val="solid"/>
              </a:ln>
            </spPr>
          </dPt>
          <dPt>
            <idx val="60"/>
            <bubble3D val="0"/>
            <spPr>
              <a:solidFill>
                <a:srgbClr val="79F315"/>
              </a:solidFill>
              <a:ln>
                <a:prstDash val="solid"/>
              </a:ln>
            </spPr>
          </dPt>
          <dPt>
            <idx val="61"/>
            <bubble3D val="0"/>
            <spPr>
              <a:solidFill>
                <a:srgbClr val="297793"/>
              </a:solidFill>
              <a:ln>
                <a:prstDash val="solid"/>
              </a:ln>
            </spPr>
          </dPt>
          <dPt>
            <idx val="62"/>
            <bubble3D val="0"/>
            <spPr>
              <a:solidFill>
                <a:srgbClr val="0785F5"/>
              </a:solidFill>
              <a:ln>
                <a:prstDash val="solid"/>
              </a:ln>
            </spPr>
          </dPt>
          <dPt>
            <idx val="63"/>
            <bubble3D val="0"/>
            <spPr>
              <a:solidFill>
                <a:srgbClr val="95AD57"/>
              </a:solidFill>
              <a:ln>
                <a:prstDash val="solid"/>
              </a:ln>
            </spPr>
          </dPt>
          <dPt>
            <idx val="64"/>
            <bubble3D val="0"/>
            <spPr>
              <a:solidFill>
                <a:srgbClr val="FF23FB"/>
              </a:solidFill>
              <a:ln>
                <a:prstDash val="solid"/>
              </a:ln>
            </spPr>
          </dPt>
          <dPt>
            <idx val="65"/>
            <bubble3D val="0"/>
            <spPr>
              <a:solidFill>
                <a:srgbClr val="718371"/>
              </a:solidFill>
              <a:ln>
                <a:prstDash val="solid"/>
              </a:ln>
            </spPr>
          </dPt>
          <dPt>
            <idx val="66"/>
            <bubble3D val="0"/>
            <spPr>
              <a:solidFill>
                <a:srgbClr val="B21818"/>
              </a:solidFill>
              <a:ln>
                <a:prstDash val="solid"/>
              </a:ln>
            </spPr>
          </dPt>
          <dPt>
            <idx val="67"/>
            <bubble3D val="0"/>
            <spPr>
              <a:solidFill>
                <a:srgbClr val="2FAFD0"/>
              </a:solidFill>
              <a:ln>
                <a:prstDash val="solid"/>
              </a:ln>
            </spPr>
          </dPt>
          <dPt>
            <idx val="68"/>
            <bubble3D val="0"/>
            <spPr>
              <a:solidFill>
                <a:srgbClr val="089940"/>
              </a:solidFill>
              <a:ln>
                <a:prstDash val="solid"/>
              </a:ln>
            </spPr>
          </dPt>
          <dPt>
            <idx val="69"/>
            <bubble3D val="0"/>
            <spPr>
              <a:solidFill>
                <a:srgbClr val="D2C78B"/>
              </a:solidFill>
              <a:ln>
                <a:prstDash val="solid"/>
              </a:ln>
            </spPr>
          </dPt>
          <dPt>
            <idx val="70"/>
            <bubble3D val="0"/>
            <spPr>
              <a:solidFill>
                <a:srgbClr val="FF4F47"/>
              </a:solidFill>
              <a:ln>
                <a:prstDash val="solid"/>
              </a:ln>
            </spPr>
          </dPt>
          <dPt>
            <idx val="71"/>
            <bubble3D val="0"/>
            <spPr>
              <a:solidFill>
                <a:srgbClr val="A99782"/>
              </a:solidFill>
              <a:ln>
                <a:prstDash val="solid"/>
              </a:ln>
            </spPr>
          </dPt>
          <dPt>
            <idx val="72"/>
            <bubble3D val="0"/>
            <spPr>
              <a:solidFill>
                <a:srgbClr val="EA3C1C"/>
              </a:solidFill>
              <a:ln>
                <a:prstDash val="solid"/>
              </a:ln>
            </spPr>
          </dPt>
          <dPt>
            <idx val="73"/>
            <bubble3D val="0"/>
            <spPr>
              <a:solidFill>
                <a:srgbClr val="36E80C"/>
              </a:solidFill>
              <a:ln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￦1,407</t>
        </is>
      </c>
      <c r="J5" s="73" t="n">
        <v>1407.45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11120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11315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10170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12065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14195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11240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7465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4055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27605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15535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11120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13880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22620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12260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31740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27075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12315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11120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15535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17955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8235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134900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15400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6840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13040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192800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9700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10765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10690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231000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231000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18895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328.5799865722656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62.5099983215332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44.43000030517578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313.3299865722656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20750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185000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92.20999908447266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175800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7710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75600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133.1100006103516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172.5399932861328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223.9600067138672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33.90000152587891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499.989990234375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177.1900024414062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47.2599983215332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172.0099945068359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82.83000183105469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10.22000026702881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41.70000076293945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420.0400085449219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153.6000061035156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191.3699951171875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147.0200042724609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8.640000343322754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105.5800018310547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9.819999694824219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13860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48.41999816894531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15605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184660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31970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22620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186.5599975585938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153.0399932861328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111.8499984741211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IFERROR(INDEX('계좌현황'!A:A,INDEX($L$20:$L$95,MATCH(LARGE($N$20:$N$95,13),$N$20:$N$95,0))),"")</f>
        <v/>
      </c>
      <c r="C32" s="285">
        <f>IFERROR(INDEX('계좌현황'!C:C,INDEX($L$20:$L$95,MATCH(LARGE($N$20:$N$95,13),$N$20:$N$95,0))),"")</f>
        <v/>
      </c>
      <c r="D32" s="285">
        <f>IFERROR(INDEX('계좌현황'!D:D,INDEX($L$20:$L$95,MATCH(LARGE($N$20:$N$95,13),$N$20:$N$95,0))),"")</f>
        <v/>
      </c>
      <c r="E32" s="285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IFERROR(INDEX('계좌현황'!A:A,INDEX($L$20:$L$95,MATCH(LARGE($N$20:$N$95,14),$N$20:$N$95,0))),"")</f>
        <v/>
      </c>
      <c r="C33" s="279">
        <f>IFERROR(INDEX('계좌현황'!C:C,INDEX($L$20:$L$95,MATCH(LARGE($N$20:$N$95,14),$N$20:$N$95,0))),"")</f>
        <v/>
      </c>
      <c r="D33" s="279">
        <f>IFERROR(INDEX('계좌현황'!D:D,INDEX($L$20:$L$95,MATCH(LARGE($N$20:$N$95,14),$N$20:$N$95,0))),"")</f>
        <v/>
      </c>
      <c r="E33" s="279">
        <f>IFERROR(INDEX('계좌현황'!E:E,INDEX($L$20:$L$95,MATCH(LARGE($N$20:$N$95,14),$N$20:$N$95,0))),"")</f>
        <v/>
      </c>
      <c r="F33" s="309">
        <f>IFERROR(INDEX('계좌현황'!F:F,INDEX($L$20:$L$95,MATCH(LARGE($N$20:$N$95,14),$N$20:$N$95,0))),"")</f>
        <v/>
      </c>
      <c r="G33" s="310">
        <f>IFERROR(INDEX('계좌현황'!K:K,INDEX($L$20:$L$95,MATCH(LARGE($N$20:$N$95,14),$N$20:$N$95,0))),0)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IFERROR(INDEX('계좌현황'!A:A,INDEX($L$20:$L$95,MATCH(LARGE($N$20:$N$95,19),$N$20:$N$95,0))),"")</f>
        <v/>
      </c>
      <c r="C38" s="282">
        <f>IFERROR(INDEX('계좌현황'!C:C,INDEX($L$20:$L$95,MATCH(LARGE($N$20:$N$95,19),$N$20:$N$95,0))),"")</f>
        <v/>
      </c>
      <c r="D38" s="282">
        <f>IFERROR(INDEX('계좌현황'!D:D,INDEX($L$20:$L$95,MATCH(LARGE($N$20:$N$95,19),$N$20:$N$95,0))),"")</f>
        <v/>
      </c>
      <c r="E38" s="282">
        <f>IFERROR(INDEX('계좌현황'!E:E,INDEX($L$20:$L$95,MATCH(LARGE($N$20:$N$95,19),$N$20:$N$95,0))),"")</f>
        <v/>
      </c>
      <c r="F38" s="312">
        <f>IFERROR(INDEX('계좌현황'!F:F,INDEX($L$20:$L$95,MATCH(LARGE($N$20:$N$95,19),$N$20:$N$95,0))),"")</f>
        <v/>
      </c>
      <c r="G38" s="313">
        <f>IFERROR(INDEX('계좌현황'!K:K,INDEX($L$20:$L$95,MATCH(LARGE($N$20:$N$95,19),$N$20:$N$95,0))),0)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24">
        <f>IFERROR(INDEX('계좌현황'!F:F,INDEX($L$20:$L$95,MATCH(LARGE($N$20:$N$95,20),$N$20:$N$95,0))),"")</f>
        <v/>
      </c>
      <c r="G39" s="325">
        <f>IFERROR(INDEX('계좌현황'!K:K,INDEX($L$20:$L$95,MATCH(LARGE($N$20:$N$95,20),$N$20:$N$95,0))),0)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IFERROR(INDEX('계좌현황'!A:A,INDEX($L$20:$L$95,MATCH(LARGE($N$20:$N$95,24),$N$20:$N$95,0))),"")</f>
        <v/>
      </c>
      <c r="C43" s="276">
        <f>IFERROR(INDEX('계좌현황'!C:C,INDEX($L$20:$L$95,MATCH(LARGE($N$20:$N$95,24),$N$20:$N$95,0))),"")</f>
        <v/>
      </c>
      <c r="D43" s="276">
        <f>IFERROR(INDEX('계좌현황'!D:D,INDEX($L$20:$L$95,MATCH(LARGE($N$20:$N$95,24),$N$20:$N$95,0))),"")</f>
        <v/>
      </c>
      <c r="E43" s="276">
        <f>IFERROR(INDEX('계좌현황'!E:E,INDEX($L$20:$L$95,MATCH(LARGE($N$20:$N$95,24),$N$20:$N$95,0))),"")</f>
        <v/>
      </c>
      <c r="F43" s="306">
        <f>IFERROR(INDEX('계좌현황'!F:F,INDEX($L$20:$L$95,MATCH(LARGE($N$20:$N$95,24),$N$20:$N$95,0))),"")</f>
        <v/>
      </c>
      <c r="G43" s="307">
        <f>IFERROR(INDEX('계좌현황'!K:K,INDEX($L$20:$L$95,MATCH(LARGE($N$20:$N$95,24),$N$20:$N$95,0))),0)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IFERROR(INDEX('계좌현황'!A:A,INDEX($L$20:$L$95,MATCH(LARGE($N$20:$N$95,27),$N$20:$N$95,0))),"")</f>
        <v/>
      </c>
      <c r="C46" s="285">
        <f>IFERROR(INDEX('계좌현황'!C:C,INDEX($L$20:$L$95,MATCH(LARGE($N$20:$N$95,27),$N$20:$N$95,0))),"")</f>
        <v/>
      </c>
      <c r="D46" s="285">
        <f>IFERROR(INDEX('계좌현황'!D:D,INDEX($L$20:$L$95,MATCH(LARGE($N$20:$N$95,27),$N$20:$N$95,0))),"")</f>
        <v/>
      </c>
      <c r="E46" s="285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IFERROR(INDEX('계좌현황'!A:A,INDEX($L$20:$L$95,MATCH(LARGE($N$20:$N$95,64),$N$20:$N$95,0))),"")</f>
        <v/>
      </c>
      <c r="C83" s="288">
        <f>IFERROR(INDEX('계좌현황'!C:C,INDEX($L$20:$L$95,MATCH(LARGE($N$20:$N$95,64),$N$20:$N$95,0))),"")</f>
        <v/>
      </c>
      <c r="D83" s="288">
        <f>IFERROR(INDEX('계좌현황'!D:D,INDEX($L$20:$L$95,MATCH(LARGE($N$20:$N$95,64),$N$20:$N$95,0))),"")</f>
        <v/>
      </c>
      <c r="E83" s="288">
        <f>IFERROR(INDEX('계좌현황'!E:E,INDEX($L$20:$L$95,MATCH(LARGE($N$20:$N$95,64),$N$20:$N$95,0))),"")</f>
        <v/>
      </c>
      <c r="F83" s="318">
        <f>IFERROR(INDEX('계좌현황'!F:F,INDEX($L$20:$L$95,MATCH(LARGE($N$20:$N$95,64),$N$20:$N$95,0))),"")</f>
        <v/>
      </c>
      <c r="G83" s="319">
        <f>IFERROR(INDEX('계좌현황'!K:K,INDEX($L$20:$L$95,MATCH(LARGE($N$20:$N$95,64),$N$20:$N$95,0))),0)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IFERROR(INDEX('계좌현황'!A:A,INDEX($L$20:$L$95,MATCH(LARGE($N$20:$N$95,65),$N$20:$N$95,0))),"")</f>
        <v/>
      </c>
      <c r="C84" s="300">
        <f>IFERROR(INDEX('계좌현황'!C:C,INDEX($L$20:$L$95,MATCH(LARGE($N$20:$N$95,65),$N$20:$N$95,0))),"")</f>
        <v/>
      </c>
      <c r="D84" s="300">
        <f>IFERROR(INDEX('계좌현황'!D:D,INDEX($L$20:$L$95,MATCH(LARGE($N$20:$N$95,65),$N$20:$N$95,0))),"")</f>
        <v/>
      </c>
      <c r="E84" s="300">
        <f>IFERROR(INDEX('계좌현황'!E:E,INDEX($L$20:$L$95,MATCH(LARGE($N$20:$N$95,65),$N$20:$N$95,0))),"")</f>
        <v/>
      </c>
      <c r="F84" s="330">
        <f>IFERROR(INDEX('계좌현황'!F:F,INDEX($L$20:$L$95,MATCH(LARGE($N$20:$N$95,65),$N$20:$N$95,0))),"")</f>
        <v/>
      </c>
      <c r="G84" s="331">
        <f>IFERROR(INDEX('계좌현황'!K:K,INDEX($L$20:$L$95,MATCH(LARGE($N$20:$N$95,65),$N$20:$N$95,0))),0)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1,420원/$  | 연간 합계 52,127,964원 · 월평균 4,343,997원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4080025.2</v>
      </c>
      <c r="C7" s="277" t="n">
        <v>0</v>
      </c>
      <c r="D7" s="277" t="n">
        <v>4080025.2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4211134</v>
      </c>
      <c r="C8" s="280" t="n">
        <v>25200</v>
      </c>
      <c r="D8" s="280" t="n">
        <v>4236334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4590203.04</v>
      </c>
      <c r="C9" s="280" t="n">
        <v>55328</v>
      </c>
      <c r="D9" s="280" t="n">
        <v>4645531.04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4196618.46</v>
      </c>
      <c r="C10" s="280" t="n">
        <v>5104</v>
      </c>
      <c r="D10" s="280" t="n">
        <v>4201722.46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4303449.06</v>
      </c>
      <c r="C11" s="277" t="n">
        <v>0</v>
      </c>
      <c r="D11" s="277" t="n">
        <v>4303449.06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4316658.46</v>
      </c>
      <c r="C12" s="280" t="n">
        <v>55412</v>
      </c>
      <c r="D12" s="280" t="n">
        <v>4372070.46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4331708.46</v>
      </c>
      <c r="C13" s="277" t="n">
        <v>0</v>
      </c>
      <c r="D13" s="277" t="n">
        <v>4331708.46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13860</v>
      </c>
      <c r="C14" s="280" t="n">
        <v>4085439.310000001</v>
      </c>
      <c r="D14" s="280" t="n">
        <v>4099299.310000001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4223377.42</v>
      </c>
      <c r="D15" s="286" t="n">
        <v>4223377.42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4068557.68</v>
      </c>
      <c r="D16" s="286" t="n">
        <v>4068557.68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4359717.32</v>
      </c>
      <c r="D17" s="286" t="n">
        <v>4359717.32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5206171.634</v>
      </c>
      <c r="D18" s="286" t="n">
        <v>5206171.634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0.09939999999999999</v>
      </c>
      <c r="F24" s="301" t="n">
        <v>170878890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0.0964</v>
      </c>
      <c r="F25" s="301" t="n">
        <v>71022000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0.157</v>
      </c>
      <c r="F26" s="301" t="n">
        <v>28642850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0.1444</v>
      </c>
      <c r="F27" s="301" t="n">
        <v>27446580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0.1134</v>
      </c>
      <c r="F28" s="301" t="n">
        <v>30540000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0.1384</v>
      </c>
      <c r="F29" s="301" t="n">
        <v>22842900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0.09359999999999999</v>
      </c>
      <c r="F30" s="301" t="n">
        <v>20250000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0.1532</v>
      </c>
      <c r="F31" s="301" t="n">
        <v>11489855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0.0677</v>
      </c>
      <c r="F32" s="301" t="n">
        <v>22500000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0.0301</v>
      </c>
      <c r="F33" s="301" t="n">
        <v>43291930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0.1197</v>
      </c>
      <c r="F34" s="301" t="n">
        <v>9633520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0.1281</v>
      </c>
      <c r="F35" s="301" t="n">
        <v>7900800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0.0205</v>
      </c>
      <c r="F36" s="301" t="n">
        <v>27998055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0.0297</v>
      </c>
      <c r="F37" s="301" t="n">
        <v>18487000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0.09630000000000001</v>
      </c>
      <c r="F38" s="301" t="n">
        <v>5210500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1420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20320.2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3322.8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1462.6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1760.8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2527.6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2584.4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20320.2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5793.6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5821.999999999999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1357.52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8758.559999999999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27157.5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20395.46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1420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12709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20395.46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3450.6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1760.8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1462.6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2527.6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2584.4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20395.46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5793.6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5821.999999999999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1420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1356.1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12709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3724.66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8622.24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20395.46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1420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20395.46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20019.16</v>
      </c>
      <c r="H232" s="285" t="inlineStr">
        <is>
          <t>예측</t>
        </is>
      </c>
    </row>
    <row r="233">
      <c r="A233" s="341" t="n">
        <v>46240</v>
      </c>
      <c r="B233" s="276" t="n">
        <v>8</v>
      </c>
      <c r="C233" s="276" t="n">
        <v>105560</v>
      </c>
      <c r="D233" s="276" t="inlineStr">
        <is>
          <t>KB금융</t>
        </is>
      </c>
      <c r="E233" s="277" t="n">
        <v>13860</v>
      </c>
      <c r="F233" s="338" t="n"/>
      <c r="G233" s="277" t="n">
        <v>13860</v>
      </c>
      <c r="H233" s="276" t="inlineStr">
        <is>
          <t>실적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3258.9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1377.4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1675.6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11683.05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2243.6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2371.4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4345.2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5467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20019.16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1028.08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1404.38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8718.799999999999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12070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11502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1278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20169.68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3258.9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20094.42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1746.6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1434.2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2371.4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2470.8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5396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5751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9252.719999999999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1030.21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20094.42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1633.284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11786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2026-07-19T12:57:25Z</dcterms:created>
  <dcterms:modified xsi:type="dcterms:W3CDTF">2026-08-08T07:38:45Z</dcterms:modified>
  <cp:lastModifiedBy>조효진 (상담심리)</cp:lastModifiedBy>
</cp:coreProperties>
</file>