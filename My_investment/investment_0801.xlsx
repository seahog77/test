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￦1,425</t>
        </is>
      </c>
      <c r="J5" s="73" t="n">
        <v>1424.58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SUM(K9:K85)</f>
        <v/>
      </c>
      <c r="L8" s="75" t="n"/>
      <c r="M8" s="208">
        <f>SUM(M9:M85)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11240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11445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10265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11650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14255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11315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7507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4020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28005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15630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11240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14020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22880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12360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32200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27375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12390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11240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15640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18000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8340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132100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15815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6860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12430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195100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9105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10535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10795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246000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246000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19950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327.3500061035156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62.90000152587891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41.72000122070312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309.3800048828125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20350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181900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92.45999908447266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171400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8172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/>
      <c r="C52" s="217" t="inlineStr">
        <is>
          <t>한국</t>
        </is>
      </c>
      <c r="D52" s="106" t="inlineStr">
        <is>
          <t>017670</t>
        </is>
      </c>
      <c r="E52" s="107" t="inlineStr">
        <is>
          <t>SKT</t>
        </is>
      </c>
      <c r="F52" s="108" t="n">
        <v>24</v>
      </c>
      <c r="G52" s="225" t="n">
        <v>82486</v>
      </c>
      <c r="H52" s="226" t="n"/>
      <c r="I52" s="212" t="n">
        <v>97200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n"/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45</v>
      </c>
      <c r="C53" s="217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10" t="n">
        <v>87423</v>
      </c>
      <c r="H53" s="223" t="n"/>
      <c r="I53" s="218" t="n">
        <v>76100</v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엔터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46</v>
      </c>
      <c r="C54" s="217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5" t="n">
        <v>1931242</v>
      </c>
      <c r="H54" s="226" t="n"/>
      <c r="I54" s="214">
        <f>G54</f>
        <v/>
      </c>
      <c r="J54" s="219" t="n"/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현금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47</v>
      </c>
      <c r="C55" s="217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0" t="n"/>
      <c r="H55" s="223" t="n">
        <v>180.0771</v>
      </c>
      <c r="I55" s="220" t="n"/>
      <c r="J55" s="92" t="n">
        <v>125.3300018310547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스엑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48</v>
      </c>
      <c r="C56" s="217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0" t="n"/>
      <c r="H56" s="223" t="n">
        <v>185.84</v>
      </c>
      <c r="I56" s="220" t="n"/>
      <c r="J56" s="92" t="n">
        <v>175.25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아메리칸타워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49</v>
      </c>
      <c r="C57" s="217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0" t="n"/>
      <c r="H57" s="223" t="n">
        <v>169.016</v>
      </c>
      <c r="I57" s="220" t="n"/>
      <c r="J57" s="92" t="n">
        <v>211.9400024414062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엔비디아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50</v>
      </c>
      <c r="C58" s="217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0" t="n"/>
      <c r="H58" s="223" t="n">
        <v>27.59</v>
      </c>
      <c r="I58" s="220" t="n"/>
      <c r="J58" s="92" t="n">
        <v>33.84999847412109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다우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51</v>
      </c>
      <c r="C59" s="217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0" t="n"/>
      <c r="H59" s="223" t="n">
        <v>408.19</v>
      </c>
      <c r="I59" s="220" t="n"/>
      <c r="J59" s="92" t="n">
        <v>492.8099975585938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마소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52</v>
      </c>
      <c r="C60" s="217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0" t="n"/>
      <c r="H60" s="223" t="n">
        <v>202.7775</v>
      </c>
      <c r="I60" s="220" t="n"/>
      <c r="J60" s="92" t="n">
        <v>177.2100067138672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통신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53</v>
      </c>
      <c r="C61" s="217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0" t="n"/>
      <c r="H61" s="223" t="n">
        <v>53.67</v>
      </c>
      <c r="I61" s="220" t="n"/>
      <c r="J61" s="92" t="n">
        <v>44.27999877929688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헬스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54</v>
      </c>
      <c r="C62" s="217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0" t="n"/>
      <c r="H62" s="223" t="n">
        <v>129.42</v>
      </c>
      <c r="I62" s="220" t="n"/>
      <c r="J62" s="92" t="n">
        <v>162.6600036621094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팔란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55</v>
      </c>
      <c r="C63" s="217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0" t="n"/>
      <c r="H63" s="223" t="n">
        <v>62.38</v>
      </c>
      <c r="I63" s="220" t="n"/>
      <c r="J63" s="92" t="n">
        <v>74.48000335693359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로켓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56</v>
      </c>
      <c r="C64" s="217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0" t="n"/>
      <c r="H64" s="223" t="n">
        <v>17.91</v>
      </c>
      <c r="I64" s="220" t="n"/>
      <c r="J64" s="92" t="n">
        <v>10.05000019073486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C3AI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57</v>
      </c>
      <c r="C65" s="217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0" t="n"/>
      <c r="H65" s="223" t="n">
        <v>63.31</v>
      </c>
      <c r="I65" s="220" t="n"/>
      <c r="J65" s="92" t="n">
        <v>41.52999877929688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나이키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58</v>
      </c>
      <c r="C66" s="217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0" t="n"/>
      <c r="H66" s="223" t="n">
        <v>340.5</v>
      </c>
      <c r="I66" s="220" t="n"/>
      <c r="J66" s="92" t="n">
        <v>417.1700134277344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TSMC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59</v>
      </c>
      <c r="C67" s="217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0" t="n"/>
      <c r="H67" s="223" t="n">
        <v>203.665</v>
      </c>
      <c r="I67" s="220" t="n"/>
      <c r="J67" s="92" t="n">
        <v>150.7299957275391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코인베이스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60</v>
      </c>
      <c r="C68" s="217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0" t="n"/>
      <c r="H68" s="223" t="n">
        <v>213.8</v>
      </c>
      <c r="I68" s="220" t="n"/>
      <c r="J68" s="92" t="n">
        <v>189.2400054931641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21">
        <f>IFERROR(M68/(K68-M68),)</f>
        <v/>
      </c>
      <c r="O68" s="86" t="inlineStr">
        <is>
          <t>에너지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3" t="n">
        <v>163.125</v>
      </c>
      <c r="I69" s="214" t="n"/>
      <c r="J69" s="92" t="n">
        <v>145.7400054931641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16">
        <f>IFERROR(M69/(K69-M69),)</f>
        <v/>
      </c>
      <c r="O69" s="86" t="inlineStr">
        <is>
          <t>오라클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62</v>
      </c>
      <c r="C70" s="217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0" t="n"/>
      <c r="H70" s="223" t="n">
        <v>9.51</v>
      </c>
      <c r="I70" s="220" t="n"/>
      <c r="J70" s="92" t="n">
        <v>7.96999979019165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조비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63</v>
      </c>
      <c r="C71" s="217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0" t="n"/>
      <c r="H71" s="223" t="n">
        <v>100.529</v>
      </c>
      <c r="I71" s="220" t="n"/>
      <c r="J71" s="92" t="n">
        <v>104.9700012207031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스벅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64</v>
      </c>
      <c r="C72" s="217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0" t="n"/>
      <c r="H72" s="223" t="n">
        <v>19.7113</v>
      </c>
      <c r="I72" s="220" t="n"/>
      <c r="J72" s="92" t="n">
        <v>9.489999771118164</v>
      </c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SMR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65</v>
      </c>
      <c r="C73" s="217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0" t="n">
        <v>32011</v>
      </c>
      <c r="H73" s="223" t="n"/>
      <c r="I73" s="218" t="n">
        <v>13630</v>
      </c>
      <c r="J73" s="219" t="n"/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21">
        <f>IFERROR(M73/(K73-M73),)</f>
        <v/>
      </c>
      <c r="O73" s="86" t="inlineStr">
        <is>
          <t>더본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3" t="n">
        <v>63.42</v>
      </c>
      <c r="I74" s="214" t="n"/>
      <c r="J74" s="92" t="n">
        <v>43.33000183105469</v>
      </c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오클로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67</v>
      </c>
      <c r="C75" s="209" t="n"/>
      <c r="D75" s="227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4" t="n">
        <v>20403</v>
      </c>
      <c r="H75" s="228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16">
        <f>IFERROR(M75/(K75-M75),)</f>
        <v/>
      </c>
      <c r="O75" s="86" t="inlineStr">
        <is>
          <t>현금</t>
        </is>
      </c>
      <c r="P75" s="204" t="n"/>
      <c r="Q75" s="204" t="n"/>
      <c r="R75" s="204" t="n"/>
    </row>
    <row r="76" ht="12.75" customHeight="1" s="199">
      <c r="A76" s="72" t="inlineStr">
        <is>
          <t>일반계좌</t>
        </is>
      </c>
      <c r="B76" s="204" t="n">
        <v>68</v>
      </c>
      <c r="C76" s="217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0" t="n">
        <v>0</v>
      </c>
      <c r="H76" s="223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예수금</t>
        </is>
      </c>
      <c r="P76" s="204" t="n"/>
      <c r="Q76" s="204" t="n"/>
      <c r="R76" s="204" t="n"/>
    </row>
    <row r="77" ht="12.75" customHeight="1" s="199">
      <c r="A77" s="204" t="inlineStr">
        <is>
          <t>CMA</t>
        </is>
      </c>
      <c r="B77" s="204" t="n">
        <v>69</v>
      </c>
      <c r="C77" s="217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5" t="n">
        <v>78869189</v>
      </c>
      <c r="H77" s="226" t="n"/>
      <c r="I77" s="214">
        <f>G77</f>
        <v/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>현금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70</v>
      </c>
      <c r="C78" s="217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0" t="n">
        <v>17065</v>
      </c>
      <c r="H78" s="223" t="n"/>
      <c r="I78" s="218" t="n">
        <v>15735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 xml:space="preserve">미국채 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71</v>
      </c>
      <c r="C79" s="217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0" t="n">
        <v>177652</v>
      </c>
      <c r="H79" s="223" t="n"/>
      <c r="I79" s="218" t="n">
        <v>187310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나스닥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72</v>
      </c>
      <c r="C80" s="217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0" t="n">
        <v>24648</v>
      </c>
      <c r="H80" s="223" t="n"/>
      <c r="I80" s="218" t="n">
        <v>32260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테크</t>
        </is>
      </c>
      <c r="P80" s="204" t="n"/>
      <c r="Q80" s="204" t="n"/>
      <c r="R80" s="204" t="n"/>
    </row>
    <row r="81" ht="12.75" customHeight="1" s="199">
      <c r="A81" s="204" t="inlineStr">
        <is>
          <t>IRP</t>
        </is>
      </c>
      <c r="B81" s="204" t="n">
        <v>73</v>
      </c>
      <c r="C81" s="217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0" t="n">
        <v>18437</v>
      </c>
      <c r="H81" s="223" t="n"/>
      <c r="I81" s="218" t="n">
        <v>22885</v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21">
        <f>IFERROR(M81/(K81-M81),)</f>
        <v/>
      </c>
      <c r="O81" s="86" t="inlineStr">
        <is>
          <t>슨피</t>
        </is>
      </c>
      <c r="P81" s="204" t="n"/>
      <c r="Q81" s="204" t="n"/>
      <c r="R81" s="204" t="n"/>
    </row>
    <row r="82">
      <c r="A82" s="72" t="inlineStr">
        <is>
          <t>은행예금</t>
        </is>
      </c>
      <c r="B82" s="204" t="n">
        <v>74</v>
      </c>
      <c r="C82" s="104" t="n"/>
      <c r="D82" s="227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3000000</v>
      </c>
      <c r="H82" s="223" t="n"/>
      <c r="I82" s="214">
        <f>G82</f>
        <v/>
      </c>
      <c r="J82" s="219" t="n"/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86" t="inlineStr">
        <is>
          <t>예금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9" t="n">
        <v>181.32</v>
      </c>
      <c r="I83" s="86" t="n"/>
      <c r="J83" s="123" t="n">
        <v>190.3999938964844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5" t="inlineStr">
        <is>
          <t>셰브론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9" t="n">
        <v>144.41</v>
      </c>
      <c r="I84" s="86" t="n"/>
      <c r="J84" s="124" t="n">
        <v>153.9600067138672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엑슨모빌</t>
        </is>
      </c>
      <c r="P84" s="204" t="n"/>
      <c r="Q84" s="204" t="n"/>
      <c r="R84" s="204" t="n"/>
    </row>
    <row r="85" ht="12.75" customHeight="1" s="199">
      <c r="A85" s="116" t="inlineStr">
        <is>
          <t>TOSS</t>
        </is>
      </c>
      <c r="B85" s="204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9" t="n">
        <v>115.28</v>
      </c>
      <c r="I85" s="86" t="n"/>
      <c r="J85" s="124" t="n">
        <v>111.5500030517578</v>
      </c>
      <c r="K85" s="220">
        <f>IFERROR(I85*F85+J85*$J$5*F85,)</f>
        <v/>
      </c>
      <c r="L85" s="90">
        <f>IFERROR(K85/$K$8,)</f>
        <v/>
      </c>
      <c r="M85" s="215">
        <f>IFERROR(K85-G85*F85-H85*$J$5*F85,)</f>
        <v/>
      </c>
      <c r="N85" s="216">
        <f>IFERROR(M85/(K85-M85),)</f>
        <v/>
      </c>
      <c r="O85" s="126" t="inlineStr">
        <is>
          <t>월마트</t>
        </is>
      </c>
      <c r="P85" s="204" t="n"/>
      <c r="Q85" s="204" t="n"/>
      <c r="R85" s="204" t="n"/>
    </row>
    <row r="86" ht="12.75" customHeight="1" s="199">
      <c r="A86" s="204" t="n"/>
      <c r="B86" s="204" t="n"/>
      <c r="C86" s="117" t="n"/>
      <c r="D86" s="117" t="n"/>
      <c r="E86" s="118" t="n"/>
      <c r="F86" s="117" t="n"/>
      <c r="G86" s="117" t="n"/>
      <c r="H86" s="117" t="n"/>
      <c r="I86" s="204" t="n"/>
      <c r="L86" s="204" t="n"/>
      <c r="M86" s="204" t="n"/>
      <c r="N86" s="204" t="n"/>
      <c r="O86" s="127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13" t="n"/>
      <c r="F92" s="204" t="n"/>
      <c r="G92" s="204" t="n"/>
      <c r="H92" s="204" t="n"/>
      <c r="I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>
      <c r="A1022" s="204" t="n"/>
      <c r="B1022" s="204" t="n"/>
      <c r="C1022" s="204" t="n"/>
      <c r="D1022" s="204" t="n"/>
      <c r="E1022" s="204" t="n"/>
      <c r="F1022" s="204" t="n"/>
      <c r="G1022" s="204" t="n"/>
      <c r="H1022" s="204" t="n"/>
      <c r="I1022" s="204" t="n"/>
      <c r="J1022" s="204" t="n"/>
      <c r="K1022" s="204" t="n"/>
      <c r="L1022" s="204" t="n"/>
      <c r="M1022" s="204" t="n"/>
      <c r="N1022" s="204" t="n"/>
      <c r="O1022" s="204" t="n"/>
      <c r="P1022" s="204" t="n"/>
      <c r="Q1022" s="204" t="n"/>
      <c r="R1022" s="204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SUM('계좌현황'!K9:K85)</f>
        <v/>
      </c>
      <c r="C3" t="inlineStr">
        <is>
          <t>종목수</t>
        </is>
      </c>
      <c r="D3" s="274">
        <f>COUNTA('계좌현황'!E9:E85)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COUNTIF('계좌현황'!A9:A85,A7)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COUNTIF('계좌현황'!A9:A85,A8)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COUNTIF('계좌현황'!A9:A85,A9)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COUNTIF('계좌현황'!A9:A85,A10)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COUNTIF('계좌현황'!A9:A85,A11)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COUNTIF('계좌현황'!A9:A85,A12)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COUNTIF('계좌현황'!A9:A85,A13)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COUNTIF('계좌현황'!A9:A85,A14)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COUNTIF('계좌현황'!A9:A85,A15)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IFERROR(INDEX('계좌현황'!A:A,INDEX($L$20:$L$96,MATCH(LARGE($N$20:$N$96,1),$N$20:$N$96,0))),"")</f>
        <v/>
      </c>
      <c r="C20" s="276">
        <f>IFERROR(INDEX('계좌현황'!C:C,INDEX($L$20:$L$96,MATCH(LARGE($N$20:$N$96,1),$N$20:$N$96,0))),"")</f>
        <v/>
      </c>
      <c r="D20" s="276">
        <f>IFERROR(INDEX('계좌현황'!D:D,INDEX($L$20:$L$96,MATCH(LARGE($N$20:$N$96,1),$N$20:$N$96,0))),"")</f>
        <v/>
      </c>
      <c r="E20" s="276">
        <f>IFERROR(INDEX('계좌현황'!E:E,INDEX($L$20:$L$96,MATCH(LARGE($N$20:$N$96,1),$N$20:$N$96,0))),"")</f>
        <v/>
      </c>
      <c r="F20" s="306">
        <f>IFERROR(INDEX('계좌현황'!F:F,INDEX($L$20:$L$96,MATCH(LARGE($N$20:$N$96,1),$N$20:$N$96,0))),"")</f>
        <v/>
      </c>
      <c r="G20" s="307">
        <f>IFERROR(INDEX('계좌현황'!K:K,INDEX($L$20:$L$96,MATCH(LARGE($N$20:$N$96,1),$N$20:$N$96,0))),0)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IFERROR(INDEX('계좌현황'!A:A,INDEX($L$20:$L$96,MATCH(LARGE($N$20:$N$96,2),$N$20:$N$96,0))),"")</f>
        <v/>
      </c>
      <c r="C21" s="279">
        <f>IFERROR(INDEX('계좌현황'!C:C,INDEX($L$20:$L$96,MATCH(LARGE($N$20:$N$96,2),$N$20:$N$96,0))),"")</f>
        <v/>
      </c>
      <c r="D21" s="279">
        <f>IFERROR(INDEX('계좌현황'!D:D,INDEX($L$20:$L$96,MATCH(LARGE($N$20:$N$96,2),$N$20:$N$96,0))),"")</f>
        <v/>
      </c>
      <c r="E21" s="279">
        <f>IFERROR(INDEX('계좌현황'!E:E,INDEX($L$20:$L$96,MATCH(LARGE($N$20:$N$96,2),$N$20:$N$96,0))),"")</f>
        <v/>
      </c>
      <c r="F21" s="309">
        <f>IFERROR(INDEX('계좌현황'!F:F,INDEX($L$20:$L$96,MATCH(LARGE($N$20:$N$96,2),$N$20:$N$96,0))),"")</f>
        <v/>
      </c>
      <c r="G21" s="310">
        <f>IFERROR(INDEX('계좌현황'!K:K,INDEX($L$20:$L$96,MATCH(LARGE($N$20:$N$96,2),$N$20:$N$96,0))),0)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IFERROR(INDEX('계좌현황'!A:A,INDEX($L$20:$L$96,MATCH(LARGE($N$20:$N$96,3),$N$20:$N$96,0))),"")</f>
        <v/>
      </c>
      <c r="C22" s="279">
        <f>IFERROR(INDEX('계좌현황'!C:C,INDEX($L$20:$L$96,MATCH(LARGE($N$20:$N$96,3),$N$20:$N$96,0))),"")</f>
        <v/>
      </c>
      <c r="D22" s="279">
        <f>IFERROR(INDEX('계좌현황'!D:D,INDEX($L$20:$L$96,MATCH(LARGE($N$20:$N$96,3),$N$20:$N$96,0))),"")</f>
        <v/>
      </c>
      <c r="E22" s="279">
        <f>IFERROR(INDEX('계좌현황'!E:E,INDEX($L$20:$L$96,MATCH(LARGE($N$20:$N$96,3),$N$20:$N$96,0))),"")</f>
        <v/>
      </c>
      <c r="F22" s="309">
        <f>IFERROR(INDEX('계좌현황'!F:F,INDEX($L$20:$L$96,MATCH(LARGE($N$20:$N$96,3),$N$20:$N$96,0))),"")</f>
        <v/>
      </c>
      <c r="G22" s="310">
        <f>IFERROR(INDEX('계좌현황'!K:K,INDEX($L$20:$L$96,MATCH(LARGE($N$20:$N$96,3),$N$20:$N$96,0))),0)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IFERROR(INDEX('계좌현황'!A:A,INDEX($L$20:$L$96,MATCH(LARGE($N$20:$N$96,4),$N$20:$N$96,0))),"")</f>
        <v/>
      </c>
      <c r="C23" s="276">
        <f>IFERROR(INDEX('계좌현황'!C:C,INDEX($L$20:$L$96,MATCH(LARGE($N$20:$N$96,4),$N$20:$N$96,0))),"")</f>
        <v/>
      </c>
      <c r="D23" s="276">
        <f>IFERROR(INDEX('계좌현황'!D:D,INDEX($L$20:$L$96,MATCH(LARGE($N$20:$N$96,4),$N$20:$N$96,0))),"")</f>
        <v/>
      </c>
      <c r="E23" s="276">
        <f>IFERROR(INDEX('계좌현황'!E:E,INDEX($L$20:$L$96,MATCH(LARGE($N$20:$N$96,4),$N$20:$N$96,0))),"")</f>
        <v/>
      </c>
      <c r="F23" s="306">
        <f>IFERROR(INDEX('계좌현황'!F:F,INDEX($L$20:$L$96,MATCH(LARGE($N$20:$N$96,4),$N$20:$N$96,0))),"")</f>
        <v/>
      </c>
      <c r="G23" s="307">
        <f>IFERROR(INDEX('계좌현황'!K:K,INDEX($L$20:$L$96,MATCH(LARGE($N$20:$N$96,4),$N$20:$N$96,0))),0)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IFERROR(INDEX('계좌현황'!A:A,INDEX($L$20:$L$96,MATCH(LARGE($N$20:$N$96,5),$N$20:$N$96,0))),"")</f>
        <v/>
      </c>
      <c r="C24" s="276">
        <f>IFERROR(INDEX('계좌현황'!C:C,INDEX($L$20:$L$96,MATCH(LARGE($N$20:$N$96,5),$N$20:$N$96,0))),"")</f>
        <v/>
      </c>
      <c r="D24" s="276">
        <f>IFERROR(INDEX('계좌현황'!D:D,INDEX($L$20:$L$96,MATCH(LARGE($N$20:$N$96,5),$N$20:$N$96,0))),"")</f>
        <v/>
      </c>
      <c r="E24" s="276">
        <f>IFERROR(INDEX('계좌현황'!E:E,INDEX($L$20:$L$96,MATCH(LARGE($N$20:$N$96,5),$N$20:$N$96,0))),"")</f>
        <v/>
      </c>
      <c r="F24" s="306">
        <f>IFERROR(INDEX('계좌현황'!F:F,INDEX($L$20:$L$96,MATCH(LARGE($N$20:$N$96,5),$N$20:$N$96,0))),"")</f>
        <v/>
      </c>
      <c r="G24" s="307">
        <f>IFERROR(INDEX('계좌현황'!K:K,INDEX($L$20:$L$96,MATCH(LARGE($N$20:$N$96,5),$N$20:$N$96,0))),0)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IFERROR(INDEX('계좌현황'!A:A,INDEX($L$20:$L$96,MATCH(LARGE($N$20:$N$96,6),$N$20:$N$96,0))),"")</f>
        <v/>
      </c>
      <c r="C25" s="276">
        <f>IFERROR(INDEX('계좌현황'!C:C,INDEX($L$20:$L$96,MATCH(LARGE($N$20:$N$96,6),$N$20:$N$96,0))),"")</f>
        <v/>
      </c>
      <c r="D25" s="276">
        <f>IFERROR(INDEX('계좌현황'!D:D,INDEX($L$20:$L$96,MATCH(LARGE($N$20:$N$96,6),$N$20:$N$96,0))),"")</f>
        <v/>
      </c>
      <c r="E25" s="276">
        <f>IFERROR(INDEX('계좌현황'!E:E,INDEX($L$20:$L$96,MATCH(LARGE($N$20:$N$96,6),$N$20:$N$96,0))),"")</f>
        <v/>
      </c>
      <c r="F25" s="306">
        <f>IFERROR(INDEX('계좌현황'!F:F,INDEX($L$20:$L$96,MATCH(LARGE($N$20:$N$96,6),$N$20:$N$96,0))),"")</f>
        <v/>
      </c>
      <c r="G25" s="307">
        <f>IFERROR(INDEX('계좌현황'!K:K,INDEX($L$20:$L$96,MATCH(LARGE($N$20:$N$96,6),$N$20:$N$96,0))),0)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IFERROR(INDEX('계좌현황'!A:A,INDEX($L$20:$L$96,MATCH(LARGE($N$20:$N$96,7),$N$20:$N$96,0))),"")</f>
        <v/>
      </c>
      <c r="C26" s="276">
        <f>IFERROR(INDEX('계좌현황'!C:C,INDEX($L$20:$L$96,MATCH(LARGE($N$20:$N$96,7),$N$20:$N$96,0))),"")</f>
        <v/>
      </c>
      <c r="D26" s="276">
        <f>IFERROR(INDEX('계좌현황'!D:D,INDEX($L$20:$L$96,MATCH(LARGE($N$20:$N$96,7),$N$20:$N$96,0))),"")</f>
        <v/>
      </c>
      <c r="E26" s="276">
        <f>IFERROR(INDEX('계좌현황'!E:E,INDEX($L$20:$L$96,MATCH(LARGE($N$20:$N$96,7),$N$20:$N$96,0))),"")</f>
        <v/>
      </c>
      <c r="F26" s="306">
        <f>IFERROR(INDEX('계좌현황'!F:F,INDEX($L$20:$L$96,MATCH(LARGE($N$20:$N$96,7),$N$20:$N$96,0))),"")</f>
        <v/>
      </c>
      <c r="G26" s="307">
        <f>IFERROR(INDEX('계좌현황'!K:K,INDEX($L$20:$L$96,MATCH(LARGE($N$20:$N$96,7),$N$20:$N$96,0))),0)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IFERROR(INDEX('계좌현황'!A:A,INDEX($L$20:$L$96,MATCH(LARGE($N$20:$N$96,8),$N$20:$N$96,0))),"")</f>
        <v/>
      </c>
      <c r="C27" s="285">
        <f>IFERROR(INDEX('계좌현황'!C:C,INDEX($L$20:$L$96,MATCH(LARGE($N$20:$N$96,8),$N$20:$N$96,0))),"")</f>
        <v/>
      </c>
      <c r="D27" s="285">
        <f>IFERROR(INDEX('계좌현황'!D:D,INDEX($L$20:$L$96,MATCH(LARGE($N$20:$N$96,8),$N$20:$N$96,0))),"")</f>
        <v/>
      </c>
      <c r="E27" s="285">
        <f>IFERROR(INDEX('계좌현황'!E:E,INDEX($L$20:$L$96,MATCH(LARGE($N$20:$N$96,8),$N$20:$N$96,0))),"")</f>
        <v/>
      </c>
      <c r="F27" s="315">
        <f>IFERROR(INDEX('계좌현황'!F:F,INDEX($L$20:$L$96,MATCH(LARGE($N$20:$N$96,8),$N$20:$N$96,0))),"")</f>
        <v/>
      </c>
      <c r="G27" s="316">
        <f>IFERROR(INDEX('계좌현황'!K:K,INDEX($L$20:$L$96,MATCH(LARGE($N$20:$N$96,8),$N$20:$N$96,0))),0)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IFERROR(INDEX('계좌현황'!A:A,INDEX($L$20:$L$96,MATCH(LARGE($N$20:$N$96,9),$N$20:$N$96,0))),"")</f>
        <v/>
      </c>
      <c r="C28" s="276">
        <f>IFERROR(INDEX('계좌현황'!C:C,INDEX($L$20:$L$96,MATCH(LARGE($N$20:$N$96,9),$N$20:$N$96,0))),"")</f>
        <v/>
      </c>
      <c r="D28" s="276">
        <f>IFERROR(INDEX('계좌현황'!D:D,INDEX($L$20:$L$96,MATCH(LARGE($N$20:$N$96,9),$N$20:$N$96,0))),"")</f>
        <v/>
      </c>
      <c r="E28" s="276">
        <f>IFERROR(INDEX('계좌현황'!E:E,INDEX($L$20:$L$96,MATCH(LARGE($N$20:$N$96,9),$N$20:$N$96,0))),"")</f>
        <v/>
      </c>
      <c r="F28" s="306">
        <f>IFERROR(INDEX('계좌현황'!F:F,INDEX($L$20:$L$96,MATCH(LARGE($N$20:$N$96,9),$N$20:$N$96,0))),"")</f>
        <v/>
      </c>
      <c r="G28" s="307">
        <f>IFERROR(INDEX('계좌현황'!K:K,INDEX($L$20:$L$96,MATCH(LARGE($N$20:$N$96,9),$N$20:$N$96,0))),0)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IFERROR(INDEX('계좌현황'!A:A,INDEX($L$20:$L$96,MATCH(LARGE($N$20:$N$96,10),$N$20:$N$96,0))),"")</f>
        <v/>
      </c>
      <c r="C29" s="276">
        <f>IFERROR(INDEX('계좌현황'!C:C,INDEX($L$20:$L$96,MATCH(LARGE($N$20:$N$96,10),$N$20:$N$96,0))),"")</f>
        <v/>
      </c>
      <c r="D29" s="276">
        <f>IFERROR(INDEX('계좌현황'!D:D,INDEX($L$20:$L$96,MATCH(LARGE($N$20:$N$96,10),$N$20:$N$96,0))),"")</f>
        <v/>
      </c>
      <c r="E29" s="276">
        <f>IFERROR(INDEX('계좌현황'!E:E,INDEX($L$20:$L$96,MATCH(LARGE($N$20:$N$96,10),$N$20:$N$96,0))),"")</f>
        <v/>
      </c>
      <c r="F29" s="306">
        <f>IFERROR(INDEX('계좌현황'!F:F,INDEX($L$20:$L$96,MATCH(LARGE($N$20:$N$96,10),$N$20:$N$96,0))),"")</f>
        <v/>
      </c>
      <c r="G29" s="307">
        <f>IFERROR(INDEX('계좌현황'!K:K,INDEX($L$20:$L$96,MATCH(LARGE($N$20:$N$96,10),$N$20:$N$96,0))),0)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IFERROR(INDEX('계좌현황'!A:A,INDEX($L$20:$L$96,MATCH(LARGE($N$20:$N$96,11),$N$20:$N$96,0))),"")</f>
        <v/>
      </c>
      <c r="C30" s="285">
        <f>IFERROR(INDEX('계좌현황'!C:C,INDEX($L$20:$L$96,MATCH(LARGE($N$20:$N$96,11),$N$20:$N$96,0))),"")</f>
        <v/>
      </c>
      <c r="D30" s="285">
        <f>IFERROR(INDEX('계좌현황'!D:D,INDEX($L$20:$L$96,MATCH(LARGE($N$20:$N$96,11),$N$20:$N$96,0))),"")</f>
        <v/>
      </c>
      <c r="E30" s="285">
        <f>IFERROR(INDEX('계좌현황'!E:E,INDEX($L$20:$L$96,MATCH(LARGE($N$20:$N$96,11),$N$20:$N$96,0))),"")</f>
        <v/>
      </c>
      <c r="F30" s="315">
        <f>IFERROR(INDEX('계좌현황'!F:F,INDEX($L$20:$L$96,MATCH(LARGE($N$20:$N$96,11),$N$20:$N$96,0))),"")</f>
        <v/>
      </c>
      <c r="G30" s="316">
        <f>IFERROR(INDEX('계좌현황'!K:K,INDEX($L$20:$L$96,MATCH(LARGE($N$20:$N$96,11),$N$20:$N$96,0))),0)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85" t="n">
        <v>12</v>
      </c>
      <c r="B31" s="285">
        <f>IFERROR(INDEX('계좌현황'!A:A,INDEX($L$20:$L$96,MATCH(LARGE($N$20:$N$96,12),$N$20:$N$96,0))),"")</f>
        <v/>
      </c>
      <c r="C31" s="285">
        <f>IFERROR(INDEX('계좌현황'!C:C,INDEX($L$20:$L$96,MATCH(LARGE($N$20:$N$96,12),$N$20:$N$96,0))),"")</f>
        <v/>
      </c>
      <c r="D31" s="285">
        <f>IFERROR(INDEX('계좌현황'!D:D,INDEX($L$20:$L$96,MATCH(LARGE($N$20:$N$96,12),$N$20:$N$96,0))),"")</f>
        <v/>
      </c>
      <c r="E31" s="285">
        <f>IFERROR(INDEX('계좌현황'!E:E,INDEX($L$20:$L$96,MATCH(LARGE($N$20:$N$96,12),$N$20:$N$96,0))),"")</f>
        <v/>
      </c>
      <c r="F31" s="315">
        <f>IFERROR(INDEX('계좌현황'!F:F,INDEX($L$20:$L$96,MATCH(LARGE($N$20:$N$96,12),$N$20:$N$96,0))),"")</f>
        <v/>
      </c>
      <c r="G31" s="316">
        <f>IFERROR(INDEX('계좌현황'!K:K,INDEX($L$20:$L$96,MATCH(LARGE($N$20:$N$96,12),$N$20:$N$96,0))),0)</f>
        <v/>
      </c>
      <c r="H31" s="317">
        <f>IF($B$3=0,0,G31/$B$3)</f>
        <v/>
      </c>
      <c r="I31" s="31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6" t="n">
        <v>13</v>
      </c>
      <c r="B32" s="276">
        <f>IFERROR(INDEX('계좌현황'!A:A,INDEX($L$20:$L$96,MATCH(LARGE($N$20:$N$96,13),$N$20:$N$96,0))),"")</f>
        <v/>
      </c>
      <c r="C32" s="276">
        <f>IFERROR(INDEX('계좌현황'!C:C,INDEX($L$20:$L$96,MATCH(LARGE($N$20:$N$96,13),$N$20:$N$96,0))),"")</f>
        <v/>
      </c>
      <c r="D32" s="276">
        <f>IFERROR(INDEX('계좌현황'!D:D,INDEX($L$20:$L$96,MATCH(LARGE($N$20:$N$96,13),$N$20:$N$96,0))),"")</f>
        <v/>
      </c>
      <c r="E32" s="276">
        <f>IFERROR(INDEX('계좌현황'!E:E,INDEX($L$20:$L$96,MATCH(LARGE($N$20:$N$96,13),$N$20:$N$96,0))),"")</f>
        <v/>
      </c>
      <c r="F32" s="306">
        <f>IFERROR(INDEX('계좌현황'!F:F,INDEX($L$20:$L$96,MATCH(LARGE($N$20:$N$96,13),$N$20:$N$96,0))),"")</f>
        <v/>
      </c>
      <c r="G32" s="307">
        <f>IFERROR(INDEX('계좌현황'!K:K,INDEX($L$20:$L$96,MATCH(LARGE($N$20:$N$96,13),$N$20:$N$96,0))),0)</f>
        <v/>
      </c>
      <c r="H32" s="308">
        <f>IF($B$3=0,0,G32/$B$3)</f>
        <v/>
      </c>
      <c r="I32" s="308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IFERROR(INDEX('계좌현황'!A:A,INDEX($L$20:$L$96,MATCH(LARGE($N$20:$N$96,14),$N$20:$N$96,0))),"")</f>
        <v/>
      </c>
      <c r="C33" s="279">
        <f>IFERROR(INDEX('계좌현황'!C:C,INDEX($L$20:$L$96,MATCH(LARGE($N$20:$N$96,14),$N$20:$N$96,0))),"")</f>
        <v/>
      </c>
      <c r="D33" s="279">
        <f>IFERROR(INDEX('계좌현황'!D:D,INDEX($L$20:$L$96,MATCH(LARGE($N$20:$N$96,14),$N$20:$N$96,0))),"")</f>
        <v/>
      </c>
      <c r="E33" s="279">
        <f>IFERROR(INDEX('계좌현황'!E:E,INDEX($L$20:$L$96,MATCH(LARGE($N$20:$N$96,14),$N$20:$N$96,0))),"")</f>
        <v/>
      </c>
      <c r="F33" s="309">
        <f>IFERROR(INDEX('계좌현황'!F:F,INDEX($L$20:$L$96,MATCH(LARGE($N$20:$N$96,14),$N$20:$N$96,0))),"")</f>
        <v/>
      </c>
      <c r="G33" s="310">
        <f>IFERROR(INDEX('계좌현황'!K:K,INDEX($L$20:$L$96,MATCH(LARGE($N$20:$N$96,14),$N$20:$N$96,0))),0)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IFERROR(INDEX('계좌현황'!A:A,INDEX($L$20:$L$96,MATCH(LARGE($N$20:$N$96,15),$N$20:$N$96,0))),"")</f>
        <v/>
      </c>
      <c r="C34" s="279">
        <f>IFERROR(INDEX('계좌현황'!C:C,INDEX($L$20:$L$96,MATCH(LARGE($N$20:$N$96,15),$N$20:$N$96,0))),"")</f>
        <v/>
      </c>
      <c r="D34" s="279">
        <f>IFERROR(INDEX('계좌현황'!D:D,INDEX($L$20:$L$96,MATCH(LARGE($N$20:$N$96,15),$N$20:$N$96,0))),"")</f>
        <v/>
      </c>
      <c r="E34" s="279">
        <f>IFERROR(INDEX('계좌현황'!E:E,INDEX($L$20:$L$96,MATCH(LARGE($N$20:$N$96,15),$N$20:$N$96,0))),"")</f>
        <v/>
      </c>
      <c r="F34" s="309">
        <f>IFERROR(INDEX('계좌현황'!F:F,INDEX($L$20:$L$96,MATCH(LARGE($N$20:$N$96,15),$N$20:$N$96,0))),"")</f>
        <v/>
      </c>
      <c r="G34" s="310">
        <f>IFERROR(INDEX('계좌현황'!K:K,INDEX($L$20:$L$96,MATCH(LARGE($N$20:$N$96,15),$N$20:$N$96,0))),0)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IFERROR(INDEX('계좌현황'!A:A,INDEX($L$20:$L$96,MATCH(LARGE($N$20:$N$96,16),$N$20:$N$96,0))),"")</f>
        <v/>
      </c>
      <c r="C35" s="288">
        <f>IFERROR(INDEX('계좌현황'!C:C,INDEX($L$20:$L$96,MATCH(LARGE($N$20:$N$96,16),$N$20:$N$96,0))),"")</f>
        <v/>
      </c>
      <c r="D35" s="288">
        <f>IFERROR(INDEX('계좌현황'!D:D,INDEX($L$20:$L$96,MATCH(LARGE($N$20:$N$96,16),$N$20:$N$96,0))),"")</f>
        <v/>
      </c>
      <c r="E35" s="288">
        <f>IFERROR(INDEX('계좌현황'!E:E,INDEX($L$20:$L$96,MATCH(LARGE($N$20:$N$96,16),$N$20:$N$96,0))),"")</f>
        <v/>
      </c>
      <c r="F35" s="318">
        <f>IFERROR(INDEX('계좌현황'!F:F,INDEX($L$20:$L$96,MATCH(LARGE($N$20:$N$96,16),$N$20:$N$96,0))),"")</f>
        <v/>
      </c>
      <c r="G35" s="319">
        <f>IFERROR(INDEX('계좌현황'!K:K,INDEX($L$20:$L$96,MATCH(LARGE($N$20:$N$96,16),$N$20:$N$96,0))),0)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IFERROR(INDEX('계좌현황'!A:A,INDEX($L$20:$L$96,MATCH(LARGE($N$20:$N$96,17),$N$20:$N$96,0))),"")</f>
        <v/>
      </c>
      <c r="C36" s="294">
        <f>IFERROR(INDEX('계좌현황'!C:C,INDEX($L$20:$L$96,MATCH(LARGE($N$20:$N$96,17),$N$20:$N$96,0))),"")</f>
        <v/>
      </c>
      <c r="D36" s="294">
        <f>IFERROR(INDEX('계좌현황'!D:D,INDEX($L$20:$L$96,MATCH(LARGE($N$20:$N$96,17),$N$20:$N$96,0))),"")</f>
        <v/>
      </c>
      <c r="E36" s="294">
        <f>IFERROR(INDEX('계좌현황'!E:E,INDEX($L$20:$L$96,MATCH(LARGE($N$20:$N$96,17),$N$20:$N$96,0))),"")</f>
        <v/>
      </c>
      <c r="F36" s="324">
        <f>IFERROR(INDEX('계좌현황'!F:F,INDEX($L$20:$L$96,MATCH(LARGE($N$20:$N$96,17),$N$20:$N$96,0))),"")</f>
        <v/>
      </c>
      <c r="G36" s="325">
        <f>IFERROR(INDEX('계좌현황'!K:K,INDEX($L$20:$L$96,MATCH(LARGE($N$20:$N$96,17),$N$20:$N$96,0))),0)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IFERROR(INDEX('계좌현황'!A:A,INDEX($L$20:$L$96,MATCH(LARGE($N$20:$N$96,18),$N$20:$N$96,0))),"")</f>
        <v/>
      </c>
      <c r="C37" s="288">
        <f>IFERROR(INDEX('계좌현황'!C:C,INDEX($L$20:$L$96,MATCH(LARGE($N$20:$N$96,18),$N$20:$N$96,0))),"")</f>
        <v/>
      </c>
      <c r="D37" s="288">
        <f>IFERROR(INDEX('계좌현황'!D:D,INDEX($L$20:$L$96,MATCH(LARGE($N$20:$N$96,18),$N$20:$N$96,0))),"")</f>
        <v/>
      </c>
      <c r="E37" s="288">
        <f>IFERROR(INDEX('계좌현황'!E:E,INDEX($L$20:$L$96,MATCH(LARGE($N$20:$N$96,18),$N$20:$N$96,0))),"")</f>
        <v/>
      </c>
      <c r="F37" s="318">
        <f>IFERROR(INDEX('계좌현황'!F:F,INDEX($L$20:$L$96,MATCH(LARGE($N$20:$N$96,18),$N$20:$N$96,0))),"")</f>
        <v/>
      </c>
      <c r="G37" s="319">
        <f>IFERROR(INDEX('계좌현황'!K:K,INDEX($L$20:$L$96,MATCH(LARGE($N$20:$N$96,18),$N$20:$N$96,0))),0)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IFERROR(INDEX('계좌현황'!A:A,INDEX($L$20:$L$96,MATCH(LARGE($N$20:$N$96,19),$N$20:$N$96,0))),"")</f>
        <v/>
      </c>
      <c r="C38" s="282">
        <f>IFERROR(INDEX('계좌현황'!C:C,INDEX($L$20:$L$96,MATCH(LARGE($N$20:$N$96,19),$N$20:$N$96,0))),"")</f>
        <v/>
      </c>
      <c r="D38" s="282">
        <f>IFERROR(INDEX('계좌현황'!D:D,INDEX($L$20:$L$96,MATCH(LARGE($N$20:$N$96,19),$N$20:$N$96,0))),"")</f>
        <v/>
      </c>
      <c r="E38" s="282">
        <f>IFERROR(INDEX('계좌현황'!E:E,INDEX($L$20:$L$96,MATCH(LARGE($N$20:$N$96,19),$N$20:$N$96,0))),"")</f>
        <v/>
      </c>
      <c r="F38" s="312">
        <f>IFERROR(INDEX('계좌현황'!F:F,INDEX($L$20:$L$96,MATCH(LARGE($N$20:$N$96,19),$N$20:$N$96,0))),"")</f>
        <v/>
      </c>
      <c r="G38" s="313">
        <f>IFERROR(INDEX('계좌현황'!K:K,INDEX($L$20:$L$96,MATCH(LARGE($N$20:$N$96,19),$N$20:$N$96,0))),0)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8" t="n">
        <v>20</v>
      </c>
      <c r="B39" s="288">
        <f>IFERROR(INDEX('계좌현황'!A:A,INDEX($L$20:$L$96,MATCH(LARGE($N$20:$N$96,20),$N$20:$N$96,0))),"")</f>
        <v/>
      </c>
      <c r="C39" s="288">
        <f>IFERROR(INDEX('계좌현황'!C:C,INDEX($L$20:$L$96,MATCH(LARGE($N$20:$N$96,20),$N$20:$N$96,0))),"")</f>
        <v/>
      </c>
      <c r="D39" s="288">
        <f>IFERROR(INDEX('계좌현황'!D:D,INDEX($L$20:$L$96,MATCH(LARGE($N$20:$N$96,20),$N$20:$N$96,0))),"")</f>
        <v/>
      </c>
      <c r="E39" s="288">
        <f>IFERROR(INDEX('계좌현황'!E:E,INDEX($L$20:$L$96,MATCH(LARGE($N$20:$N$96,20),$N$20:$N$96,0))),"")</f>
        <v/>
      </c>
      <c r="F39" s="318">
        <f>IFERROR(INDEX('계좌현황'!F:F,INDEX($L$20:$L$96,MATCH(LARGE($N$20:$N$96,20),$N$20:$N$96,0))),"")</f>
        <v/>
      </c>
      <c r="G39" s="319">
        <f>IFERROR(INDEX('계좌현황'!K:K,INDEX($L$20:$L$96,MATCH(LARGE($N$20:$N$96,20),$N$20:$N$96,0))),0)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IFERROR(INDEX('계좌현황'!A:A,INDEX($L$20:$L$96,MATCH(LARGE($N$20:$N$96,21),$N$20:$N$96,0))),"")</f>
        <v/>
      </c>
      <c r="C40" s="294">
        <f>IFERROR(INDEX('계좌현황'!C:C,INDEX($L$20:$L$96,MATCH(LARGE($N$20:$N$96,21),$N$20:$N$96,0))),"")</f>
        <v/>
      </c>
      <c r="D40" s="294">
        <f>IFERROR(INDEX('계좌현황'!D:D,INDEX($L$20:$L$96,MATCH(LARGE($N$20:$N$96,21),$N$20:$N$96,0))),"")</f>
        <v/>
      </c>
      <c r="E40" s="294">
        <f>IFERROR(INDEX('계좌현황'!E:E,INDEX($L$20:$L$96,MATCH(LARGE($N$20:$N$96,21),$N$20:$N$96,0))),"")</f>
        <v/>
      </c>
      <c r="F40" s="324">
        <f>IFERROR(INDEX('계좌현황'!F:F,INDEX($L$20:$L$96,MATCH(LARGE($N$20:$N$96,21),$N$20:$N$96,0))),"")</f>
        <v/>
      </c>
      <c r="G40" s="325">
        <f>IFERROR(INDEX('계좌현황'!K:K,INDEX($L$20:$L$96,MATCH(LARGE($N$20:$N$96,21),$N$20:$N$96,0))),0)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IFERROR(INDEX('계좌현황'!A:A,INDEX($L$20:$L$96,MATCH(LARGE($N$20:$N$96,22),$N$20:$N$96,0))),"")</f>
        <v/>
      </c>
      <c r="C41" s="294">
        <f>IFERROR(INDEX('계좌현황'!C:C,INDEX($L$20:$L$96,MATCH(LARGE($N$20:$N$96,22),$N$20:$N$96,0))),"")</f>
        <v/>
      </c>
      <c r="D41" s="294">
        <f>IFERROR(INDEX('계좌현황'!D:D,INDEX($L$20:$L$96,MATCH(LARGE($N$20:$N$96,22),$N$20:$N$96,0))),"")</f>
        <v/>
      </c>
      <c r="E41" s="294">
        <f>IFERROR(INDEX('계좌현황'!E:E,INDEX($L$20:$L$96,MATCH(LARGE($N$20:$N$96,22),$N$20:$N$96,0))),"")</f>
        <v/>
      </c>
      <c r="F41" s="324">
        <f>IFERROR(INDEX('계좌현황'!F:F,INDEX($L$20:$L$96,MATCH(LARGE($N$20:$N$96,22),$N$20:$N$96,0))),"")</f>
        <v/>
      </c>
      <c r="G41" s="325">
        <f>IFERROR(INDEX('계좌현황'!K:K,INDEX($L$20:$L$96,MATCH(LARGE($N$20:$N$96,22),$N$20:$N$96,0))),0)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IFERROR(INDEX('계좌현황'!A:A,INDEX($L$20:$L$96,MATCH(LARGE($N$20:$N$96,23),$N$20:$N$96,0))),"")</f>
        <v/>
      </c>
      <c r="C42" s="288">
        <f>IFERROR(INDEX('계좌현황'!C:C,INDEX($L$20:$L$96,MATCH(LARGE($N$20:$N$96,23),$N$20:$N$96,0))),"")</f>
        <v/>
      </c>
      <c r="D42" s="288">
        <f>IFERROR(INDEX('계좌현황'!D:D,INDEX($L$20:$L$96,MATCH(LARGE($N$20:$N$96,23),$N$20:$N$96,0))),"")</f>
        <v/>
      </c>
      <c r="E42" s="288">
        <f>IFERROR(INDEX('계좌현황'!E:E,INDEX($L$20:$L$96,MATCH(LARGE($N$20:$N$96,23),$N$20:$N$96,0))),"")</f>
        <v/>
      </c>
      <c r="F42" s="318">
        <f>IFERROR(INDEX('계좌현황'!F:F,INDEX($L$20:$L$96,MATCH(LARGE($N$20:$N$96,23),$N$20:$N$96,0))),"")</f>
        <v/>
      </c>
      <c r="G42" s="319">
        <f>IFERROR(INDEX('계좌현황'!K:K,INDEX($L$20:$L$96,MATCH(LARGE($N$20:$N$96,23),$N$20:$N$96,0))),0)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IFERROR(INDEX('계좌현황'!A:A,INDEX($L$20:$L$96,MATCH(LARGE($N$20:$N$96,24),$N$20:$N$96,0))),"")</f>
        <v/>
      </c>
      <c r="C43" s="276">
        <f>IFERROR(INDEX('계좌현황'!C:C,INDEX($L$20:$L$96,MATCH(LARGE($N$20:$N$96,24),$N$20:$N$96,0))),"")</f>
        <v/>
      </c>
      <c r="D43" s="276">
        <f>IFERROR(INDEX('계좌현황'!D:D,INDEX($L$20:$L$96,MATCH(LARGE($N$20:$N$96,24),$N$20:$N$96,0))),"")</f>
        <v/>
      </c>
      <c r="E43" s="276">
        <f>IFERROR(INDEX('계좌현황'!E:E,INDEX($L$20:$L$96,MATCH(LARGE($N$20:$N$96,24),$N$20:$N$96,0))),"")</f>
        <v/>
      </c>
      <c r="F43" s="306">
        <f>IFERROR(INDEX('계좌현황'!F:F,INDEX($L$20:$L$96,MATCH(LARGE($N$20:$N$96,24),$N$20:$N$96,0))),"")</f>
        <v/>
      </c>
      <c r="G43" s="307">
        <f>IFERROR(INDEX('계좌현황'!K:K,INDEX($L$20:$L$96,MATCH(LARGE($N$20:$N$96,24),$N$20:$N$96,0))),0)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4" t="n">
        <v>25</v>
      </c>
      <c r="B44" s="294">
        <f>IFERROR(INDEX('계좌현황'!A:A,INDEX($L$20:$L$96,MATCH(LARGE($N$20:$N$96,25),$N$20:$N$96,0))),"")</f>
        <v/>
      </c>
      <c r="C44" s="294">
        <f>IFERROR(INDEX('계좌현황'!C:C,INDEX($L$20:$L$96,MATCH(LARGE($N$20:$N$96,25),$N$20:$N$96,0))),"")</f>
        <v/>
      </c>
      <c r="D44" s="294">
        <f>IFERROR(INDEX('계좌현황'!D:D,INDEX($L$20:$L$96,MATCH(LARGE($N$20:$N$96,25),$N$20:$N$96,0))),"")</f>
        <v/>
      </c>
      <c r="E44" s="294">
        <f>IFERROR(INDEX('계좌현황'!E:E,INDEX($L$20:$L$96,MATCH(LARGE($N$20:$N$96,25),$N$20:$N$96,0))),"")</f>
        <v/>
      </c>
      <c r="F44" s="324">
        <f>IFERROR(INDEX('계좌현황'!F:F,INDEX($L$20:$L$96,MATCH(LARGE($N$20:$N$96,25),$N$20:$N$96,0))),"")</f>
        <v/>
      </c>
      <c r="G44" s="325">
        <f>IFERROR(INDEX('계좌현황'!K:K,INDEX($L$20:$L$96,MATCH(LARGE($N$20:$N$96,25),$N$20:$N$96,0))),0)</f>
        <v/>
      </c>
      <c r="H44" s="326">
        <f>IF($B$3=0,0,G44/$B$3)</f>
        <v/>
      </c>
      <c r="I44" s="32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IFERROR(INDEX('계좌현황'!A:A,INDEX($L$20:$L$96,MATCH(LARGE($N$20:$N$96,26),$N$20:$N$96,0))),"")</f>
        <v/>
      </c>
      <c r="C45" s="285">
        <f>IFERROR(INDEX('계좌현황'!C:C,INDEX($L$20:$L$96,MATCH(LARGE($N$20:$N$96,26),$N$20:$N$96,0))),"")</f>
        <v/>
      </c>
      <c r="D45" s="285">
        <f>IFERROR(INDEX('계좌현황'!D:D,INDEX($L$20:$L$96,MATCH(LARGE($N$20:$N$96,26),$N$20:$N$96,0))),"")</f>
        <v/>
      </c>
      <c r="E45" s="285">
        <f>IFERROR(INDEX('계좌현황'!E:E,INDEX($L$20:$L$96,MATCH(LARGE($N$20:$N$96,26),$N$20:$N$96,0))),"")</f>
        <v/>
      </c>
      <c r="F45" s="315">
        <f>IFERROR(INDEX('계좌현황'!F:F,INDEX($L$20:$L$96,MATCH(LARGE($N$20:$N$96,26),$N$20:$N$96,0))),"")</f>
        <v/>
      </c>
      <c r="G45" s="316">
        <f>IFERROR(INDEX('계좌현황'!K:K,INDEX($L$20:$L$96,MATCH(LARGE($N$20:$N$96,26),$N$20:$N$96,0))),0)</f>
        <v/>
      </c>
      <c r="H45" s="317">
        <f>IF($B$3=0,0,G45/$B$3)</f>
        <v/>
      </c>
      <c r="I45" s="317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IFERROR(INDEX('계좌현황'!A:A,INDEX($L$20:$L$96,MATCH(LARGE($N$20:$N$96,27),$N$20:$N$96,0))),"")</f>
        <v/>
      </c>
      <c r="C46" s="285">
        <f>IFERROR(INDEX('계좌현황'!C:C,INDEX($L$20:$L$96,MATCH(LARGE($N$20:$N$96,27),$N$20:$N$96,0))),"")</f>
        <v/>
      </c>
      <c r="D46" s="285">
        <f>IFERROR(INDEX('계좌현황'!D:D,INDEX($L$20:$L$96,MATCH(LARGE($N$20:$N$96,27),$N$20:$N$96,0))),"")</f>
        <v/>
      </c>
      <c r="E46" s="285">
        <f>IFERROR(INDEX('계좌현황'!E:E,INDEX($L$20:$L$96,MATCH(LARGE($N$20:$N$96,27),$N$20:$N$96,0))),"")</f>
        <v/>
      </c>
      <c r="F46" s="315">
        <f>IFERROR(INDEX('계좌현황'!F:F,INDEX($L$20:$L$96,MATCH(LARGE($N$20:$N$96,27),$N$20:$N$96,0))),"")</f>
        <v/>
      </c>
      <c r="G46" s="316">
        <f>IFERROR(INDEX('계좌현황'!K:K,INDEX($L$20:$L$96,MATCH(LARGE($N$20:$N$96,27),$N$20:$N$96,0))),0)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IFERROR(INDEX('계좌현황'!A:A,INDEX($L$20:$L$96,MATCH(LARGE($N$20:$N$96,28),$N$20:$N$96,0))),"")</f>
        <v/>
      </c>
      <c r="C47" s="288">
        <f>IFERROR(INDEX('계좌현황'!C:C,INDEX($L$20:$L$96,MATCH(LARGE($N$20:$N$96,28),$N$20:$N$96,0))),"")</f>
        <v/>
      </c>
      <c r="D47" s="288">
        <f>IFERROR(INDEX('계좌현황'!D:D,INDEX($L$20:$L$96,MATCH(LARGE($N$20:$N$96,28),$N$20:$N$96,0))),"")</f>
        <v/>
      </c>
      <c r="E47" s="288">
        <f>IFERROR(INDEX('계좌현황'!E:E,INDEX($L$20:$L$96,MATCH(LARGE($N$20:$N$96,28),$N$20:$N$96,0))),"")</f>
        <v/>
      </c>
      <c r="F47" s="318">
        <f>IFERROR(INDEX('계좌현황'!F:F,INDEX($L$20:$L$96,MATCH(LARGE($N$20:$N$96,28),$N$20:$N$96,0))),"")</f>
        <v/>
      </c>
      <c r="G47" s="319">
        <f>IFERROR(INDEX('계좌현황'!K:K,INDEX($L$20:$L$96,MATCH(LARGE($N$20:$N$96,28),$N$20:$N$96,0))),0)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IFERROR(INDEX('계좌현황'!A:A,INDEX($L$20:$L$96,MATCH(LARGE($N$20:$N$96,29),$N$20:$N$96,0))),"")</f>
        <v/>
      </c>
      <c r="C48" s="282">
        <f>IFERROR(INDEX('계좌현황'!C:C,INDEX($L$20:$L$96,MATCH(LARGE($N$20:$N$96,29),$N$20:$N$96,0))),"")</f>
        <v/>
      </c>
      <c r="D48" s="282">
        <f>IFERROR(INDEX('계좌현황'!D:D,INDEX($L$20:$L$96,MATCH(LARGE($N$20:$N$96,29),$N$20:$N$96,0))),"")</f>
        <v/>
      </c>
      <c r="E48" s="282">
        <f>IFERROR(INDEX('계좌현황'!E:E,INDEX($L$20:$L$96,MATCH(LARGE($N$20:$N$96,29),$N$20:$N$96,0))),"")</f>
        <v/>
      </c>
      <c r="F48" s="312">
        <f>IFERROR(INDEX('계좌현황'!F:F,INDEX($L$20:$L$96,MATCH(LARGE($N$20:$N$96,29),$N$20:$N$96,0))),"")</f>
        <v/>
      </c>
      <c r="G48" s="313">
        <f>IFERROR(INDEX('계좌현황'!K:K,INDEX($L$20:$L$96,MATCH(LARGE($N$20:$N$96,29),$N$20:$N$96,0))),0)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IFERROR(INDEX('계좌현황'!A:A,INDEX($L$20:$L$96,MATCH(LARGE($N$20:$N$96,30),$N$20:$N$96,0))),"")</f>
        <v/>
      </c>
      <c r="C49" s="288">
        <f>IFERROR(INDEX('계좌현황'!C:C,INDEX($L$20:$L$96,MATCH(LARGE($N$20:$N$96,30),$N$20:$N$96,0))),"")</f>
        <v/>
      </c>
      <c r="D49" s="288">
        <f>IFERROR(INDEX('계좌현황'!D:D,INDEX($L$20:$L$96,MATCH(LARGE($N$20:$N$96,30),$N$20:$N$96,0))),"")</f>
        <v/>
      </c>
      <c r="E49" s="288">
        <f>IFERROR(INDEX('계좌현황'!E:E,INDEX($L$20:$L$96,MATCH(LARGE($N$20:$N$96,30),$N$20:$N$96,0))),"")</f>
        <v/>
      </c>
      <c r="F49" s="318">
        <f>IFERROR(INDEX('계좌현황'!F:F,INDEX($L$20:$L$96,MATCH(LARGE($N$20:$N$96,30),$N$20:$N$96,0))),"")</f>
        <v/>
      </c>
      <c r="G49" s="319">
        <f>IFERROR(INDEX('계좌현황'!K:K,INDEX($L$20:$L$96,MATCH(LARGE($N$20:$N$96,30),$N$20:$N$96,0))),0)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IFERROR(INDEX('계좌현황'!A:A,INDEX($L$20:$L$96,MATCH(LARGE($N$20:$N$96,31),$N$20:$N$96,0))),"")</f>
        <v/>
      </c>
      <c r="C50" s="288">
        <f>IFERROR(INDEX('계좌현황'!C:C,INDEX($L$20:$L$96,MATCH(LARGE($N$20:$N$96,31),$N$20:$N$96,0))),"")</f>
        <v/>
      </c>
      <c r="D50" s="288">
        <f>IFERROR(INDEX('계좌현황'!D:D,INDEX($L$20:$L$96,MATCH(LARGE($N$20:$N$96,31),$N$20:$N$96,0))),"")</f>
        <v/>
      </c>
      <c r="E50" s="288">
        <f>IFERROR(INDEX('계좌현황'!E:E,INDEX($L$20:$L$96,MATCH(LARGE($N$20:$N$96,31),$N$20:$N$96,0))),"")</f>
        <v/>
      </c>
      <c r="F50" s="318">
        <f>IFERROR(INDEX('계좌현황'!F:F,INDEX($L$20:$L$96,MATCH(LARGE($N$20:$N$96,31),$N$20:$N$96,0))),"")</f>
        <v/>
      </c>
      <c r="G50" s="319">
        <f>IFERROR(INDEX('계좌현황'!K:K,INDEX($L$20:$L$96,MATCH(LARGE($N$20:$N$96,31),$N$20:$N$96,0))),0)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IFERROR(INDEX('계좌현황'!A:A,INDEX($L$20:$L$96,MATCH(LARGE($N$20:$N$96,32),$N$20:$N$96,0))),"")</f>
        <v/>
      </c>
      <c r="C51" s="279">
        <f>IFERROR(INDEX('계좌현황'!C:C,INDEX($L$20:$L$96,MATCH(LARGE($N$20:$N$96,32),$N$20:$N$96,0))),"")</f>
        <v/>
      </c>
      <c r="D51" s="279">
        <f>IFERROR(INDEX('계좌현황'!D:D,INDEX($L$20:$L$96,MATCH(LARGE($N$20:$N$96,32),$N$20:$N$96,0))),"")</f>
        <v/>
      </c>
      <c r="E51" s="279">
        <f>IFERROR(INDEX('계좌현황'!E:E,INDEX($L$20:$L$96,MATCH(LARGE($N$20:$N$96,32),$N$20:$N$96,0))),"")</f>
        <v/>
      </c>
      <c r="F51" s="309">
        <f>IFERROR(INDEX('계좌현황'!F:F,INDEX($L$20:$L$96,MATCH(LARGE($N$20:$N$96,32),$N$20:$N$96,0))),"")</f>
        <v/>
      </c>
      <c r="G51" s="310">
        <f>IFERROR(INDEX('계좌현황'!K:K,INDEX($L$20:$L$96,MATCH(LARGE($N$20:$N$96,32),$N$20:$N$96,0))),0)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IFERROR(INDEX('계좌현황'!A:A,INDEX($L$20:$L$96,MATCH(LARGE($N$20:$N$96,33),$N$20:$N$96,0))),"")</f>
        <v/>
      </c>
      <c r="C52" s="288">
        <f>IFERROR(INDEX('계좌현황'!C:C,INDEX($L$20:$L$96,MATCH(LARGE($N$20:$N$96,33),$N$20:$N$96,0))),"")</f>
        <v/>
      </c>
      <c r="D52" s="288">
        <f>IFERROR(INDEX('계좌현황'!D:D,INDEX($L$20:$L$96,MATCH(LARGE($N$20:$N$96,33),$N$20:$N$96,0))),"")</f>
        <v/>
      </c>
      <c r="E52" s="288">
        <f>IFERROR(INDEX('계좌현황'!E:E,INDEX($L$20:$L$96,MATCH(LARGE($N$20:$N$96,33),$N$20:$N$96,0))),"")</f>
        <v/>
      </c>
      <c r="F52" s="318">
        <f>IFERROR(INDEX('계좌현황'!F:F,INDEX($L$20:$L$96,MATCH(LARGE($N$20:$N$96,33),$N$20:$N$96,0))),"")</f>
        <v/>
      </c>
      <c r="G52" s="319">
        <f>IFERROR(INDEX('계좌현황'!K:K,INDEX($L$20:$L$96,MATCH(LARGE($N$20:$N$96,33),$N$20:$N$96,0))),0)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IFERROR(INDEX('계좌현황'!A:A,INDEX($L$20:$L$96,MATCH(LARGE($N$20:$N$96,34),$N$20:$N$96,0))),"")</f>
        <v/>
      </c>
      <c r="C53" s="285">
        <f>IFERROR(INDEX('계좌현황'!C:C,INDEX($L$20:$L$96,MATCH(LARGE($N$20:$N$96,34),$N$20:$N$96,0))),"")</f>
        <v/>
      </c>
      <c r="D53" s="285">
        <f>IFERROR(INDEX('계좌현황'!D:D,INDEX($L$20:$L$96,MATCH(LARGE($N$20:$N$96,34),$N$20:$N$96,0))),"")</f>
        <v/>
      </c>
      <c r="E53" s="285">
        <f>IFERROR(INDEX('계좌현황'!E:E,INDEX($L$20:$L$96,MATCH(LARGE($N$20:$N$96,34),$N$20:$N$96,0))),"")</f>
        <v/>
      </c>
      <c r="F53" s="315">
        <f>IFERROR(INDEX('계좌현황'!F:F,INDEX($L$20:$L$96,MATCH(LARGE($N$20:$N$96,34),$N$20:$N$96,0))),"")</f>
        <v/>
      </c>
      <c r="G53" s="316">
        <f>IFERROR(INDEX('계좌현황'!K:K,INDEX($L$20:$L$96,MATCH(LARGE($N$20:$N$96,34),$N$20:$N$96,0))),0)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IFERROR(INDEX('계좌현황'!A:A,INDEX($L$20:$L$96,MATCH(LARGE($N$20:$N$96,35),$N$20:$N$96,0))),"")</f>
        <v/>
      </c>
      <c r="C54" s="285">
        <f>IFERROR(INDEX('계좌현황'!C:C,INDEX($L$20:$L$96,MATCH(LARGE($N$20:$N$96,35),$N$20:$N$96,0))),"")</f>
        <v/>
      </c>
      <c r="D54" s="285">
        <f>IFERROR(INDEX('계좌현황'!D:D,INDEX($L$20:$L$96,MATCH(LARGE($N$20:$N$96,35),$N$20:$N$96,0))),"")</f>
        <v/>
      </c>
      <c r="E54" s="285">
        <f>IFERROR(INDEX('계좌현황'!E:E,INDEX($L$20:$L$96,MATCH(LARGE($N$20:$N$96,35),$N$20:$N$96,0))),"")</f>
        <v/>
      </c>
      <c r="F54" s="315">
        <f>IFERROR(INDEX('계좌현황'!F:F,INDEX($L$20:$L$96,MATCH(LARGE($N$20:$N$96,35),$N$20:$N$96,0))),"")</f>
        <v/>
      </c>
      <c r="G54" s="316">
        <f>IFERROR(INDEX('계좌현황'!K:K,INDEX($L$20:$L$96,MATCH(LARGE($N$20:$N$96,35),$N$20:$N$96,0))),0)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IFERROR(INDEX('계좌현황'!A:A,INDEX($L$20:$L$96,MATCH(LARGE($N$20:$N$96,36),$N$20:$N$96,0))),"")</f>
        <v/>
      </c>
      <c r="C55" s="288">
        <f>IFERROR(INDEX('계좌현황'!C:C,INDEX($L$20:$L$96,MATCH(LARGE($N$20:$N$96,36),$N$20:$N$96,0))),"")</f>
        <v/>
      </c>
      <c r="D55" s="288">
        <f>IFERROR(INDEX('계좌현황'!D:D,INDEX($L$20:$L$96,MATCH(LARGE($N$20:$N$96,36),$N$20:$N$96,0))),"")</f>
        <v/>
      </c>
      <c r="E55" s="288">
        <f>IFERROR(INDEX('계좌현황'!E:E,INDEX($L$20:$L$96,MATCH(LARGE($N$20:$N$96,36),$N$20:$N$96,0))),"")</f>
        <v/>
      </c>
      <c r="F55" s="318">
        <f>IFERROR(INDEX('계좌현황'!F:F,INDEX($L$20:$L$96,MATCH(LARGE($N$20:$N$96,36),$N$20:$N$96,0))),"")</f>
        <v/>
      </c>
      <c r="G55" s="319">
        <f>IFERROR(INDEX('계좌현황'!K:K,INDEX($L$20:$L$96,MATCH(LARGE($N$20:$N$96,36),$N$20:$N$96,0))),0)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IFERROR(INDEX('계좌현황'!A:A,INDEX($L$20:$L$96,MATCH(LARGE($N$20:$N$96,37),$N$20:$N$96,0))),"")</f>
        <v/>
      </c>
      <c r="C56" s="288">
        <f>IFERROR(INDEX('계좌현황'!C:C,INDEX($L$20:$L$96,MATCH(LARGE($N$20:$N$96,37),$N$20:$N$96,0))),"")</f>
        <v/>
      </c>
      <c r="D56" s="288">
        <f>IFERROR(INDEX('계좌현황'!D:D,INDEX($L$20:$L$96,MATCH(LARGE($N$20:$N$96,37),$N$20:$N$96,0))),"")</f>
        <v/>
      </c>
      <c r="E56" s="288">
        <f>IFERROR(INDEX('계좌현황'!E:E,INDEX($L$20:$L$96,MATCH(LARGE($N$20:$N$96,37),$N$20:$N$96,0))),"")</f>
        <v/>
      </c>
      <c r="F56" s="318">
        <f>IFERROR(INDEX('계좌현황'!F:F,INDEX($L$20:$L$96,MATCH(LARGE($N$20:$N$96,37),$N$20:$N$96,0))),"")</f>
        <v/>
      </c>
      <c r="G56" s="319">
        <f>IFERROR(INDEX('계좌현황'!K:K,INDEX($L$20:$L$96,MATCH(LARGE($N$20:$N$96,37),$N$20:$N$96,0))),0)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IFERROR(INDEX('계좌현황'!A:A,INDEX($L$20:$L$96,MATCH(LARGE($N$20:$N$96,38),$N$20:$N$96,0))),"")</f>
        <v/>
      </c>
      <c r="C57" s="288">
        <f>IFERROR(INDEX('계좌현황'!C:C,INDEX($L$20:$L$96,MATCH(LARGE($N$20:$N$96,38),$N$20:$N$96,0))),"")</f>
        <v/>
      </c>
      <c r="D57" s="288">
        <f>IFERROR(INDEX('계좌현황'!D:D,INDEX($L$20:$L$96,MATCH(LARGE($N$20:$N$96,38),$N$20:$N$96,0))),"")</f>
        <v/>
      </c>
      <c r="E57" s="288">
        <f>IFERROR(INDEX('계좌현황'!E:E,INDEX($L$20:$L$96,MATCH(LARGE($N$20:$N$96,38),$N$20:$N$96,0))),"")</f>
        <v/>
      </c>
      <c r="F57" s="318">
        <f>IFERROR(INDEX('계좌현황'!F:F,INDEX($L$20:$L$96,MATCH(LARGE($N$20:$N$96,38),$N$20:$N$96,0))),"")</f>
        <v/>
      </c>
      <c r="G57" s="319">
        <f>IFERROR(INDEX('계좌현황'!K:K,INDEX($L$20:$L$96,MATCH(LARGE($N$20:$N$96,38),$N$20:$N$96,0))),0)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IFERROR(INDEX('계좌현황'!A:A,INDEX($L$20:$L$96,MATCH(LARGE($N$20:$N$96,39),$N$20:$N$96,0))),"")</f>
        <v/>
      </c>
      <c r="C58" s="285">
        <f>IFERROR(INDEX('계좌현황'!C:C,INDEX($L$20:$L$96,MATCH(LARGE($N$20:$N$96,39),$N$20:$N$96,0))),"")</f>
        <v/>
      </c>
      <c r="D58" s="285">
        <f>IFERROR(INDEX('계좌현황'!D:D,INDEX($L$20:$L$96,MATCH(LARGE($N$20:$N$96,39),$N$20:$N$96,0))),"")</f>
        <v/>
      </c>
      <c r="E58" s="285">
        <f>IFERROR(INDEX('계좌현황'!E:E,INDEX($L$20:$L$96,MATCH(LARGE($N$20:$N$96,39),$N$20:$N$96,0))),"")</f>
        <v/>
      </c>
      <c r="F58" s="315">
        <f>IFERROR(INDEX('계좌현황'!F:F,INDEX($L$20:$L$96,MATCH(LARGE($N$20:$N$96,39),$N$20:$N$96,0))),"")</f>
        <v/>
      </c>
      <c r="G58" s="316">
        <f>IFERROR(INDEX('계좌현황'!K:K,INDEX($L$20:$L$96,MATCH(LARGE($N$20:$N$96,39),$N$20:$N$96,0))),0)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IFERROR(INDEX('계좌현황'!A:A,INDEX($L$20:$L$96,MATCH(LARGE($N$20:$N$96,40),$N$20:$N$96,0))),"")</f>
        <v/>
      </c>
      <c r="C59" s="285">
        <f>IFERROR(INDEX('계좌현황'!C:C,INDEX($L$20:$L$96,MATCH(LARGE($N$20:$N$96,40),$N$20:$N$96,0))),"")</f>
        <v/>
      </c>
      <c r="D59" s="285">
        <f>IFERROR(INDEX('계좌현황'!D:D,INDEX($L$20:$L$96,MATCH(LARGE($N$20:$N$96,40),$N$20:$N$96,0))),"")</f>
        <v/>
      </c>
      <c r="E59" s="285">
        <f>IFERROR(INDEX('계좌현황'!E:E,INDEX($L$20:$L$96,MATCH(LARGE($N$20:$N$96,40),$N$20:$N$96,0))),"")</f>
        <v/>
      </c>
      <c r="F59" s="315">
        <f>IFERROR(INDEX('계좌현황'!F:F,INDEX($L$20:$L$96,MATCH(LARGE($N$20:$N$96,40),$N$20:$N$96,0))),"")</f>
        <v/>
      </c>
      <c r="G59" s="316">
        <f>IFERROR(INDEX('계좌현황'!K:K,INDEX($L$20:$L$96,MATCH(LARGE($N$20:$N$96,40),$N$20:$N$96,0))),0)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IFERROR(INDEX('계좌현황'!A:A,INDEX($L$20:$L$96,MATCH(LARGE($N$20:$N$96,41),$N$20:$N$96,0))),"")</f>
        <v/>
      </c>
      <c r="C60" s="285">
        <f>IFERROR(INDEX('계좌현황'!C:C,INDEX($L$20:$L$96,MATCH(LARGE($N$20:$N$96,41),$N$20:$N$96,0))),"")</f>
        <v/>
      </c>
      <c r="D60" s="285">
        <f>IFERROR(INDEX('계좌현황'!D:D,INDEX($L$20:$L$96,MATCH(LARGE($N$20:$N$96,41),$N$20:$N$96,0))),"")</f>
        <v/>
      </c>
      <c r="E60" s="285">
        <f>IFERROR(INDEX('계좌현황'!E:E,INDEX($L$20:$L$96,MATCH(LARGE($N$20:$N$96,41),$N$20:$N$96,0))),"")</f>
        <v/>
      </c>
      <c r="F60" s="315">
        <f>IFERROR(INDEX('계좌현황'!F:F,INDEX($L$20:$L$96,MATCH(LARGE($N$20:$N$96,41),$N$20:$N$96,0))),"")</f>
        <v/>
      </c>
      <c r="G60" s="316">
        <f>IFERROR(INDEX('계좌현황'!K:K,INDEX($L$20:$L$96,MATCH(LARGE($N$20:$N$96,41),$N$20:$N$96,0))),0)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IFERROR(INDEX('계좌현황'!A:A,INDEX($L$20:$L$96,MATCH(LARGE($N$20:$N$96,42),$N$20:$N$96,0))),"")</f>
        <v/>
      </c>
      <c r="C61" s="288">
        <f>IFERROR(INDEX('계좌현황'!C:C,INDEX($L$20:$L$96,MATCH(LARGE($N$20:$N$96,42),$N$20:$N$96,0))),"")</f>
        <v/>
      </c>
      <c r="D61" s="288">
        <f>IFERROR(INDEX('계좌현황'!D:D,INDEX($L$20:$L$96,MATCH(LARGE($N$20:$N$96,42),$N$20:$N$96,0))),"")</f>
        <v/>
      </c>
      <c r="E61" s="288">
        <f>IFERROR(INDEX('계좌현황'!E:E,INDEX($L$20:$L$96,MATCH(LARGE($N$20:$N$96,42),$N$20:$N$96,0))),"")</f>
        <v/>
      </c>
      <c r="F61" s="318">
        <f>IFERROR(INDEX('계좌현황'!F:F,INDEX($L$20:$L$96,MATCH(LARGE($N$20:$N$96,42),$N$20:$N$96,0))),"")</f>
        <v/>
      </c>
      <c r="G61" s="319">
        <f>IFERROR(INDEX('계좌현황'!K:K,INDEX($L$20:$L$96,MATCH(LARGE($N$20:$N$96,42),$N$20:$N$96,0))),0)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IFERROR(INDEX('계좌현황'!A:A,INDEX($L$20:$L$96,MATCH(LARGE($N$20:$N$96,43),$N$20:$N$96,0))),"")</f>
        <v/>
      </c>
      <c r="C62" s="288">
        <f>IFERROR(INDEX('계좌현황'!C:C,INDEX($L$20:$L$96,MATCH(LARGE($N$20:$N$96,43),$N$20:$N$96,0))),"")</f>
        <v/>
      </c>
      <c r="D62" s="288">
        <f>IFERROR(INDEX('계좌현황'!D:D,INDEX($L$20:$L$96,MATCH(LARGE($N$20:$N$96,43),$N$20:$N$96,0))),"")</f>
        <v/>
      </c>
      <c r="E62" s="288">
        <f>IFERROR(INDEX('계좌현황'!E:E,INDEX($L$20:$L$96,MATCH(LARGE($N$20:$N$96,43),$N$20:$N$96,0))),"")</f>
        <v/>
      </c>
      <c r="F62" s="318">
        <f>IFERROR(INDEX('계좌현황'!F:F,INDEX($L$20:$L$96,MATCH(LARGE($N$20:$N$96,43),$N$20:$N$96,0))),"")</f>
        <v/>
      </c>
      <c r="G62" s="319">
        <f>IFERROR(INDEX('계좌현황'!K:K,INDEX($L$20:$L$96,MATCH(LARGE($N$20:$N$96,43),$N$20:$N$96,0))),0)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IFERROR(INDEX('계좌현황'!A:A,INDEX($L$20:$L$96,MATCH(LARGE($N$20:$N$96,44),$N$20:$N$96,0))),"")</f>
        <v/>
      </c>
      <c r="C63" s="288">
        <f>IFERROR(INDEX('계좌현황'!C:C,INDEX($L$20:$L$96,MATCH(LARGE($N$20:$N$96,44),$N$20:$N$96,0))),"")</f>
        <v/>
      </c>
      <c r="D63" s="288">
        <f>IFERROR(INDEX('계좌현황'!D:D,INDEX($L$20:$L$96,MATCH(LARGE($N$20:$N$96,44),$N$20:$N$96,0))),"")</f>
        <v/>
      </c>
      <c r="E63" s="288">
        <f>IFERROR(INDEX('계좌현황'!E:E,INDEX($L$20:$L$96,MATCH(LARGE($N$20:$N$96,44),$N$20:$N$96,0))),"")</f>
        <v/>
      </c>
      <c r="F63" s="318">
        <f>IFERROR(INDEX('계좌현황'!F:F,INDEX($L$20:$L$96,MATCH(LARGE($N$20:$N$96,44),$N$20:$N$96,0))),"")</f>
        <v/>
      </c>
      <c r="G63" s="319">
        <f>IFERROR(INDEX('계좌현황'!K:K,INDEX($L$20:$L$96,MATCH(LARGE($N$20:$N$96,44),$N$20:$N$96,0))),0)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5" t="n">
        <v>45</v>
      </c>
      <c r="B64" s="285">
        <f>IFERROR(INDEX('계좌현황'!A:A,INDEX($L$20:$L$96,MATCH(LARGE($N$20:$N$96,45),$N$20:$N$96,0))),"")</f>
        <v/>
      </c>
      <c r="C64" s="285">
        <f>IFERROR(INDEX('계좌현황'!C:C,INDEX($L$20:$L$96,MATCH(LARGE($N$20:$N$96,45),$N$20:$N$96,0))),"")</f>
        <v/>
      </c>
      <c r="D64" s="285">
        <f>IFERROR(INDEX('계좌현황'!D:D,INDEX($L$20:$L$96,MATCH(LARGE($N$20:$N$96,45),$N$20:$N$96,0))),"")</f>
        <v/>
      </c>
      <c r="E64" s="285">
        <f>IFERROR(INDEX('계좌현황'!E:E,INDEX($L$20:$L$96,MATCH(LARGE($N$20:$N$96,45),$N$20:$N$96,0))),"")</f>
        <v/>
      </c>
      <c r="F64" s="315">
        <f>IFERROR(INDEX('계좌현황'!F:F,INDEX($L$20:$L$96,MATCH(LARGE($N$20:$N$96,45),$N$20:$N$96,0))),"")</f>
        <v/>
      </c>
      <c r="G64" s="316">
        <f>IFERROR(INDEX('계좌현황'!K:K,INDEX($L$20:$L$96,MATCH(LARGE($N$20:$N$96,45),$N$20:$N$96,0))),0)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IFERROR(INDEX('계좌현황'!A:A,INDEX($L$20:$L$96,MATCH(LARGE($N$20:$N$96,46),$N$20:$N$96,0))),"")</f>
        <v/>
      </c>
      <c r="C65" s="288">
        <f>IFERROR(INDEX('계좌현황'!C:C,INDEX($L$20:$L$96,MATCH(LARGE($N$20:$N$96,46),$N$20:$N$96,0))),"")</f>
        <v/>
      </c>
      <c r="D65" s="288">
        <f>IFERROR(INDEX('계좌현황'!D:D,INDEX($L$20:$L$96,MATCH(LARGE($N$20:$N$96,46),$N$20:$N$96,0))),"")</f>
        <v/>
      </c>
      <c r="E65" s="288">
        <f>IFERROR(INDEX('계좌현황'!E:E,INDEX($L$20:$L$96,MATCH(LARGE($N$20:$N$96,46),$N$20:$N$96,0))),"")</f>
        <v/>
      </c>
      <c r="F65" s="318">
        <f>IFERROR(INDEX('계좌현황'!F:F,INDEX($L$20:$L$96,MATCH(LARGE($N$20:$N$96,46),$N$20:$N$96,0))),"")</f>
        <v/>
      </c>
      <c r="G65" s="319">
        <f>IFERROR(INDEX('계좌현황'!K:K,INDEX($L$20:$L$96,MATCH(LARGE($N$20:$N$96,46),$N$20:$N$96,0))),0)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IFERROR(INDEX('계좌현황'!A:A,INDEX($L$20:$L$96,MATCH(LARGE($N$20:$N$96,47),$N$20:$N$96,0))),"")</f>
        <v/>
      </c>
      <c r="C66" s="288">
        <f>IFERROR(INDEX('계좌현황'!C:C,INDEX($L$20:$L$96,MATCH(LARGE($N$20:$N$96,47),$N$20:$N$96,0))),"")</f>
        <v/>
      </c>
      <c r="D66" s="288">
        <f>IFERROR(INDEX('계좌현황'!D:D,INDEX($L$20:$L$96,MATCH(LARGE($N$20:$N$96,47),$N$20:$N$96,0))),"")</f>
        <v/>
      </c>
      <c r="E66" s="288">
        <f>IFERROR(INDEX('계좌현황'!E:E,INDEX($L$20:$L$96,MATCH(LARGE($N$20:$N$96,47),$N$20:$N$96,0))),"")</f>
        <v/>
      </c>
      <c r="F66" s="318">
        <f>IFERROR(INDEX('계좌현황'!F:F,INDEX($L$20:$L$96,MATCH(LARGE($N$20:$N$96,47),$N$20:$N$96,0))),"")</f>
        <v/>
      </c>
      <c r="G66" s="319">
        <f>IFERROR(INDEX('계좌현황'!K:K,INDEX($L$20:$L$96,MATCH(LARGE($N$20:$N$96,47),$N$20:$N$96,0))),0)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IFERROR(INDEX('계좌현황'!A:A,INDEX($L$20:$L$96,MATCH(LARGE($N$20:$N$96,48),$N$20:$N$96,0))),"")</f>
        <v/>
      </c>
      <c r="C67" s="288">
        <f>IFERROR(INDEX('계좌현황'!C:C,INDEX($L$20:$L$96,MATCH(LARGE($N$20:$N$96,48),$N$20:$N$96,0))),"")</f>
        <v/>
      </c>
      <c r="D67" s="288">
        <f>IFERROR(INDEX('계좌현황'!D:D,INDEX($L$20:$L$96,MATCH(LARGE($N$20:$N$96,48),$N$20:$N$96,0))),"")</f>
        <v/>
      </c>
      <c r="E67" s="288">
        <f>IFERROR(INDEX('계좌현황'!E:E,INDEX($L$20:$L$96,MATCH(LARGE($N$20:$N$96,48),$N$20:$N$96,0))),"")</f>
        <v/>
      </c>
      <c r="F67" s="318">
        <f>IFERROR(INDEX('계좌현황'!F:F,INDEX($L$20:$L$96,MATCH(LARGE($N$20:$N$96,48),$N$20:$N$96,0))),"")</f>
        <v/>
      </c>
      <c r="G67" s="319">
        <f>IFERROR(INDEX('계좌현황'!K:K,INDEX($L$20:$L$96,MATCH(LARGE($N$20:$N$96,48),$N$20:$N$96,0))),0)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IFERROR(INDEX('계좌현황'!A:A,INDEX($L$20:$L$96,MATCH(LARGE($N$20:$N$96,49),$N$20:$N$96,0))),"")</f>
        <v/>
      </c>
      <c r="C68" s="288">
        <f>IFERROR(INDEX('계좌현황'!C:C,INDEX($L$20:$L$96,MATCH(LARGE($N$20:$N$96,49),$N$20:$N$96,0))),"")</f>
        <v/>
      </c>
      <c r="D68" s="288">
        <f>IFERROR(INDEX('계좌현황'!D:D,INDEX($L$20:$L$96,MATCH(LARGE($N$20:$N$96,49),$N$20:$N$96,0))),"")</f>
        <v/>
      </c>
      <c r="E68" s="288">
        <f>IFERROR(INDEX('계좌현황'!E:E,INDEX($L$20:$L$96,MATCH(LARGE($N$20:$N$96,49),$N$20:$N$96,0))),"")</f>
        <v/>
      </c>
      <c r="F68" s="318">
        <f>IFERROR(INDEX('계좌현황'!F:F,INDEX($L$20:$L$96,MATCH(LARGE($N$20:$N$96,49),$N$20:$N$96,0))),"")</f>
        <v/>
      </c>
      <c r="G68" s="319">
        <f>IFERROR(INDEX('계좌현황'!K:K,INDEX($L$20:$L$96,MATCH(LARGE($N$20:$N$96,49),$N$20:$N$96,0))),0)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IFERROR(INDEX('계좌현황'!A:A,INDEX($L$20:$L$96,MATCH(LARGE($N$20:$N$96,50),$N$20:$N$96,0))),"")</f>
        <v/>
      </c>
      <c r="C69" s="288">
        <f>IFERROR(INDEX('계좌현황'!C:C,INDEX($L$20:$L$96,MATCH(LARGE($N$20:$N$96,50),$N$20:$N$96,0))),"")</f>
        <v/>
      </c>
      <c r="D69" s="288">
        <f>IFERROR(INDEX('계좌현황'!D:D,INDEX($L$20:$L$96,MATCH(LARGE($N$20:$N$96,50),$N$20:$N$96,0))),"")</f>
        <v/>
      </c>
      <c r="E69" s="288">
        <f>IFERROR(INDEX('계좌현황'!E:E,INDEX($L$20:$L$96,MATCH(LARGE($N$20:$N$96,50),$N$20:$N$96,0))),"")</f>
        <v/>
      </c>
      <c r="F69" s="318">
        <f>IFERROR(INDEX('계좌현황'!F:F,INDEX($L$20:$L$96,MATCH(LARGE($N$20:$N$96,50),$N$20:$N$96,0))),"")</f>
        <v/>
      </c>
      <c r="G69" s="319">
        <f>IFERROR(INDEX('계좌현황'!K:K,INDEX($L$20:$L$96,MATCH(LARGE($N$20:$N$96,50),$N$20:$N$96,0))),0)</f>
        <v/>
      </c>
      <c r="H69" s="320">
        <f>IF($B$3=0,0,G69/$B$3)</f>
        <v/>
      </c>
      <c r="I69" s="320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IFERROR(INDEX('계좌현황'!A:A,INDEX($L$20:$L$96,MATCH(LARGE($N$20:$N$96,51),$N$20:$N$96,0))),"")</f>
        <v/>
      </c>
      <c r="C70" s="285">
        <f>IFERROR(INDEX('계좌현황'!C:C,INDEX($L$20:$L$96,MATCH(LARGE($N$20:$N$96,51),$N$20:$N$96,0))),"")</f>
        <v/>
      </c>
      <c r="D70" s="285">
        <f>IFERROR(INDEX('계좌현황'!D:D,INDEX($L$20:$L$96,MATCH(LARGE($N$20:$N$96,51),$N$20:$N$96,0))),"")</f>
        <v/>
      </c>
      <c r="E70" s="285">
        <f>IFERROR(INDEX('계좌현황'!E:E,INDEX($L$20:$L$96,MATCH(LARGE($N$20:$N$96,51),$N$20:$N$96,0))),"")</f>
        <v/>
      </c>
      <c r="F70" s="315">
        <f>IFERROR(INDEX('계좌현황'!F:F,INDEX($L$20:$L$96,MATCH(LARGE($N$20:$N$96,51),$N$20:$N$96,0))),"")</f>
        <v/>
      </c>
      <c r="G70" s="316">
        <f>IFERROR(INDEX('계좌현황'!K:K,INDEX($L$20:$L$96,MATCH(LARGE($N$20:$N$96,51),$N$20:$N$96,0))),0)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5" t="n">
        <v>52</v>
      </c>
      <c r="B71" s="285">
        <f>IFERROR(INDEX('계좌현황'!A:A,INDEX($L$20:$L$96,MATCH(LARGE($N$20:$N$96,52),$N$20:$N$96,0))),"")</f>
        <v/>
      </c>
      <c r="C71" s="285">
        <f>IFERROR(INDEX('계좌현황'!C:C,INDEX($L$20:$L$96,MATCH(LARGE($N$20:$N$96,52),$N$20:$N$96,0))),"")</f>
        <v/>
      </c>
      <c r="D71" s="285">
        <f>IFERROR(INDEX('계좌현황'!D:D,INDEX($L$20:$L$96,MATCH(LARGE($N$20:$N$96,52),$N$20:$N$96,0))),"")</f>
        <v/>
      </c>
      <c r="E71" s="285">
        <f>IFERROR(INDEX('계좌현황'!E:E,INDEX($L$20:$L$96,MATCH(LARGE($N$20:$N$96,52),$N$20:$N$96,0))),"")</f>
        <v/>
      </c>
      <c r="F71" s="315">
        <f>IFERROR(INDEX('계좌현황'!F:F,INDEX($L$20:$L$96,MATCH(LARGE($N$20:$N$96,52),$N$20:$N$96,0))),"")</f>
        <v/>
      </c>
      <c r="G71" s="316">
        <f>IFERROR(INDEX('계좌현황'!K:K,INDEX($L$20:$L$96,MATCH(LARGE($N$20:$N$96,52),$N$20:$N$96,0))),0)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IFERROR(INDEX('계좌현황'!A:A,INDEX($L$20:$L$96,MATCH(LARGE($N$20:$N$96,53),$N$20:$N$96,0))),"")</f>
        <v/>
      </c>
      <c r="C72" s="288">
        <f>IFERROR(INDEX('계좌현황'!C:C,INDEX($L$20:$L$96,MATCH(LARGE($N$20:$N$96,53),$N$20:$N$96,0))),"")</f>
        <v/>
      </c>
      <c r="D72" s="288">
        <f>IFERROR(INDEX('계좌현황'!D:D,INDEX($L$20:$L$96,MATCH(LARGE($N$20:$N$96,53),$N$20:$N$96,0))),"")</f>
        <v/>
      </c>
      <c r="E72" s="288">
        <f>IFERROR(INDEX('계좌현황'!E:E,INDEX($L$20:$L$96,MATCH(LARGE($N$20:$N$96,53),$N$20:$N$96,0))),"")</f>
        <v/>
      </c>
      <c r="F72" s="318">
        <f>IFERROR(INDEX('계좌현황'!F:F,INDEX($L$20:$L$96,MATCH(LARGE($N$20:$N$96,53),$N$20:$N$96,0))),"")</f>
        <v/>
      </c>
      <c r="G72" s="319">
        <f>IFERROR(INDEX('계좌현황'!K:K,INDEX($L$20:$L$96,MATCH(LARGE($N$20:$N$96,53),$N$20:$N$96,0))),0)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IFERROR(INDEX('계좌현황'!A:A,INDEX($L$20:$L$96,MATCH(LARGE($N$20:$N$96,54),$N$20:$N$96,0))),"")</f>
        <v/>
      </c>
      <c r="C73" s="288">
        <f>IFERROR(INDEX('계좌현황'!C:C,INDEX($L$20:$L$96,MATCH(LARGE($N$20:$N$96,54),$N$20:$N$96,0))),"")</f>
        <v/>
      </c>
      <c r="D73" s="288">
        <f>IFERROR(INDEX('계좌현황'!D:D,INDEX($L$20:$L$96,MATCH(LARGE($N$20:$N$96,54),$N$20:$N$96,0))),"")</f>
        <v/>
      </c>
      <c r="E73" s="288">
        <f>IFERROR(INDEX('계좌현황'!E:E,INDEX($L$20:$L$96,MATCH(LARGE($N$20:$N$96,54),$N$20:$N$96,0))),"")</f>
        <v/>
      </c>
      <c r="F73" s="318">
        <f>IFERROR(INDEX('계좌현황'!F:F,INDEX($L$20:$L$96,MATCH(LARGE($N$20:$N$96,54),$N$20:$N$96,0))),"")</f>
        <v/>
      </c>
      <c r="G73" s="319">
        <f>IFERROR(INDEX('계좌현황'!K:K,INDEX($L$20:$L$96,MATCH(LARGE($N$20:$N$96,54),$N$20:$N$96,0))),0)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IFERROR(INDEX('계좌현황'!A:A,INDEX($L$20:$L$96,MATCH(LARGE($N$20:$N$96,55),$N$20:$N$96,0))),"")</f>
        <v/>
      </c>
      <c r="C74" s="288">
        <f>IFERROR(INDEX('계좌현황'!C:C,INDEX($L$20:$L$96,MATCH(LARGE($N$20:$N$96,55),$N$20:$N$96,0))),"")</f>
        <v/>
      </c>
      <c r="D74" s="288">
        <f>IFERROR(INDEX('계좌현황'!D:D,INDEX($L$20:$L$96,MATCH(LARGE($N$20:$N$96,55),$N$20:$N$96,0))),"")</f>
        <v/>
      </c>
      <c r="E74" s="288">
        <f>IFERROR(INDEX('계좌현황'!E:E,INDEX($L$20:$L$96,MATCH(LARGE($N$20:$N$96,55),$N$20:$N$96,0))),"")</f>
        <v/>
      </c>
      <c r="F74" s="318">
        <f>IFERROR(INDEX('계좌현황'!F:F,INDEX($L$20:$L$96,MATCH(LARGE($N$20:$N$96,55),$N$20:$N$96,0))),"")</f>
        <v/>
      </c>
      <c r="G74" s="319">
        <f>IFERROR(INDEX('계좌현황'!K:K,INDEX($L$20:$L$96,MATCH(LARGE($N$20:$N$96,55),$N$20:$N$96,0))),0)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IFERROR(INDEX('계좌현황'!A:A,INDEX($L$20:$L$96,MATCH(LARGE($N$20:$N$96,56),$N$20:$N$96,0))),"")</f>
        <v/>
      </c>
      <c r="C75" s="288">
        <f>IFERROR(INDEX('계좌현황'!C:C,INDEX($L$20:$L$96,MATCH(LARGE($N$20:$N$96,56),$N$20:$N$96,0))),"")</f>
        <v/>
      </c>
      <c r="D75" s="288">
        <f>IFERROR(INDEX('계좌현황'!D:D,INDEX($L$20:$L$96,MATCH(LARGE($N$20:$N$96,56),$N$20:$N$96,0))),"")</f>
        <v/>
      </c>
      <c r="E75" s="288">
        <f>IFERROR(INDEX('계좌현황'!E:E,INDEX($L$20:$L$96,MATCH(LARGE($N$20:$N$96,56),$N$20:$N$96,0))),"")</f>
        <v/>
      </c>
      <c r="F75" s="318">
        <f>IFERROR(INDEX('계좌현황'!F:F,INDEX($L$20:$L$96,MATCH(LARGE($N$20:$N$96,56),$N$20:$N$96,0))),"")</f>
        <v/>
      </c>
      <c r="G75" s="319">
        <f>IFERROR(INDEX('계좌현황'!K:K,INDEX($L$20:$L$96,MATCH(LARGE($N$20:$N$96,56),$N$20:$N$96,0))),0)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IFERROR(INDEX('계좌현황'!A:A,INDEX($L$20:$L$96,MATCH(LARGE($N$20:$N$96,57),$N$20:$N$96,0))),"")</f>
        <v/>
      </c>
      <c r="C76" s="288">
        <f>IFERROR(INDEX('계좌현황'!C:C,INDEX($L$20:$L$96,MATCH(LARGE($N$20:$N$96,57),$N$20:$N$96,0))),"")</f>
        <v/>
      </c>
      <c r="D76" s="288">
        <f>IFERROR(INDEX('계좌현황'!D:D,INDEX($L$20:$L$96,MATCH(LARGE($N$20:$N$96,57),$N$20:$N$96,0))),"")</f>
        <v/>
      </c>
      <c r="E76" s="288">
        <f>IFERROR(INDEX('계좌현황'!E:E,INDEX($L$20:$L$96,MATCH(LARGE($N$20:$N$96,57),$N$20:$N$96,0))),"")</f>
        <v/>
      </c>
      <c r="F76" s="318">
        <f>IFERROR(INDEX('계좌현황'!F:F,INDEX($L$20:$L$96,MATCH(LARGE($N$20:$N$96,57),$N$20:$N$96,0))),"")</f>
        <v/>
      </c>
      <c r="G76" s="319">
        <f>IFERROR(INDEX('계좌현황'!K:K,INDEX($L$20:$L$96,MATCH(LARGE($N$20:$N$96,57),$N$20:$N$96,0))),0)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IFERROR(INDEX('계좌현황'!A:A,INDEX($L$20:$L$96,MATCH(LARGE($N$20:$N$96,58),$N$20:$N$96,0))),"")</f>
        <v/>
      </c>
      <c r="C77" s="288">
        <f>IFERROR(INDEX('계좌현황'!C:C,INDEX($L$20:$L$96,MATCH(LARGE($N$20:$N$96,58),$N$20:$N$96,0))),"")</f>
        <v/>
      </c>
      <c r="D77" s="288">
        <f>IFERROR(INDEX('계좌현황'!D:D,INDEX($L$20:$L$96,MATCH(LARGE($N$20:$N$96,58),$N$20:$N$96,0))),"")</f>
        <v/>
      </c>
      <c r="E77" s="288">
        <f>IFERROR(INDEX('계좌현황'!E:E,INDEX($L$20:$L$96,MATCH(LARGE($N$20:$N$96,58),$N$20:$N$96,0))),"")</f>
        <v/>
      </c>
      <c r="F77" s="318">
        <f>IFERROR(INDEX('계좌현황'!F:F,INDEX($L$20:$L$96,MATCH(LARGE($N$20:$N$96,58),$N$20:$N$96,0))),"")</f>
        <v/>
      </c>
      <c r="G77" s="319">
        <f>IFERROR(INDEX('계좌현황'!K:K,INDEX($L$20:$L$96,MATCH(LARGE($N$20:$N$96,58),$N$20:$N$96,0))),0)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IFERROR(INDEX('계좌현황'!A:A,INDEX($L$20:$L$96,MATCH(LARGE($N$20:$N$96,59),$N$20:$N$96,0))),"")</f>
        <v/>
      </c>
      <c r="C78" s="288">
        <f>IFERROR(INDEX('계좌현황'!C:C,INDEX($L$20:$L$96,MATCH(LARGE($N$20:$N$96,59),$N$20:$N$96,0))),"")</f>
        <v/>
      </c>
      <c r="D78" s="288">
        <f>IFERROR(INDEX('계좌현황'!D:D,INDEX($L$20:$L$96,MATCH(LARGE($N$20:$N$96,59),$N$20:$N$96,0))),"")</f>
        <v/>
      </c>
      <c r="E78" s="288">
        <f>IFERROR(INDEX('계좌현황'!E:E,INDEX($L$20:$L$96,MATCH(LARGE($N$20:$N$96,59),$N$20:$N$96,0))),"")</f>
        <v/>
      </c>
      <c r="F78" s="318">
        <f>IFERROR(INDEX('계좌현황'!F:F,INDEX($L$20:$L$96,MATCH(LARGE($N$20:$N$96,59),$N$20:$N$96,0))),"")</f>
        <v/>
      </c>
      <c r="G78" s="319">
        <f>IFERROR(INDEX('계좌현황'!K:K,INDEX($L$20:$L$96,MATCH(LARGE($N$20:$N$96,59),$N$20:$N$96,0))),0)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IFERROR(INDEX('계좌현황'!A:A,INDEX($L$20:$L$96,MATCH(LARGE($N$20:$N$96,60),$N$20:$N$96,0))),"")</f>
        <v/>
      </c>
      <c r="C79" s="288">
        <f>IFERROR(INDEX('계좌현황'!C:C,INDEX($L$20:$L$96,MATCH(LARGE($N$20:$N$96,60),$N$20:$N$96,0))),"")</f>
        <v/>
      </c>
      <c r="D79" s="288">
        <f>IFERROR(INDEX('계좌현황'!D:D,INDEX($L$20:$L$96,MATCH(LARGE($N$20:$N$96,60),$N$20:$N$96,0))),"")</f>
        <v/>
      </c>
      <c r="E79" s="288">
        <f>IFERROR(INDEX('계좌현황'!E:E,INDEX($L$20:$L$96,MATCH(LARGE($N$20:$N$96,60),$N$20:$N$96,0))),"")</f>
        <v/>
      </c>
      <c r="F79" s="318">
        <f>IFERROR(INDEX('계좌현황'!F:F,INDEX($L$20:$L$96,MATCH(LARGE($N$20:$N$96,60),$N$20:$N$96,0))),"")</f>
        <v/>
      </c>
      <c r="G79" s="319">
        <f>IFERROR(INDEX('계좌현황'!K:K,INDEX($L$20:$L$96,MATCH(LARGE($N$20:$N$96,60),$N$20:$N$96,0))),0)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IFERROR(INDEX('계좌현황'!A:A,INDEX($L$20:$L$96,MATCH(LARGE($N$20:$N$96,61),$N$20:$N$96,0))),"")</f>
        <v/>
      </c>
      <c r="C80" s="288">
        <f>IFERROR(INDEX('계좌현황'!C:C,INDEX($L$20:$L$96,MATCH(LARGE($N$20:$N$96,61),$N$20:$N$96,0))),"")</f>
        <v/>
      </c>
      <c r="D80" s="288">
        <f>IFERROR(INDEX('계좌현황'!D:D,INDEX($L$20:$L$96,MATCH(LARGE($N$20:$N$96,61),$N$20:$N$96,0))),"")</f>
        <v/>
      </c>
      <c r="E80" s="288">
        <f>IFERROR(INDEX('계좌현황'!E:E,INDEX($L$20:$L$96,MATCH(LARGE($N$20:$N$96,61),$N$20:$N$96,0))),"")</f>
        <v/>
      </c>
      <c r="F80" s="318">
        <f>IFERROR(INDEX('계좌현황'!F:F,INDEX($L$20:$L$96,MATCH(LARGE($N$20:$N$96,61),$N$20:$N$96,0))),"")</f>
        <v/>
      </c>
      <c r="G80" s="319">
        <f>IFERROR(INDEX('계좌현황'!K:K,INDEX($L$20:$L$96,MATCH(LARGE($N$20:$N$96,61),$N$20:$N$96,0))),0)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IFERROR(INDEX('계좌현황'!A:A,INDEX($L$20:$L$96,MATCH(LARGE($N$20:$N$96,62),$N$20:$N$96,0))),"")</f>
        <v/>
      </c>
      <c r="C81" s="288">
        <f>IFERROR(INDEX('계좌현황'!C:C,INDEX($L$20:$L$96,MATCH(LARGE($N$20:$N$96,62),$N$20:$N$96,0))),"")</f>
        <v/>
      </c>
      <c r="D81" s="288">
        <f>IFERROR(INDEX('계좌현황'!D:D,INDEX($L$20:$L$96,MATCH(LARGE($N$20:$N$96,62),$N$20:$N$96,0))),"")</f>
        <v/>
      </c>
      <c r="E81" s="288">
        <f>IFERROR(INDEX('계좌현황'!E:E,INDEX($L$20:$L$96,MATCH(LARGE($N$20:$N$96,62),$N$20:$N$96,0))),"")</f>
        <v/>
      </c>
      <c r="F81" s="318">
        <f>IFERROR(INDEX('계좌현황'!F:F,INDEX($L$20:$L$96,MATCH(LARGE($N$20:$N$96,62),$N$20:$N$96,0))),"")</f>
        <v/>
      </c>
      <c r="G81" s="319">
        <f>IFERROR(INDEX('계좌현황'!K:K,INDEX($L$20:$L$96,MATCH(LARGE($N$20:$N$96,62),$N$20:$N$96,0))),0)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IFERROR(INDEX('계좌현황'!A:A,INDEX($L$20:$L$96,MATCH(LARGE($N$20:$N$96,63),$N$20:$N$96,0))),"")</f>
        <v/>
      </c>
      <c r="C82" s="288">
        <f>IFERROR(INDEX('계좌현황'!C:C,INDEX($L$20:$L$96,MATCH(LARGE($N$20:$N$96,63),$N$20:$N$96,0))),"")</f>
        <v/>
      </c>
      <c r="D82" s="288">
        <f>IFERROR(INDEX('계좌현황'!D:D,INDEX($L$20:$L$96,MATCH(LARGE($N$20:$N$96,63),$N$20:$N$96,0))),"")</f>
        <v/>
      </c>
      <c r="E82" s="288">
        <f>IFERROR(INDEX('계좌현황'!E:E,INDEX($L$20:$L$96,MATCH(LARGE($N$20:$N$96,63),$N$20:$N$96,0))),"")</f>
        <v/>
      </c>
      <c r="F82" s="318">
        <f>IFERROR(INDEX('계좌현황'!F:F,INDEX($L$20:$L$96,MATCH(LARGE($N$20:$N$96,63),$N$20:$N$96,0))),"")</f>
        <v/>
      </c>
      <c r="G82" s="319">
        <f>IFERROR(INDEX('계좌현황'!K:K,INDEX($L$20:$L$96,MATCH(LARGE($N$20:$N$96,63),$N$20:$N$96,0))),0)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IFERROR(INDEX('계좌현황'!A:A,INDEX($L$20:$L$96,MATCH(LARGE($N$20:$N$96,64),$N$20:$N$96,0))),"")</f>
        <v/>
      </c>
      <c r="C83" s="288">
        <f>IFERROR(INDEX('계좌현황'!C:C,INDEX($L$20:$L$96,MATCH(LARGE($N$20:$N$96,64),$N$20:$N$96,0))),"")</f>
        <v/>
      </c>
      <c r="D83" s="288">
        <f>IFERROR(INDEX('계좌현황'!D:D,INDEX($L$20:$L$96,MATCH(LARGE($N$20:$N$96,64),$N$20:$N$96,0))),"")</f>
        <v/>
      </c>
      <c r="E83" s="288">
        <f>IFERROR(INDEX('계좌현황'!E:E,INDEX($L$20:$L$96,MATCH(LARGE($N$20:$N$96,64),$N$20:$N$96,0))),"")</f>
        <v/>
      </c>
      <c r="F83" s="318">
        <f>IFERROR(INDEX('계좌현황'!F:F,INDEX($L$20:$L$96,MATCH(LARGE($N$20:$N$96,64),$N$20:$N$96,0))),"")</f>
        <v/>
      </c>
      <c r="G83" s="319">
        <f>IFERROR(INDEX('계좌현황'!K:K,INDEX($L$20:$L$96,MATCH(LARGE($N$20:$N$96,64),$N$20:$N$96,0))),0)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IFERROR(INDEX('계좌현황'!A:A,INDEX($L$20:$L$96,MATCH(LARGE($N$20:$N$96,65),$N$20:$N$96,0))),"")</f>
        <v/>
      </c>
      <c r="C84" s="300">
        <f>IFERROR(INDEX('계좌현황'!C:C,INDEX($L$20:$L$96,MATCH(LARGE($N$20:$N$96,65),$N$20:$N$96,0))),"")</f>
        <v/>
      </c>
      <c r="D84" s="300">
        <f>IFERROR(INDEX('계좌현황'!D:D,INDEX($L$20:$L$96,MATCH(LARGE($N$20:$N$96,65),$N$20:$N$96,0))),"")</f>
        <v/>
      </c>
      <c r="E84" s="300">
        <f>IFERROR(INDEX('계좌현황'!E:E,INDEX($L$20:$L$96,MATCH(LARGE($N$20:$N$96,65),$N$20:$N$96,0))),"")</f>
        <v/>
      </c>
      <c r="F84" s="330">
        <f>IFERROR(INDEX('계좌현황'!F:F,INDEX($L$20:$L$96,MATCH(LARGE($N$20:$N$96,65),$N$20:$N$96,0))),"")</f>
        <v/>
      </c>
      <c r="G84" s="331">
        <f>IFERROR(INDEX('계좌현황'!K:K,INDEX($L$20:$L$96,MATCH(LARGE($N$20:$N$96,65),$N$20:$N$96,0))),0)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8" t="n">
        <v>66</v>
      </c>
      <c r="B85" s="288">
        <f>IFERROR(INDEX('계좌현황'!A:A,INDEX($L$20:$L$96,MATCH(LARGE($N$20:$N$96,66),$N$20:$N$96,0))),"")</f>
        <v/>
      </c>
      <c r="C85" s="288">
        <f>IFERROR(INDEX('계좌현황'!C:C,INDEX($L$20:$L$96,MATCH(LARGE($N$20:$N$96,66),$N$20:$N$96,0))),"")</f>
        <v/>
      </c>
      <c r="D85" s="288">
        <f>IFERROR(INDEX('계좌현황'!D:D,INDEX($L$20:$L$96,MATCH(LARGE($N$20:$N$96,66),$N$20:$N$96,0))),"")</f>
        <v/>
      </c>
      <c r="E85" s="288">
        <f>IFERROR(INDEX('계좌현황'!E:E,INDEX($L$20:$L$96,MATCH(LARGE($N$20:$N$96,66),$N$20:$N$96,0))),"")</f>
        <v/>
      </c>
      <c r="F85" s="318">
        <f>IFERROR(INDEX('계좌현황'!F:F,INDEX($L$20:$L$96,MATCH(LARGE($N$20:$N$96,66),$N$20:$N$96,0))),"")</f>
        <v/>
      </c>
      <c r="G85" s="319">
        <f>IFERROR(INDEX('계좌현황'!K:K,INDEX($L$20:$L$96,MATCH(LARGE($N$20:$N$96,66),$N$20:$N$96,0))),0)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IFERROR(INDEX('계좌현황'!A:A,INDEX($L$20:$L$96,MATCH(LARGE($N$20:$N$96,67),$N$20:$N$96,0))),"")</f>
        <v/>
      </c>
      <c r="C86" s="300">
        <f>IFERROR(INDEX('계좌현황'!C:C,INDEX($L$20:$L$96,MATCH(LARGE($N$20:$N$96,67),$N$20:$N$96,0))),"")</f>
        <v/>
      </c>
      <c r="D86" s="300">
        <f>IFERROR(INDEX('계좌현황'!D:D,INDEX($L$20:$L$96,MATCH(LARGE($N$20:$N$96,67),$N$20:$N$96,0))),"")</f>
        <v/>
      </c>
      <c r="E86" s="300">
        <f>IFERROR(INDEX('계좌현황'!E:E,INDEX($L$20:$L$96,MATCH(LARGE($N$20:$N$96,67),$N$20:$N$96,0))),"")</f>
        <v/>
      </c>
      <c r="F86" s="330">
        <f>IFERROR(INDEX('계좌현황'!F:F,INDEX($L$20:$L$96,MATCH(LARGE($N$20:$N$96,67),$N$20:$N$96,0))),"")</f>
        <v/>
      </c>
      <c r="G86" s="331">
        <f>IFERROR(INDEX('계좌현황'!K:K,INDEX($L$20:$L$96,MATCH(LARGE($N$20:$N$96,67),$N$20:$N$96,0))),0)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IFERROR(INDEX('계좌현황'!A:A,INDEX($L$20:$L$96,MATCH(LARGE($N$20:$N$96,68),$N$20:$N$96,0))),"")</f>
        <v/>
      </c>
      <c r="C87" s="288">
        <f>IFERROR(INDEX('계좌현황'!C:C,INDEX($L$20:$L$96,MATCH(LARGE($N$20:$N$96,68),$N$20:$N$96,0))),"")</f>
        <v/>
      </c>
      <c r="D87" s="288">
        <f>IFERROR(INDEX('계좌현황'!D:D,INDEX($L$20:$L$96,MATCH(LARGE($N$20:$N$96,68),$N$20:$N$96,0))),"")</f>
        <v/>
      </c>
      <c r="E87" s="288">
        <f>IFERROR(INDEX('계좌현황'!E:E,INDEX($L$20:$L$96,MATCH(LARGE($N$20:$N$96,68),$N$20:$N$96,0))),"")</f>
        <v/>
      </c>
      <c r="F87" s="318">
        <f>IFERROR(INDEX('계좌현황'!F:F,INDEX($L$20:$L$96,MATCH(LARGE($N$20:$N$96,68),$N$20:$N$96,0))),"")</f>
        <v/>
      </c>
      <c r="G87" s="319">
        <f>IFERROR(INDEX('계좌현황'!K:K,INDEX($L$20:$L$96,MATCH(LARGE($N$20:$N$96,68),$N$20:$N$96,0))),0)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IFERROR(INDEX('계좌현황'!A:A,INDEX($L$20:$L$96,MATCH(LARGE($N$20:$N$96,69),$N$20:$N$96,0))),"")</f>
        <v/>
      </c>
      <c r="C88" s="288">
        <f>IFERROR(INDEX('계좌현황'!C:C,INDEX($L$20:$L$96,MATCH(LARGE($N$20:$N$96,69),$N$20:$N$96,0))),"")</f>
        <v/>
      </c>
      <c r="D88" s="288">
        <f>IFERROR(INDEX('계좌현황'!D:D,INDEX($L$20:$L$96,MATCH(LARGE($N$20:$N$96,69),$N$20:$N$96,0))),"")</f>
        <v/>
      </c>
      <c r="E88" s="288">
        <f>IFERROR(INDEX('계좌현황'!E:E,INDEX($L$20:$L$96,MATCH(LARGE($N$20:$N$96,69),$N$20:$N$96,0))),"")</f>
        <v/>
      </c>
      <c r="F88" s="318">
        <f>IFERROR(INDEX('계좌현황'!F:F,INDEX($L$20:$L$96,MATCH(LARGE($N$20:$N$96,69),$N$20:$N$96,0))),"")</f>
        <v/>
      </c>
      <c r="G88" s="319">
        <f>IFERROR(INDEX('계좌현황'!K:K,INDEX($L$20:$L$96,MATCH(LARGE($N$20:$N$96,69),$N$20:$N$96,0))),0)</f>
        <v/>
      </c>
      <c r="H88" s="320">
        <f>IF($B$3=0,0,G88/$B$3)</f>
        <v/>
      </c>
      <c r="I88" s="320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300" t="n">
        <v>70</v>
      </c>
      <c r="B89" s="300">
        <f>IFERROR(INDEX('계좌현황'!A:A,INDEX($L$20:$L$96,MATCH(LARGE($N$20:$N$96,70),$N$20:$N$96,0))),"")</f>
        <v/>
      </c>
      <c r="C89" s="300">
        <f>IFERROR(INDEX('계좌현황'!C:C,INDEX($L$20:$L$96,MATCH(LARGE($N$20:$N$96,70),$N$20:$N$96,0))),"")</f>
        <v/>
      </c>
      <c r="D89" s="300">
        <f>IFERROR(INDEX('계좌현황'!D:D,INDEX($L$20:$L$96,MATCH(LARGE($N$20:$N$96,70),$N$20:$N$96,0))),"")</f>
        <v/>
      </c>
      <c r="E89" s="300">
        <f>IFERROR(INDEX('계좌현황'!E:E,INDEX($L$20:$L$96,MATCH(LARGE($N$20:$N$96,70),$N$20:$N$96,0))),"")</f>
        <v/>
      </c>
      <c r="F89" s="330">
        <f>IFERROR(INDEX('계좌현황'!F:F,INDEX($L$20:$L$96,MATCH(LARGE($N$20:$N$96,70),$N$20:$N$96,0))),"")</f>
        <v/>
      </c>
      <c r="G89" s="331">
        <f>IFERROR(INDEX('계좌현황'!K:K,INDEX($L$20:$L$96,MATCH(LARGE($N$20:$N$96,70),$N$20:$N$96,0))),0)</f>
        <v/>
      </c>
      <c r="H89" s="332">
        <f>IF($B$3=0,0,G89/$B$3)</f>
        <v/>
      </c>
      <c r="I89" s="332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IFERROR(INDEX('계좌현황'!A:A,INDEX($L$20:$L$96,MATCH(LARGE($N$20:$N$96,71),$N$20:$N$96,0))),"")</f>
        <v/>
      </c>
      <c r="C90" s="288">
        <f>IFERROR(INDEX('계좌현황'!C:C,INDEX($L$20:$L$96,MATCH(LARGE($N$20:$N$96,71),$N$20:$N$96,0))),"")</f>
        <v/>
      </c>
      <c r="D90" s="288">
        <f>IFERROR(INDEX('계좌현황'!D:D,INDEX($L$20:$L$96,MATCH(LARGE($N$20:$N$96,71),$N$20:$N$96,0))),"")</f>
        <v/>
      </c>
      <c r="E90" s="288">
        <f>IFERROR(INDEX('계좌현황'!E:E,INDEX($L$20:$L$96,MATCH(LARGE($N$20:$N$96,71),$N$20:$N$96,0))),"")</f>
        <v/>
      </c>
      <c r="F90" s="318">
        <f>IFERROR(INDEX('계좌현황'!F:F,INDEX($L$20:$L$96,MATCH(LARGE($N$20:$N$96,71),$N$20:$N$96,0))),"")</f>
        <v/>
      </c>
      <c r="G90" s="319">
        <f>IFERROR(INDEX('계좌현황'!K:K,INDEX($L$20:$L$96,MATCH(LARGE($N$20:$N$96,71),$N$20:$N$96,0))),0)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IFERROR(INDEX('계좌현황'!A:A,INDEX($L$20:$L$96,MATCH(LARGE($N$20:$N$96,72),$N$20:$N$96,0))),"")</f>
        <v/>
      </c>
      <c r="C91" s="288">
        <f>IFERROR(INDEX('계좌현황'!C:C,INDEX($L$20:$L$96,MATCH(LARGE($N$20:$N$96,72),$N$20:$N$96,0))),"")</f>
        <v/>
      </c>
      <c r="D91" s="288">
        <f>IFERROR(INDEX('계좌현황'!D:D,INDEX($L$20:$L$96,MATCH(LARGE($N$20:$N$96,72),$N$20:$N$96,0))),"")</f>
        <v/>
      </c>
      <c r="E91" s="288">
        <f>IFERROR(INDEX('계좌현황'!E:E,INDEX($L$20:$L$96,MATCH(LARGE($N$20:$N$96,72),$N$20:$N$96,0))),"")</f>
        <v/>
      </c>
      <c r="F91" s="318">
        <f>IFERROR(INDEX('계좌현황'!F:F,INDEX($L$20:$L$96,MATCH(LARGE($N$20:$N$96,72),$N$20:$N$96,0))),"")</f>
        <v/>
      </c>
      <c r="G91" s="319">
        <f>IFERROR(INDEX('계좌현황'!K:K,INDEX($L$20:$L$96,MATCH(LARGE($N$20:$N$96,72),$N$20:$N$96,0))),0)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IFERROR(INDEX('계좌현황'!A:A,INDEX($L$20:$L$96,MATCH(LARGE($N$20:$N$96,73),$N$20:$N$96,0))),"")</f>
        <v/>
      </c>
      <c r="C92" s="288">
        <f>IFERROR(INDEX('계좌현황'!C:C,INDEX($L$20:$L$96,MATCH(LARGE($N$20:$N$96,73),$N$20:$N$96,0))),"")</f>
        <v/>
      </c>
      <c r="D92" s="288">
        <f>IFERROR(INDEX('계좌현황'!D:D,INDEX($L$20:$L$96,MATCH(LARGE($N$20:$N$96,73),$N$20:$N$96,0))),"")</f>
        <v/>
      </c>
      <c r="E92" s="288">
        <f>IFERROR(INDEX('계좌현황'!E:E,INDEX($L$20:$L$96,MATCH(LARGE($N$20:$N$96,73),$N$20:$N$96,0))),"")</f>
        <v/>
      </c>
      <c r="F92" s="318">
        <f>IFERROR(INDEX('계좌현황'!F:F,INDEX($L$20:$L$96,MATCH(LARGE($N$20:$N$96,73),$N$20:$N$96,0))),"")</f>
        <v/>
      </c>
      <c r="G92" s="319">
        <f>IFERROR(INDEX('계좌현황'!K:K,INDEX($L$20:$L$96,MATCH(LARGE($N$20:$N$96,73),$N$20:$N$96,0))),0)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IFERROR(INDEX('계좌현황'!A:A,INDEX($L$20:$L$96,MATCH(LARGE($N$20:$N$96,74),$N$20:$N$96,0))),"")</f>
        <v/>
      </c>
      <c r="C93" s="288">
        <f>IFERROR(INDEX('계좌현황'!C:C,INDEX($L$20:$L$96,MATCH(LARGE($N$20:$N$96,74),$N$20:$N$96,0))),"")</f>
        <v/>
      </c>
      <c r="D93" s="288">
        <f>IFERROR(INDEX('계좌현황'!D:D,INDEX($L$20:$L$96,MATCH(LARGE($N$20:$N$96,74),$N$20:$N$96,0))),"")</f>
        <v/>
      </c>
      <c r="E93" s="288">
        <f>IFERROR(INDEX('계좌현황'!E:E,INDEX($L$20:$L$96,MATCH(LARGE($N$20:$N$96,74),$N$20:$N$96,0))),"")</f>
        <v/>
      </c>
      <c r="F93" s="318">
        <f>IFERROR(INDEX('계좌현황'!F:F,INDEX($L$20:$L$96,MATCH(LARGE($N$20:$N$96,74),$N$20:$N$96,0))),"")</f>
        <v/>
      </c>
      <c r="G93" s="319">
        <f>IFERROR(INDEX('계좌현황'!K:K,INDEX($L$20:$L$96,MATCH(LARGE($N$20:$N$96,74),$N$20:$N$96,0))),0)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8" t="n">
        <v>75</v>
      </c>
      <c r="B94" s="288">
        <f>IFERROR(INDEX('계좌현황'!A:A,INDEX($L$20:$L$96,MATCH(LARGE($N$20:$N$96,75),$N$20:$N$96,0))),"")</f>
        <v/>
      </c>
      <c r="C94" s="288">
        <f>IFERROR(INDEX('계좌현황'!C:C,INDEX($L$20:$L$96,MATCH(LARGE($N$20:$N$96,75),$N$20:$N$96,0))),"")</f>
        <v/>
      </c>
      <c r="D94" s="288">
        <f>IFERROR(INDEX('계좌현황'!D:D,INDEX($L$20:$L$96,MATCH(LARGE($N$20:$N$96,75),$N$20:$N$96,0))),"")</f>
        <v/>
      </c>
      <c r="E94" s="288">
        <f>IFERROR(INDEX('계좌현황'!E:E,INDEX($L$20:$L$96,MATCH(LARGE($N$20:$N$96,75),$N$20:$N$96,0))),"")</f>
        <v/>
      </c>
      <c r="F94" s="318">
        <f>IFERROR(INDEX('계좌현황'!F:F,INDEX($L$20:$L$96,MATCH(LARGE($N$20:$N$96,75),$N$20:$N$96,0))),"")</f>
        <v/>
      </c>
      <c r="G94" s="319">
        <f>IFERROR(INDEX('계좌현황'!K:K,INDEX($L$20:$L$96,MATCH(LARGE($N$20:$N$96,75),$N$20:$N$96,0))),0)</f>
        <v/>
      </c>
      <c r="H94" s="320">
        <f>IF($B$3=0,0,G94/$B$3)</f>
        <v/>
      </c>
      <c r="I94" s="320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1" t="n">
        <v>76</v>
      </c>
      <c r="B95" s="291">
        <f>IFERROR(INDEX('계좌현황'!A:A,INDEX($L$20:$L$96,MATCH(LARGE($N$20:$N$96,76),$N$20:$N$96,0))),"")</f>
        <v/>
      </c>
      <c r="C95" s="291">
        <f>IFERROR(INDEX('계좌현황'!C:C,INDEX($L$20:$L$96,MATCH(LARGE($N$20:$N$96,76),$N$20:$N$96,0))),"")</f>
        <v/>
      </c>
      <c r="D95" s="291">
        <f>IFERROR(INDEX('계좌현황'!D:D,INDEX($L$20:$L$96,MATCH(LARGE($N$20:$N$96,76),$N$20:$N$96,0))),"")</f>
        <v/>
      </c>
      <c r="E95" s="291">
        <f>IFERROR(INDEX('계좌현황'!E:E,INDEX($L$20:$L$96,MATCH(LARGE($N$20:$N$96,76),$N$20:$N$96,0))),"")</f>
        <v/>
      </c>
      <c r="F95" s="321">
        <f>IFERROR(INDEX('계좌현황'!F:F,INDEX($L$20:$L$96,MATCH(LARGE($N$20:$N$96,76),$N$20:$N$96,0))),"")</f>
        <v/>
      </c>
      <c r="G95" s="322">
        <f>IFERROR(INDEX('계좌현황'!K:K,INDEX($L$20:$L$96,MATCH(LARGE($N$20:$N$96,76),$N$20:$N$96,0))),0)</f>
        <v/>
      </c>
      <c r="H95" s="323">
        <f>IF($B$3=0,0,G95/$B$3)</f>
        <v/>
      </c>
      <c r="I95" s="323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7" t="n">
        <v>77</v>
      </c>
      <c r="B96" s="297">
        <f>IFERROR(INDEX('계좌현황'!A:A,INDEX($L$20:$L$96,MATCH(LARGE($N$20:$N$96,77),$N$20:$N$96,0))),"")</f>
        <v/>
      </c>
      <c r="C96" s="297">
        <f>IFERROR(INDEX('계좌현황'!C:C,INDEX($L$20:$L$96,MATCH(LARGE($N$20:$N$96,77),$N$20:$N$96,0))),"")</f>
        <v/>
      </c>
      <c r="D96" s="297">
        <f>IFERROR(INDEX('계좌현황'!D:D,INDEX($L$20:$L$96,MATCH(LARGE($N$20:$N$96,77),$N$20:$N$96,0))),"")</f>
        <v/>
      </c>
      <c r="E96" s="297">
        <f>IFERROR(INDEX('계좌현황'!E:E,INDEX($L$20:$L$96,MATCH(LARGE($N$20:$N$96,77),$N$20:$N$96,0))),"")</f>
        <v/>
      </c>
      <c r="F96" s="327">
        <f>IFERROR(INDEX('계좌현황'!F:F,INDEX($L$20:$L$96,MATCH(LARGE($N$20:$N$96,77),$N$20:$N$96,0))),"")</f>
        <v/>
      </c>
      <c r="G96" s="328">
        <f>IFERROR(INDEX('계좌현황'!K:K,INDEX($L$20:$L$96,MATCH(LARGE($N$20:$N$96,77),$N$20:$N$96,0))),0)</f>
        <v/>
      </c>
      <c r="H96" s="329">
        <f>IF($B$3=0,0,G96/$B$3)</f>
        <v/>
      </c>
      <c r="I96" s="329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4" t="inlineStr">
        <is>
          <t>합계</t>
        </is>
      </c>
      <c r="G97" s="333">
        <f>SUM(G20:G96)</f>
        <v/>
      </c>
      <c r="H97" s="334">
        <f>SUM(H20:H96)</f>
        <v/>
      </c>
    </row>
    <row r="100">
      <c r="A100" s="271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1,425원/$  | 연간 합계 52,126,856원 · 월평균 4,343,905원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4080101.75</v>
      </c>
      <c r="C7" s="277" t="n">
        <v>0</v>
      </c>
      <c r="D7" s="277" t="n">
        <v>4080101.75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4211267</v>
      </c>
      <c r="C8" s="280" t="n">
        <v>25200</v>
      </c>
      <c r="D8" s="280" t="n">
        <v>4236467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4590426.600000001</v>
      </c>
      <c r="C9" s="280" t="n">
        <v>55328</v>
      </c>
      <c r="D9" s="280" t="n">
        <v>4645754.600000001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4196740.025</v>
      </c>
      <c r="C10" s="280" t="n">
        <v>5104</v>
      </c>
      <c r="D10" s="280" t="n">
        <v>4201844.025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4303582.775</v>
      </c>
      <c r="C11" s="277" t="n">
        <v>0</v>
      </c>
      <c r="D11" s="277" t="n">
        <v>4303582.775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4316848.775</v>
      </c>
      <c r="C12" s="280" t="n">
        <v>55412</v>
      </c>
      <c r="D12" s="280" t="n">
        <v>4372260.775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4331785.275</v>
      </c>
      <c r="C13" s="277" t="n">
        <v>0</v>
      </c>
      <c r="D13" s="277" t="n">
        <v>4331785.275</v>
      </c>
      <c r="E13" s="276" t="inlineStr">
        <is>
          <t>실적</t>
        </is>
      </c>
    </row>
    <row r="14">
      <c r="A14" s="285" t="inlineStr">
        <is>
          <t>8월</t>
        </is>
      </c>
      <c r="B14" s="286" t="n">
        <v>0</v>
      </c>
      <c r="C14" s="286" t="n">
        <v>4096644.7125</v>
      </c>
      <c r="D14" s="286" t="n">
        <v>4096644.7125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4223548.925</v>
      </c>
      <c r="D15" s="286" t="n">
        <v>4223548.925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4068673.7</v>
      </c>
      <c r="D16" s="286" t="n">
        <v>4068673.7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4359846.8</v>
      </c>
      <c r="D17" s="286" t="n">
        <v>4359846.8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5206346.0975</v>
      </c>
      <c r="D18" s="286" t="n">
        <v>5206346.0975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0.0984</v>
      </c>
      <c r="F24" s="301" t="n">
        <v>172567720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0.09609999999999999</v>
      </c>
      <c r="F25" s="301" t="n">
        <v>71285800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0.1624</v>
      </c>
      <c r="F26" s="301" t="n">
        <v>27692050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0.1437</v>
      </c>
      <c r="F27" s="301" t="n">
        <v>27580140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0.1124</v>
      </c>
      <c r="F28" s="301" t="n">
        <v>30795000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0.1376</v>
      </c>
      <c r="F29" s="301" t="n">
        <v>22971420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0.09429999999999999</v>
      </c>
      <c r="F30" s="301" t="n">
        <v>20100000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0.1444</v>
      </c>
      <c r="F31" s="301" t="n">
        <v>12189450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0.0673</v>
      </c>
      <c r="F32" s="301" t="n">
        <v>22630000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0.0298</v>
      </c>
      <c r="F33" s="301" t="n">
        <v>43731345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0.1123</v>
      </c>
      <c r="F34" s="301" t="n">
        <v>10264032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0.1264</v>
      </c>
      <c r="F35" s="301" t="n">
        <v>8006400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0.0204</v>
      </c>
      <c r="F36" s="301" t="n">
        <v>28096605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0.0295</v>
      </c>
      <c r="F37" s="301" t="n">
        <v>18646600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0.0956</v>
      </c>
      <c r="F38" s="301" t="n">
        <v>5253000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1425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20391.75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3334.5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1467.75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1767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2536.5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2593.5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20391.75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5814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5842.499999999999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1362.3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8789.4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27253.125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20467.275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1425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12753.75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20467.275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3462.75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1767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1467.75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2536.5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2593.5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20467.275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5814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5842.499999999999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1425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1360.875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12753.75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3737.775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8652.6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20467.275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1425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20467.275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20089.65</v>
      </c>
      <c r="H232" s="285" t="inlineStr">
        <is>
          <t>예측</t>
        </is>
      </c>
    </row>
    <row r="233">
      <c r="A233" s="342" t="n">
        <v>46242</v>
      </c>
      <c r="B233" s="285" t="n">
        <v>8</v>
      </c>
      <c r="C233" s="285" t="n">
        <v>105560</v>
      </c>
      <c r="D233" s="285" t="inlineStr">
        <is>
          <t>KB금융</t>
        </is>
      </c>
      <c r="E233" s="286" t="n">
        <v>11040</v>
      </c>
      <c r="F233" s="340" t="n"/>
      <c r="G233" s="286" t="n">
        <v>11040</v>
      </c>
      <c r="H233" s="285" t="inlineStr">
        <is>
          <t>예측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3270.375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1382.25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1681.5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11724.1875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2251.5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2379.75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4360.5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5486.25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20089.65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1031.7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1409.325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8749.5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12112.5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11542.5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1282.5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20240.7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3270.375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20165.175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1752.75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1439.25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2379.75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2479.5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5415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5771.25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9285.299999999999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1033.8375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20165.175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1639.035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11827.5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2026-08-05T01:03:55Z</dcterms:modified>
  <cp:lastModifiedBy>조효진 (상담심리)</cp:lastModifiedBy>
</cp:coreProperties>
</file>