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￦1,413</t>
        </is>
      </c>
      <c r="J5" s="73" t="n">
        <v>1413.48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11120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11350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10185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11830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14205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11210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7480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4075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27765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15580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11120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13915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22680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31930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27140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12330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11120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15580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18340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8215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135000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15730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6835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13115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192500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9770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10845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10700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232500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232500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18965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328.5799865722656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62.5099983215332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44.43000030517578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313.3299865722656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185300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92.20999908447266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169600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7745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77000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133.1100006103516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172.5399932861328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223.9600067138672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33.90000152587891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499.989990234375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177.1900024414062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47.2599983215332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172.0099945068359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82.83000183105469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10.22000026702881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41.70000076293945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420.0400085449219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153.6000061035156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191.3699951171875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147.0200042724609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8.640000343322754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105.5800018310547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9.819999694824219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14040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48.41999816894531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15625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185750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32030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22680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186.5599975585938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153.0399932861328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111.8499984741211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IFERROR(INDEX('계좌현황'!A:A,INDEX($L$20:$L$95,MATCH(LARGE($N$20:$N$95,13),$N$20:$N$95,0))),"")</f>
        <v/>
      </c>
      <c r="C32" s="285">
        <f>IFERROR(INDEX('계좌현황'!C:C,INDEX($L$20:$L$95,MATCH(LARGE($N$20:$N$95,13),$N$20:$N$95,0))),"")</f>
        <v/>
      </c>
      <c r="D32" s="285">
        <f>IFERROR(INDEX('계좌현황'!D:D,INDEX($L$20:$L$95,MATCH(LARGE($N$20:$N$95,13),$N$20:$N$95,0))),"")</f>
        <v/>
      </c>
      <c r="E32" s="285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IFERROR(INDEX('계좌현황'!A:A,INDEX($L$20:$L$95,MATCH(LARGE($N$20:$N$95,14),$N$20:$N$95,0))),"")</f>
        <v/>
      </c>
      <c r="C33" s="279">
        <f>IFERROR(INDEX('계좌현황'!C:C,INDEX($L$20:$L$95,MATCH(LARGE($N$20:$N$95,14),$N$20:$N$95,0))),"")</f>
        <v/>
      </c>
      <c r="D33" s="279">
        <f>IFERROR(INDEX('계좌현황'!D:D,INDEX($L$20:$L$95,MATCH(LARGE($N$20:$N$95,14),$N$20:$N$95,0))),"")</f>
        <v/>
      </c>
      <c r="E33" s="279">
        <f>IFERROR(INDEX('계좌현황'!E:E,INDEX($L$20:$L$95,MATCH(LARGE($N$20:$N$95,14),$N$20:$N$95,0))),"")</f>
        <v/>
      </c>
      <c r="F33" s="309">
        <f>IFERROR(INDEX('계좌현황'!F:F,INDEX($L$20:$L$95,MATCH(LARGE($N$20:$N$95,14),$N$20:$N$95,0))),"")</f>
        <v/>
      </c>
      <c r="G33" s="310">
        <f>IFERROR(INDEX('계좌현황'!K:K,INDEX($L$20:$L$95,MATCH(LARGE($N$20:$N$95,14),$N$20:$N$95,0))),0)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12">
        <f>IFERROR(INDEX('계좌현황'!F:F,INDEX($L$20:$L$95,MATCH(LARGE($N$20:$N$95,19),$N$20:$N$95,0))),"")</f>
        <v/>
      </c>
      <c r="G38" s="313">
        <f>IFERROR(INDEX('계좌현황'!K:K,INDEX($L$20:$L$95,MATCH(LARGE($N$20:$N$95,19),$N$20:$N$95,0))),0)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24">
        <f>IFERROR(INDEX('계좌현황'!F:F,INDEX($L$20:$L$95,MATCH(LARGE($N$20:$N$95,20),$N$20:$N$95,0))),"")</f>
        <v/>
      </c>
      <c r="G39" s="325">
        <f>IFERROR(INDEX('계좌현황'!K:K,INDEX($L$20:$L$95,MATCH(LARGE($N$20:$N$95,20),$N$20:$N$95,0))),0)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IFERROR(INDEX('계좌현황'!A:A,INDEX($L$20:$L$95,MATCH(LARGE($N$20:$N$95,24),$N$20:$N$95,0))),"")</f>
        <v/>
      </c>
      <c r="C43" s="276">
        <f>IFERROR(INDEX('계좌현황'!C:C,INDEX($L$20:$L$95,MATCH(LARGE($N$20:$N$95,24),$N$20:$N$95,0))),"")</f>
        <v/>
      </c>
      <c r="D43" s="276">
        <f>IFERROR(INDEX('계좌현황'!D:D,INDEX($L$20:$L$95,MATCH(LARGE($N$20:$N$95,24),$N$20:$N$95,0))),"")</f>
        <v/>
      </c>
      <c r="E43" s="276">
        <f>IFERROR(INDEX('계좌현황'!E:E,INDEX($L$20:$L$95,MATCH(LARGE($N$20:$N$95,24),$N$20:$N$95,0))),"")</f>
        <v/>
      </c>
      <c r="F43" s="306">
        <f>IFERROR(INDEX('계좌현황'!F:F,INDEX($L$20:$L$95,MATCH(LARGE($N$20:$N$95,24),$N$20:$N$95,0))),"")</f>
        <v/>
      </c>
      <c r="G43" s="307">
        <f>IFERROR(INDEX('계좌현황'!K:K,INDEX($L$20:$L$95,MATCH(LARGE($N$20:$N$95,24),$N$20:$N$95,0))),0)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5" t="n">
        <v>28</v>
      </c>
      <c r="B47" s="285">
        <f>IFERROR(INDEX('계좌현황'!A:A,INDEX($L$20:$L$95,MATCH(LARGE($N$20:$N$95,28),$N$20:$N$95,0))),"")</f>
        <v/>
      </c>
      <c r="C47" s="285">
        <f>IFERROR(INDEX('계좌현황'!C:C,INDEX($L$20:$L$95,MATCH(LARGE($N$20:$N$95,28),$N$20:$N$95,0))),"")</f>
        <v/>
      </c>
      <c r="D47" s="285">
        <f>IFERROR(INDEX('계좌현황'!D:D,INDEX($L$20:$L$95,MATCH(LARGE($N$20:$N$95,28),$N$20:$N$95,0))),"")</f>
        <v/>
      </c>
      <c r="E47" s="285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IFERROR(INDEX('계좌현황'!A:A,INDEX($L$20:$L$95,MATCH(LARGE($N$20:$N$95,64),$N$20:$N$95,0))),"")</f>
        <v/>
      </c>
      <c r="C83" s="288">
        <f>IFERROR(INDEX('계좌현황'!C:C,INDEX($L$20:$L$95,MATCH(LARGE($N$20:$N$95,64),$N$20:$N$95,0))),"")</f>
        <v/>
      </c>
      <c r="D83" s="288">
        <f>IFERROR(INDEX('계좌현황'!D:D,INDEX($L$20:$L$95,MATCH(LARGE($N$20:$N$95,64),$N$20:$N$95,0))),"")</f>
        <v/>
      </c>
      <c r="E83" s="288">
        <f>IFERROR(INDEX('계좌현황'!E:E,INDEX($L$20:$L$95,MATCH(LARGE($N$20:$N$95,64),$N$20:$N$95,0))),"")</f>
        <v/>
      </c>
      <c r="F83" s="318">
        <f>IFERROR(INDEX('계좌현황'!F:F,INDEX($L$20:$L$95,MATCH(LARGE($N$20:$N$95,64),$N$20:$N$95,0))),"")</f>
        <v/>
      </c>
      <c r="G83" s="319">
        <f>IFERROR(INDEX('계좌현황'!K:K,INDEX($L$20:$L$95,MATCH(LARGE($N$20:$N$95,64),$N$20:$N$95,0))),0)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IFERROR(INDEX('계좌현황'!A:A,INDEX($L$20:$L$95,MATCH(LARGE($N$20:$N$95,65),$N$20:$N$95,0))),"")</f>
        <v/>
      </c>
      <c r="C84" s="300">
        <f>IFERROR(INDEX('계좌현황'!C:C,INDEX($L$20:$L$95,MATCH(LARGE($N$20:$N$95,65),$N$20:$N$95,0))),"")</f>
        <v/>
      </c>
      <c r="D84" s="300">
        <f>IFERROR(INDEX('계좌현황'!D:D,INDEX($L$20:$L$95,MATCH(LARGE($N$20:$N$95,65),$N$20:$N$95,0))),"")</f>
        <v/>
      </c>
      <c r="E84" s="300">
        <f>IFERROR(INDEX('계좌현황'!E:E,INDEX($L$20:$L$95,MATCH(LARGE($N$20:$N$95,65),$N$20:$N$95,0))),"")</f>
        <v/>
      </c>
      <c r="F84" s="330">
        <f>IFERROR(INDEX('계좌현황'!F:F,INDEX($L$20:$L$95,MATCH(LARGE($N$20:$N$95,65),$N$20:$N$95,0))),"")</f>
        <v/>
      </c>
      <c r="G84" s="331">
        <f>IFERROR(INDEX('계좌현황'!K:K,INDEX($L$20:$L$95,MATCH(LARGE($N$20:$N$95,65),$N$20:$N$95,0))),0)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1,413원/$  | 연간 합계 52,012,845원 · 월평균 4,334,404원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4080190.03</v>
      </c>
      <c r="C7" s="277" t="n">
        <v>0</v>
      </c>
      <c r="D7" s="277" t="n">
        <v>4080190.03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4210947.8</v>
      </c>
      <c r="C8" s="277" t="n">
        <v>0</v>
      </c>
      <c r="D8" s="277" t="n">
        <v>4210947.8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4589890.056</v>
      </c>
      <c r="C9" s="280" t="n">
        <v>35408</v>
      </c>
      <c r="D9" s="280" t="n">
        <v>4625298.056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4196720.269</v>
      </c>
      <c r="C10" s="280" t="n">
        <v>5104</v>
      </c>
      <c r="D10" s="280" t="n">
        <v>4201824.269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4283341.859</v>
      </c>
      <c r="C11" s="277" t="n">
        <v>0</v>
      </c>
      <c r="D11" s="277" t="n">
        <v>4283341.859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4316392.019</v>
      </c>
      <c r="C12" s="280" t="n">
        <v>35492</v>
      </c>
      <c r="D12" s="280" t="n">
        <v>4351884.019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4331932.919</v>
      </c>
      <c r="C13" s="277" t="n">
        <v>0</v>
      </c>
      <c r="D13" s="277" t="n">
        <v>4331932.919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4065287.7465</v>
      </c>
      <c r="D14" s="280" t="n">
        <v>4079147.7465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4203217.313</v>
      </c>
      <c r="D15" s="286" t="n">
        <v>4203217.313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4068647.252</v>
      </c>
      <c r="D16" s="286" t="n">
        <v>4068647.252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4359536.047999999</v>
      </c>
      <c r="D17" s="286" t="n">
        <v>4359536.047999999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5216877.3851</v>
      </c>
      <c r="D18" s="286" t="n">
        <v>5216877.3851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0.09949999999999999</v>
      </c>
      <c r="F24" s="301" t="n">
        <v>170725360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0.0964</v>
      </c>
      <c r="F25" s="301" t="n">
        <v>71044800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0.1599</v>
      </c>
      <c r="F26" s="301" t="n">
        <v>28119910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0.1444</v>
      </c>
      <c r="F27" s="301" t="n">
        <v>27446580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0.1133</v>
      </c>
      <c r="F28" s="301" t="n">
        <v>30555000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0.1381</v>
      </c>
      <c r="F29" s="301" t="n">
        <v>22888800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0.09300000000000001</v>
      </c>
      <c r="F30" s="301" t="n">
        <v>20375000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0.1519</v>
      </c>
      <c r="F31" s="301" t="n">
        <v>11587615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0.068</v>
      </c>
      <c r="F32" s="301" t="n">
        <v>22420000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43368350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0.1185</v>
      </c>
      <c r="F34" s="301" t="n">
        <v>9727720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0.1284</v>
      </c>
      <c r="F35" s="301" t="n">
        <v>7886400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27998055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0.0297</v>
      </c>
      <c r="F37" s="301" t="n">
        <v>18506950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0.09630000000000001</v>
      </c>
      <c r="F38" s="301" t="n">
        <v>5210500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1413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20220.03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3306.42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1455.39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1752.12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2515.14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2571.66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20220.03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5765.04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5793.299999999999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1350.828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8715.384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27023.625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20294.919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1413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12646.35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20294.919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3433.59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1752.12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1455.39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2515.14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2571.66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20294.919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5765.04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5793.299999999999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1413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1349.415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12646.35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3706.299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8579.736000000001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20294.919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1413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20294.919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19920.474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2" t="n">
        <v>46246</v>
      </c>
      <c r="B230" s="285" t="n">
        <v>8</v>
      </c>
      <c r="C230" s="285" t="inlineStr">
        <is>
          <t>AAPL</t>
        </is>
      </c>
      <c r="D230" s="285" t="inlineStr">
        <is>
          <t>애플</t>
        </is>
      </c>
      <c r="E230" s="286" t="n"/>
      <c r="F230" s="340" t="n">
        <v>2.295</v>
      </c>
      <c r="G230" s="286" t="n">
        <v>3242.835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1370.61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1667.34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11625.4575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2232.54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2359.71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4323.78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5440.05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19920.474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1023.012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1397.457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8675.82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12010.5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11445.3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1271.7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20070.252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3242.835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19995.363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1737.99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1427.13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2359.71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2458.62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5369.4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5722.65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9207.108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1025.1315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19995.363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1625.2326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11727.9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2026-08-10T01:02:23Z</dcterms:modified>
  <cp:lastModifiedBy>조효진 (상담심리)</cp:lastModifiedBy>
</cp:coreProperties>
</file>