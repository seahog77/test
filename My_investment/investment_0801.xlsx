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￦1,416</t>
        </is>
      </c>
      <c r="J5" s="73" t="n">
        <v>1416.48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11335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11430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10235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11715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14130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11275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7405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4110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28140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15310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11335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14180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22875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12375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32360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27370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12250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11335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15310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18815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8235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140500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15945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6860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13155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199200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9980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10925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10700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268500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268500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20565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339.9599914550781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62.95000076293945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44.97999954223633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305.260009765625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177500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94.43000030517578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169100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8555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72500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141.2899932861328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174.1900024414062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225.3000030517578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34.43000030517578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496.8800048828125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183.3800048828125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46.72000122070312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179.0099945068359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80.09999847412109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10.18000030517578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41.22999954223633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430.489990234375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153.8999938964844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191.8200073242188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156.2200012207031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8.260000228881836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108.5500030517578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9.850000381469727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16830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46.45000076293945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15740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188375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31820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22880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197.6999969482422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158.6100006103516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115.7200012207031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88" t="n">
        <v>17</v>
      </c>
      <c r="B36" s="288">
        <f>IFERROR(INDEX('계좌현황'!A:A,INDEX($L$20:$L$95,MATCH(LARGE($N$20:$N$95,17),$N$20:$N$95,0))),"")</f>
        <v/>
      </c>
      <c r="C36" s="288">
        <f>IFERROR(INDEX('계좌현황'!C:C,INDEX($L$20:$L$95,MATCH(LARGE($N$20:$N$95,17),$N$20:$N$95,0))),"")</f>
        <v/>
      </c>
      <c r="D36" s="288">
        <f>IFERROR(INDEX('계좌현황'!D:D,INDEX($L$20:$L$95,MATCH(LARGE($N$20:$N$95,17),$N$20:$N$95,0))),"")</f>
        <v/>
      </c>
      <c r="E36" s="288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4" t="n">
        <v>18</v>
      </c>
      <c r="B37" s="294">
        <f>IFERROR(INDEX('계좌현황'!A:A,INDEX($L$20:$L$95,MATCH(LARGE($N$20:$N$95,18),$N$20:$N$95,0))),"")</f>
        <v/>
      </c>
      <c r="C37" s="294">
        <f>IFERROR(INDEX('계좌현황'!C:C,INDEX($L$20:$L$95,MATCH(LARGE($N$20:$N$95,18),$N$20:$N$95,0))),"")</f>
        <v/>
      </c>
      <c r="D37" s="294">
        <f>IFERROR(INDEX('계좌현황'!D:D,INDEX($L$20:$L$95,MATCH(LARGE($N$20:$N$95,18),$N$20:$N$95,0))),"")</f>
        <v/>
      </c>
      <c r="E37" s="294">
        <f>IFERROR(INDEX('계좌현황'!E:E,INDEX($L$20:$L$95,MATCH(LARGE($N$20:$N$95,18),$N$20:$N$95,0))),"")</f>
        <v/>
      </c>
      <c r="F37" s="324">
        <f>IFERROR(INDEX('계좌현황'!F:F,INDEX($L$20:$L$95,MATCH(LARGE($N$20:$N$95,18),$N$20:$N$95,0))),"")</f>
        <v/>
      </c>
      <c r="G37" s="325">
        <f>IFERROR(INDEX('계좌현황'!K:K,INDEX($L$20:$L$95,MATCH(LARGE($N$20:$N$95,18),$N$20:$N$95,0))),0)</f>
        <v/>
      </c>
      <c r="H37" s="326">
        <f>IF($B$3=0,0,G37/$B$3)</f>
        <v/>
      </c>
      <c r="I37" s="326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8" t="n">
        <v>19</v>
      </c>
      <c r="B38" s="288">
        <f>IFERROR(INDEX('계좌현황'!A:A,INDEX($L$20:$L$95,MATCH(LARGE($N$20:$N$95,19),$N$20:$N$95,0))),"")</f>
        <v/>
      </c>
      <c r="C38" s="288">
        <f>IFERROR(INDEX('계좌현황'!C:C,INDEX($L$20:$L$95,MATCH(LARGE($N$20:$N$95,19),$N$20:$N$95,0))),"")</f>
        <v/>
      </c>
      <c r="D38" s="288">
        <f>IFERROR(INDEX('계좌현황'!D:D,INDEX($L$20:$L$95,MATCH(LARGE($N$20:$N$95,19),$N$20:$N$95,0))),"")</f>
        <v/>
      </c>
      <c r="E38" s="288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2" t="n">
        <v>20</v>
      </c>
      <c r="B39" s="282">
        <f>IFERROR(INDEX('계좌현황'!A:A,INDEX($L$20:$L$95,MATCH(LARGE($N$20:$N$95,20),$N$20:$N$95,0))),"")</f>
        <v/>
      </c>
      <c r="C39" s="282">
        <f>IFERROR(INDEX('계좌현황'!C:C,INDEX($L$20:$L$95,MATCH(LARGE($N$20:$N$95,20),$N$20:$N$95,0))),"")</f>
        <v/>
      </c>
      <c r="D39" s="282">
        <f>IFERROR(INDEX('계좌현황'!D:D,INDEX($L$20:$L$95,MATCH(LARGE($N$20:$N$95,20),$N$20:$N$95,0))),"")</f>
        <v/>
      </c>
      <c r="E39" s="282">
        <f>IFERROR(INDEX('계좌현황'!E:E,INDEX($L$20:$L$95,MATCH(LARGE($N$20:$N$95,20),$N$20:$N$95,0))),"")</f>
        <v/>
      </c>
      <c r="F39" s="312">
        <f>IFERROR(INDEX('계좌현황'!F:F,INDEX($L$20:$L$95,MATCH(LARGE($N$20:$N$95,20),$N$20:$N$95,0))),"")</f>
        <v/>
      </c>
      <c r="G39" s="313">
        <f>IFERROR(INDEX('계좌현황'!K:K,INDEX($L$20:$L$95,MATCH(LARGE($N$20:$N$95,20),$N$20:$N$95,0))),0)</f>
        <v/>
      </c>
      <c r="H39" s="314">
        <f>IF($B$3=0,0,G39/$B$3)</f>
        <v/>
      </c>
      <c r="I39" s="314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8" t="n">
        <v>21</v>
      </c>
      <c r="B40" s="288">
        <f>IFERROR(INDEX('계좌현황'!A:A,INDEX($L$20:$L$95,MATCH(LARGE($N$20:$N$95,21),$N$20:$N$95,0))),"")</f>
        <v/>
      </c>
      <c r="C40" s="288">
        <f>IFERROR(INDEX('계좌현황'!C:C,INDEX($L$20:$L$95,MATCH(LARGE($N$20:$N$95,21),$N$20:$N$95,0))),"")</f>
        <v/>
      </c>
      <c r="D40" s="288">
        <f>IFERROR(INDEX('계좌현황'!D:D,INDEX($L$20:$L$95,MATCH(LARGE($N$20:$N$95,21),$N$20:$N$95,0))),"")</f>
        <v/>
      </c>
      <c r="E40" s="288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IFERROR(INDEX('계좌현황'!A:A,INDEX($L$20:$L$95,MATCH(LARGE($N$20:$N$95,22),$N$20:$N$95,0))),"")</f>
        <v/>
      </c>
      <c r="C41" s="294">
        <f>IFERROR(INDEX('계좌현황'!C:C,INDEX($L$20:$L$95,MATCH(LARGE($N$20:$N$95,22),$N$20:$N$95,0))),"")</f>
        <v/>
      </c>
      <c r="D41" s="294">
        <f>IFERROR(INDEX('계좌현황'!D:D,INDEX($L$20:$L$95,MATCH(LARGE($N$20:$N$95,22),$N$20:$N$95,0))),"")</f>
        <v/>
      </c>
      <c r="E41" s="294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4" t="n">
        <v>23</v>
      </c>
      <c r="B42" s="294">
        <f>IFERROR(INDEX('계좌현황'!A:A,INDEX($L$20:$L$95,MATCH(LARGE($N$20:$N$95,23),$N$20:$N$95,0))),"")</f>
        <v/>
      </c>
      <c r="C42" s="294">
        <f>IFERROR(INDEX('계좌현황'!C:C,INDEX($L$20:$L$95,MATCH(LARGE($N$20:$N$95,23),$N$20:$N$95,0))),"")</f>
        <v/>
      </c>
      <c r="D42" s="294">
        <f>IFERROR(INDEX('계좌현황'!D:D,INDEX($L$20:$L$95,MATCH(LARGE($N$20:$N$95,23),$N$20:$N$95,0))),"")</f>
        <v/>
      </c>
      <c r="E42" s="294">
        <f>IFERROR(INDEX('계좌현황'!E:E,INDEX($L$20:$L$95,MATCH(LARGE($N$20:$N$95,23),$N$20:$N$95,0))),"")</f>
        <v/>
      </c>
      <c r="F42" s="324">
        <f>IFERROR(INDEX('계좌현황'!F:F,INDEX($L$20:$L$95,MATCH(LARGE($N$20:$N$95,23),$N$20:$N$95,0))),"")</f>
        <v/>
      </c>
      <c r="G42" s="325">
        <f>IFERROR(INDEX('계좌현황'!K:K,INDEX($L$20:$L$95,MATCH(LARGE($N$20:$N$95,23),$N$20:$N$95,0))),0)</f>
        <v/>
      </c>
      <c r="H42" s="326">
        <f>IF($B$3=0,0,G42/$B$3)</f>
        <v/>
      </c>
      <c r="I42" s="326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5" t="n">
        <v>24</v>
      </c>
      <c r="B43" s="285">
        <f>IFERROR(INDEX('계좌현황'!A:A,INDEX($L$20:$L$95,MATCH(LARGE($N$20:$N$95,24),$N$20:$N$95,0))),"")</f>
        <v/>
      </c>
      <c r="C43" s="285">
        <f>IFERROR(INDEX('계좌현황'!C:C,INDEX($L$20:$L$95,MATCH(LARGE($N$20:$N$95,24),$N$20:$N$95,0))),"")</f>
        <v/>
      </c>
      <c r="D43" s="285">
        <f>IFERROR(INDEX('계좌현황'!D:D,INDEX($L$20:$L$95,MATCH(LARGE($N$20:$N$95,24),$N$20:$N$95,0))),"")</f>
        <v/>
      </c>
      <c r="E43" s="285">
        <f>IFERROR(INDEX('계좌현황'!E:E,INDEX($L$20:$L$95,MATCH(LARGE($N$20:$N$95,24),$N$20:$N$95,0))),"")</f>
        <v/>
      </c>
      <c r="F43" s="315">
        <f>IFERROR(INDEX('계좌현황'!F:F,INDEX($L$20:$L$95,MATCH(LARGE($N$20:$N$95,24),$N$20:$N$95,0))),"")</f>
        <v/>
      </c>
      <c r="G43" s="316">
        <f>IFERROR(INDEX('계좌현황'!K:K,INDEX($L$20:$L$95,MATCH(LARGE($N$20:$N$95,24),$N$20:$N$95,0))),0)</f>
        <v/>
      </c>
      <c r="H43" s="317">
        <f>IF($B$3=0,0,G43/$B$3)</f>
        <v/>
      </c>
      <c r="I43" s="31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76" t="n">
        <v>25</v>
      </c>
      <c r="B44" s="276">
        <f>IFERROR(INDEX('계좌현황'!A:A,INDEX($L$20:$L$95,MATCH(LARGE($N$20:$N$95,25),$N$20:$N$95,0))),"")</f>
        <v/>
      </c>
      <c r="C44" s="276">
        <f>IFERROR(INDEX('계좌현황'!C:C,INDEX($L$20:$L$95,MATCH(LARGE($N$20:$N$95,25),$N$20:$N$95,0))),"")</f>
        <v/>
      </c>
      <c r="D44" s="276">
        <f>IFERROR(INDEX('계좌현황'!D:D,INDEX($L$20:$L$95,MATCH(LARGE($N$20:$N$95,25),$N$20:$N$95,0))),"")</f>
        <v/>
      </c>
      <c r="E44" s="276">
        <f>IFERROR(INDEX('계좌현황'!E:E,INDEX($L$20:$L$95,MATCH(LARGE($N$20:$N$95,25),$N$20:$N$95,0))),"")</f>
        <v/>
      </c>
      <c r="F44" s="306">
        <f>IFERROR(INDEX('계좌현황'!F:F,INDEX($L$20:$L$95,MATCH(LARGE($N$20:$N$95,25),$N$20:$N$95,0))),"")</f>
        <v/>
      </c>
      <c r="G44" s="307">
        <f>IFERROR(INDEX('계좌현황'!K:K,INDEX($L$20:$L$95,MATCH(LARGE($N$20:$N$95,25),$N$20:$N$95,0))),0)</f>
        <v/>
      </c>
      <c r="H44" s="308">
        <f>IF($B$3=0,0,G44/$B$3)</f>
        <v/>
      </c>
      <c r="I44" s="308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5" t="n">
        <v>28</v>
      </c>
      <c r="B47" s="285">
        <f>IFERROR(INDEX('계좌현황'!A:A,INDEX($L$20:$L$95,MATCH(LARGE($N$20:$N$95,28),$N$20:$N$95,0))),"")</f>
        <v/>
      </c>
      <c r="C47" s="285">
        <f>IFERROR(INDEX('계좌현황'!C:C,INDEX($L$20:$L$95,MATCH(LARGE($N$20:$N$95,28),$N$20:$N$95,0))),"")</f>
        <v/>
      </c>
      <c r="D47" s="285">
        <f>IFERROR(INDEX('계좌현황'!D:D,INDEX($L$20:$L$95,MATCH(LARGE($N$20:$N$95,28),$N$20:$N$95,0))),"")</f>
        <v/>
      </c>
      <c r="E47" s="285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5" t="n">
        <v>33</v>
      </c>
      <c r="B52" s="285">
        <f>IFERROR(INDEX('계좌현황'!A:A,INDEX($L$20:$L$95,MATCH(LARGE($N$20:$N$95,33),$N$20:$N$95,0))),"")</f>
        <v/>
      </c>
      <c r="C52" s="285">
        <f>IFERROR(INDEX('계좌현황'!C:C,INDEX($L$20:$L$95,MATCH(LARGE($N$20:$N$95,33),$N$20:$N$95,0))),"")</f>
        <v/>
      </c>
      <c r="D52" s="285">
        <f>IFERROR(INDEX('계좌현황'!D:D,INDEX($L$20:$L$95,MATCH(LARGE($N$20:$N$95,33),$N$20:$N$95,0))),"")</f>
        <v/>
      </c>
      <c r="E52" s="285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8">
        <f>IFERROR(INDEX('계좌현황'!F:F,INDEX($L$20:$L$95,MATCH(LARGE($N$20:$N$95,35),$N$20:$N$95,0))),"")</f>
        <v/>
      </c>
      <c r="G54" s="319">
        <f>IFERROR(INDEX('계좌현황'!K:K,INDEX($L$20:$L$95,MATCH(LARGE($N$20:$N$95,35),$N$20:$N$95,0))),0)</f>
        <v/>
      </c>
      <c r="H54" s="320">
        <f>IF($B$3=0,0,G54/$B$3)</f>
        <v/>
      </c>
      <c r="I54" s="320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5" t="n">
        <v>43</v>
      </c>
      <c r="B62" s="285">
        <f>IFERROR(INDEX('계좌현황'!A:A,INDEX($L$20:$L$95,MATCH(LARGE($N$20:$N$95,43),$N$20:$N$95,0))),"")</f>
        <v/>
      </c>
      <c r="C62" s="285">
        <f>IFERROR(INDEX('계좌현황'!C:C,INDEX($L$20:$L$95,MATCH(LARGE($N$20:$N$95,43),$N$20:$N$95,0))),"")</f>
        <v/>
      </c>
      <c r="D62" s="285">
        <f>IFERROR(INDEX('계좌현황'!D:D,INDEX($L$20:$L$95,MATCH(LARGE($N$20:$N$95,43),$N$20:$N$95,0))),"")</f>
        <v/>
      </c>
      <c r="E62" s="285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IFERROR(INDEX('계좌현황'!A:A,INDEX($L$20:$L$95,MATCH(LARGE($N$20:$N$95,44),$N$20:$N$95,0))),"")</f>
        <v/>
      </c>
      <c r="C63" s="288">
        <f>IFERROR(INDEX('계좌현황'!C:C,INDEX($L$20:$L$95,MATCH(LARGE($N$20:$N$95,44),$N$20:$N$95,0))),"")</f>
        <v/>
      </c>
      <c r="D63" s="288">
        <f>IFERROR(INDEX('계좌현황'!D:D,INDEX($L$20:$L$95,MATCH(LARGE($N$20:$N$95,44),$N$20:$N$95,0))),"")</f>
        <v/>
      </c>
      <c r="E63" s="288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30">
        <f>IFERROR(INDEX('계좌현황'!F:F,INDEX($L$20:$L$95,MATCH(LARGE($N$20:$N$95,64),$N$20:$N$95,0))),"")</f>
        <v/>
      </c>
      <c r="G83" s="331">
        <f>IFERROR(INDEX('계좌현황'!K:K,INDEX($L$20:$L$95,MATCH(LARGE($N$20:$N$95,64),$N$20:$N$95,0))),0)</f>
        <v/>
      </c>
      <c r="H83" s="332">
        <f>IF($B$3=0,0,G83/$B$3)</f>
        <v/>
      </c>
      <c r="I83" s="332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IFERROR(INDEX('계좌현황'!A:A,INDEX($L$20:$L$95,MATCH(LARGE($N$20:$N$95,66),$N$20:$N$95,0))),"")</f>
        <v/>
      </c>
      <c r="C85" s="288">
        <f>IFERROR(INDEX('계좌현황'!C:C,INDEX($L$20:$L$95,MATCH(LARGE($N$20:$N$95,66),$N$20:$N$95,0))),"")</f>
        <v/>
      </c>
      <c r="D85" s="288">
        <f>IFERROR(INDEX('계좌현황'!D:D,INDEX($L$20:$L$95,MATCH(LARGE($N$20:$N$95,66),$N$20:$N$95,0))),"")</f>
        <v/>
      </c>
      <c r="E85" s="288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IFERROR(INDEX('계좌현황'!A:A,INDEX($L$20:$L$95,MATCH(LARGE($N$20:$N$95,67),$N$20:$N$95,0))),"")</f>
        <v/>
      </c>
      <c r="C86" s="300">
        <f>IFERROR(INDEX('계좌현황'!C:C,INDEX($L$20:$L$95,MATCH(LARGE($N$20:$N$95,67),$N$20:$N$95,0))),"")</f>
        <v/>
      </c>
      <c r="D86" s="300">
        <f>IFERROR(INDEX('계좌현황'!D:D,INDEX($L$20:$L$95,MATCH(LARGE($N$20:$N$95,67),$N$20:$N$95,0))),"")</f>
        <v/>
      </c>
      <c r="E86" s="300">
        <f>IFERROR(INDEX('계좌현황'!E:E,INDEX($L$20:$L$95,MATCH(LARGE($N$20:$N$95,67),$N$20:$N$95,0))),"")</f>
        <v/>
      </c>
      <c r="F86" s="330">
        <f>IFERROR(INDEX('계좌현황'!F:F,INDEX($L$20:$L$95,MATCH(LARGE($N$20:$N$95,67),$N$20:$N$95,0))),"")</f>
        <v/>
      </c>
      <c r="G86" s="331">
        <f>IFERROR(INDEX('계좌현황'!K:K,INDEX($L$20:$L$95,MATCH(LARGE($N$20:$N$95,67),$N$20:$N$95,0))),0)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1,416원/$  | 연간 합계 52,014,063원 · 월평균 4,334,505원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4080235.96</v>
      </c>
      <c r="C7" s="277" t="n">
        <v>0</v>
      </c>
      <c r="D7" s="277" t="n">
        <v>4080235.96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4211027.600000001</v>
      </c>
      <c r="C8" s="277" t="n">
        <v>0</v>
      </c>
      <c r="D8" s="277" t="n">
        <v>4211027.600000001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4590024.192000001</v>
      </c>
      <c r="C9" s="280" t="n">
        <v>35408</v>
      </c>
      <c r="D9" s="280" t="n">
        <v>4625432.192000001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4196793.208000001</v>
      </c>
      <c r="C10" s="280" t="n">
        <v>5104</v>
      </c>
      <c r="D10" s="280" t="n">
        <v>4201897.208000001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4283422.088</v>
      </c>
      <c r="C11" s="277" t="n">
        <v>0</v>
      </c>
      <c r="D11" s="277" t="n">
        <v>4283422.088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4316506.208000001</v>
      </c>
      <c r="C12" s="280" t="n">
        <v>35492</v>
      </c>
      <c r="D12" s="280" t="n">
        <v>4351998.208000001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4331979.008</v>
      </c>
      <c r="C13" s="277" t="n">
        <v>0</v>
      </c>
      <c r="D13" s="277" t="n">
        <v>4331979.008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17300.88</v>
      </c>
      <c r="C14" s="280" t="n">
        <v>4062137.268</v>
      </c>
      <c r="D14" s="280" t="n">
        <v>4079438.148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4203320.216</v>
      </c>
      <c r="D15" s="286" t="n">
        <v>4203320.216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4068716.864</v>
      </c>
      <c r="D16" s="286" t="n">
        <v>4068716.864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4359613.736</v>
      </c>
      <c r="D17" s="286" t="n">
        <v>4359613.736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5216982.0632</v>
      </c>
      <c r="D18" s="286" t="n">
        <v>5216982.0632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0.09759999999999999</v>
      </c>
      <c r="F24" s="301" t="n">
        <v>174026255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0.09810000000000001</v>
      </c>
      <c r="F25" s="301" t="n">
        <v>69813600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0.1615</v>
      </c>
      <c r="F26" s="301" t="n">
        <v>27846555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0.1453</v>
      </c>
      <c r="F27" s="301" t="n">
        <v>27268500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0.1128</v>
      </c>
      <c r="F28" s="301" t="n">
        <v>30705000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0.1395</v>
      </c>
      <c r="F29" s="301" t="n">
        <v>22659300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0.0922</v>
      </c>
      <c r="F30" s="301" t="n">
        <v>20550000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</v>
      </c>
      <c r="F31" s="301" t="n">
        <v>12565215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0.06759999999999999</v>
      </c>
      <c r="F32" s="301" t="n">
        <v>22550000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0.0298</v>
      </c>
      <c r="F33" s="301" t="n">
        <v>43674030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0.1073</v>
      </c>
      <c r="F34" s="301" t="n">
        <v>10745080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0.1281</v>
      </c>
      <c r="F35" s="301" t="n">
        <v>7905600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0.0206</v>
      </c>
      <c r="F36" s="301" t="n">
        <v>27850230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0.0292</v>
      </c>
      <c r="F37" s="301" t="n">
        <v>18859400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0.09539999999999998</v>
      </c>
      <c r="F38" s="301" t="n">
        <v>5259375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1416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20262.96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3313.44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1458.48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1755.84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2520.48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2577.12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20262.96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5777.28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5805.599999999999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1353.696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8733.888000000001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27081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20338.008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1416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12673.2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20338.008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3440.88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1755.84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1458.48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2520.48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2577.12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20338.008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5777.28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5805.599999999999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1416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1352.28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12673.2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3714.168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8597.951999999999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20338.008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1416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20338.008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19962.768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1" t="n">
        <v>46244</v>
      </c>
      <c r="B230" s="276" t="n">
        <v>8</v>
      </c>
      <c r="C230" s="276" t="inlineStr">
        <is>
          <t>AAPL</t>
        </is>
      </c>
      <c r="D230" s="276" t="inlineStr">
        <is>
          <t>애플</t>
        </is>
      </c>
      <c r="E230" s="277" t="n"/>
      <c r="F230" s="338" t="n">
        <v>2.43</v>
      </c>
      <c r="G230" s="277" t="n">
        <v>3440.88</v>
      </c>
      <c r="H230" s="276" t="inlineStr">
        <is>
          <t>실적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1373.52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1670.88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11650.14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2237.28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2364.72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4332.96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5451.6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19962.768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1025.184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1400.424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8694.24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12036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11469.6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1274.4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20112.864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3249.72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20037.816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1741.68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1430.16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2364.72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2463.84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5380.8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5734.8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9226.656000000001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1027.308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20037.816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1628.6832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11752.8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2026-08-14T01:23:49Z</dcterms:modified>
  <cp:lastModifiedBy>조효진 (상담심리)</cp:lastModifiedBy>
</cp:coreProperties>
</file>