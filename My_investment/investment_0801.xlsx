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￦1,438</t>
        </is>
      </c>
      <c r="J5" s="73" t="n">
        <v>1438.26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11250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11375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10230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11415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13950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11305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7440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4010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26935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15170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11250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13940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22275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12065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30970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26650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11930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11250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15170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17200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8285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128100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14640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6825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12365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190600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8455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10850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10800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245000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245000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19300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311.2099914550781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63.86999893188477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36.43999862670898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308.9100036621094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172500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83.66999816894531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167300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7900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83800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70400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108.370002746582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173.3600006103516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200.75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33.47000122070312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464.7200012207031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172.7100067138672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47.08000183105469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123.0599975585938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64.94999694824219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9.180000305175781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41.70999908447266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404.25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146.2599945068359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176.9299926757812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129.8699951171875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7.150000095367432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105.25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8.420000076293945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13350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38.83000183105469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15455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180265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31110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22285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196.8300018310547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155.4400024414062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111.1999969482422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IFERROR(INDEX('계좌현황'!A:A,INDEX($L$20:$L$96,MATCH(LARGE($N$20:$N$96,12),$N$20:$N$96,0))),"")</f>
        <v/>
      </c>
      <c r="C31" s="276">
        <f>IFERROR(INDEX('계좌현황'!C:C,INDEX($L$20:$L$96,MATCH(LARGE($N$20:$N$96,12),$N$20:$N$96,0))),"")</f>
        <v/>
      </c>
      <c r="D31" s="276">
        <f>IFERROR(INDEX('계좌현황'!D:D,INDEX($L$20:$L$96,MATCH(LARGE($N$20:$N$96,12),$N$20:$N$96,0))),"")</f>
        <v/>
      </c>
      <c r="E31" s="276">
        <f>IFERROR(INDEX('계좌현황'!E:E,INDEX($L$20:$L$96,MATCH(LARGE($N$20:$N$96,12),$N$20:$N$96,0))),"")</f>
        <v/>
      </c>
      <c r="F31" s="306">
        <f>IFERROR(INDEX('계좌현황'!F:F,INDEX($L$20:$L$96,MATCH(LARGE($N$20:$N$96,12),$N$20:$N$96,0))),"")</f>
        <v/>
      </c>
      <c r="G31" s="307">
        <f>IFERROR(INDEX('계좌현황'!K:K,INDEX($L$20:$L$96,MATCH(LARGE($N$20:$N$96,12),$N$20:$N$96,0))),0)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IFERROR(INDEX('계좌현황'!A:A,INDEX($L$20:$L$96,MATCH(LARGE($N$20:$N$96,13),$N$20:$N$96,0))),"")</f>
        <v/>
      </c>
      <c r="C32" s="285">
        <f>IFERROR(INDEX('계좌현황'!C:C,INDEX($L$20:$L$96,MATCH(LARGE($N$20:$N$96,13),$N$20:$N$96,0))),"")</f>
        <v/>
      </c>
      <c r="D32" s="285">
        <f>IFERROR(INDEX('계좌현황'!D:D,INDEX($L$20:$L$96,MATCH(LARGE($N$20:$N$96,13),$N$20:$N$96,0))),"")</f>
        <v/>
      </c>
      <c r="E32" s="285">
        <f>IFERROR(INDEX('계좌현황'!E:E,INDEX($L$20:$L$96,MATCH(LARGE($N$20:$N$96,13),$N$20:$N$96,0))),"")</f>
        <v/>
      </c>
      <c r="F32" s="315">
        <f>IFERROR(INDEX('계좌현황'!F:F,INDEX($L$20:$L$96,MATCH(LARGE($N$20:$N$96,13),$N$20:$N$96,0))),"")</f>
        <v/>
      </c>
      <c r="G32" s="316">
        <f>IFERROR(INDEX('계좌현황'!K:K,INDEX($L$20:$L$96,MATCH(LARGE($N$20:$N$96,13),$N$20:$N$96,0))),0)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IFERROR(INDEX('계좌현황'!A:A,INDEX($L$20:$L$96,MATCH(LARGE($N$20:$N$96,19),$N$20:$N$96,0))),"")</f>
        <v/>
      </c>
      <c r="C38" s="288">
        <f>IFERROR(INDEX('계좌현황'!C:C,INDEX($L$20:$L$96,MATCH(LARGE($N$20:$N$96,19),$N$20:$N$96,0))),"")</f>
        <v/>
      </c>
      <c r="D38" s="288">
        <f>IFERROR(INDEX('계좌현황'!D:D,INDEX($L$20:$L$96,MATCH(LARGE($N$20:$N$96,19),$N$20:$N$96,0))),"")</f>
        <v/>
      </c>
      <c r="E38" s="288">
        <f>IFERROR(INDEX('계좌현황'!E:E,INDEX($L$20:$L$96,MATCH(LARGE($N$20:$N$96,19),$N$20:$N$96,0))),"")</f>
        <v/>
      </c>
      <c r="F38" s="318">
        <f>IFERROR(INDEX('계좌현황'!F:F,INDEX($L$20:$L$96,MATCH(LARGE($N$20:$N$96,19),$N$20:$N$96,0))),"")</f>
        <v/>
      </c>
      <c r="G38" s="319">
        <f>IFERROR(INDEX('계좌현황'!K:K,INDEX($L$20:$L$96,MATCH(LARGE($N$20:$N$96,19),$N$20:$N$96,0))),0)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2" t="n">
        <v>20</v>
      </c>
      <c r="B39" s="282">
        <f>IFERROR(INDEX('계좌현황'!A:A,INDEX($L$20:$L$96,MATCH(LARGE($N$20:$N$96,20),$N$20:$N$96,0))),"")</f>
        <v/>
      </c>
      <c r="C39" s="282">
        <f>IFERROR(INDEX('계좌현황'!C:C,INDEX($L$20:$L$96,MATCH(LARGE($N$20:$N$96,20),$N$20:$N$96,0))),"")</f>
        <v/>
      </c>
      <c r="D39" s="282">
        <f>IFERROR(INDEX('계좌현황'!D:D,INDEX($L$20:$L$96,MATCH(LARGE($N$20:$N$96,20),$N$20:$N$96,0))),"")</f>
        <v/>
      </c>
      <c r="E39" s="282">
        <f>IFERROR(INDEX('계좌현황'!E:E,INDEX($L$20:$L$96,MATCH(LARGE($N$20:$N$96,20),$N$20:$N$96,0))),"")</f>
        <v/>
      </c>
      <c r="F39" s="312">
        <f>IFERROR(INDEX('계좌현황'!F:F,INDEX($L$20:$L$96,MATCH(LARGE($N$20:$N$96,20),$N$20:$N$96,0))),"")</f>
        <v/>
      </c>
      <c r="G39" s="313">
        <f>IFERROR(INDEX('계좌현황'!K:K,INDEX($L$20:$L$96,MATCH(LARGE($N$20:$N$96,20),$N$20:$N$96,0))),0)</f>
        <v/>
      </c>
      <c r="H39" s="314">
        <f>IF($B$3=0,0,G39/$B$3)</f>
        <v/>
      </c>
      <c r="I39" s="314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IFERROR(INDEX('계좌현황'!A:A,INDEX($L$20:$L$96,MATCH(LARGE($N$20:$N$96,22),$N$20:$N$96,0))),"")</f>
        <v/>
      </c>
      <c r="C41" s="294">
        <f>IFERROR(INDEX('계좌현황'!C:C,INDEX($L$20:$L$96,MATCH(LARGE($N$20:$N$96,22),$N$20:$N$96,0))),"")</f>
        <v/>
      </c>
      <c r="D41" s="294">
        <f>IFERROR(INDEX('계좌현황'!D:D,INDEX($L$20:$L$96,MATCH(LARGE($N$20:$N$96,22),$N$20:$N$96,0))),"")</f>
        <v/>
      </c>
      <c r="E41" s="294">
        <f>IFERROR(INDEX('계좌현황'!E:E,INDEX($L$20:$L$96,MATCH(LARGE($N$20:$N$96,22),$N$20:$N$96,0))),"")</f>
        <v/>
      </c>
      <c r="F41" s="324">
        <f>IFERROR(INDEX('계좌현황'!F:F,INDEX($L$20:$L$96,MATCH(LARGE($N$20:$N$96,22),$N$20:$N$96,0))),"")</f>
        <v/>
      </c>
      <c r="G41" s="325">
        <f>IFERROR(INDEX('계좌현황'!K:K,INDEX($L$20:$L$96,MATCH(LARGE($N$20:$N$96,22),$N$20:$N$96,0))),0)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IFERROR(INDEX('계좌현황'!A:A,INDEX($L$20:$L$96,MATCH(LARGE($N$20:$N$96,50),$N$20:$N$96,0))),"")</f>
        <v/>
      </c>
      <c r="C69" s="288">
        <f>IFERROR(INDEX('계좌현황'!C:C,INDEX($L$20:$L$96,MATCH(LARGE($N$20:$N$96,50),$N$20:$N$96,0))),"")</f>
        <v/>
      </c>
      <c r="D69" s="288">
        <f>IFERROR(INDEX('계좌현황'!D:D,INDEX($L$20:$L$96,MATCH(LARGE($N$20:$N$96,50),$N$20:$N$96,0))),"")</f>
        <v/>
      </c>
      <c r="E69" s="288">
        <f>IFERROR(INDEX('계좌현황'!E:E,INDEX($L$20:$L$96,MATCH(LARGE($N$20:$N$96,50),$N$20:$N$96,0))),"")</f>
        <v/>
      </c>
      <c r="F69" s="318">
        <f>IFERROR(INDEX('계좌현황'!F:F,INDEX($L$20:$L$96,MATCH(LARGE($N$20:$N$96,50),$N$20:$N$96,0))),"")</f>
        <v/>
      </c>
      <c r="G69" s="319">
        <f>IFERROR(INDEX('계좌현황'!K:K,INDEX($L$20:$L$96,MATCH(LARGE($N$20:$N$96,50),$N$20:$N$96,0))),0)</f>
        <v/>
      </c>
      <c r="H69" s="320">
        <f>IF($B$3=0,0,G69/$B$3)</f>
        <v/>
      </c>
      <c r="I69" s="320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IFERROR(INDEX('계좌현황'!A:A,INDEX($L$20:$L$96,MATCH(LARGE($N$20:$N$96,52),$N$20:$N$96,0))),"")</f>
        <v/>
      </c>
      <c r="C71" s="285">
        <f>IFERROR(INDEX('계좌현황'!C:C,INDEX($L$20:$L$96,MATCH(LARGE($N$20:$N$96,52),$N$20:$N$96,0))),"")</f>
        <v/>
      </c>
      <c r="D71" s="285">
        <f>IFERROR(INDEX('계좌현황'!D:D,INDEX($L$20:$L$96,MATCH(LARGE($N$20:$N$96,52),$N$20:$N$96,0))),"")</f>
        <v/>
      </c>
      <c r="E71" s="285">
        <f>IFERROR(INDEX('계좌현황'!E:E,INDEX($L$20:$L$96,MATCH(LARGE($N$20:$N$96,52),$N$20:$N$96,0))),"")</f>
        <v/>
      </c>
      <c r="F71" s="315">
        <f>IFERROR(INDEX('계좌현황'!F:F,INDEX($L$20:$L$96,MATCH(LARGE($N$20:$N$96,52),$N$20:$N$96,0))),"")</f>
        <v/>
      </c>
      <c r="G71" s="316">
        <f>IFERROR(INDEX('계좌현황'!K:K,INDEX($L$20:$L$96,MATCH(LARGE($N$20:$N$96,52),$N$20:$N$96,0))),0)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IFERROR(INDEX('계좌현황'!A:A,INDEX($L$20:$L$96,MATCH(LARGE($N$20:$N$96,65),$N$20:$N$96,0))),"")</f>
        <v/>
      </c>
      <c r="C84" s="300">
        <f>IFERROR(INDEX('계좌현황'!C:C,INDEX($L$20:$L$96,MATCH(LARGE($N$20:$N$96,65),$N$20:$N$96,0))),"")</f>
        <v/>
      </c>
      <c r="D84" s="300">
        <f>IFERROR(INDEX('계좌현황'!D:D,INDEX($L$20:$L$96,MATCH(LARGE($N$20:$N$96,65),$N$20:$N$96,0))),"")</f>
        <v/>
      </c>
      <c r="E84" s="300">
        <f>IFERROR(INDEX('계좌현황'!E:E,INDEX($L$20:$L$96,MATCH(LARGE($N$20:$N$96,65),$N$20:$N$96,0))),"")</f>
        <v/>
      </c>
      <c r="F84" s="330">
        <f>IFERROR(INDEX('계좌현황'!F:F,INDEX($L$20:$L$96,MATCH(LARGE($N$20:$N$96,65),$N$20:$N$96,0))),"")</f>
        <v/>
      </c>
      <c r="G84" s="331">
        <f>IFERROR(INDEX('계좌현황'!K:K,INDEX($L$20:$L$96,MATCH(LARGE($N$20:$N$96,65),$N$20:$N$96,0))),0)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IFERROR(INDEX('계좌현황'!A:A,INDEX($L$20:$L$96,MATCH(LARGE($N$20:$N$96,66),$N$20:$N$96,0))),"")</f>
        <v/>
      </c>
      <c r="C85" s="288">
        <f>IFERROR(INDEX('계좌현황'!C:C,INDEX($L$20:$L$96,MATCH(LARGE($N$20:$N$96,66),$N$20:$N$96,0))),"")</f>
        <v/>
      </c>
      <c r="D85" s="288">
        <f>IFERROR(INDEX('계좌현황'!D:D,INDEX($L$20:$L$96,MATCH(LARGE($N$20:$N$96,66),$N$20:$N$96,0))),"")</f>
        <v/>
      </c>
      <c r="E85" s="288">
        <f>IFERROR(INDEX('계좌현황'!E:E,INDEX($L$20:$L$96,MATCH(LARGE($N$20:$N$96,66),$N$20:$N$96,0))),"")</f>
        <v/>
      </c>
      <c r="F85" s="318">
        <f>IFERROR(INDEX('계좌현황'!F:F,INDEX($L$20:$L$96,MATCH(LARGE($N$20:$N$96,66),$N$20:$N$96,0))),"")</f>
        <v/>
      </c>
      <c r="G85" s="319">
        <f>IFERROR(INDEX('계좌현황'!K:K,INDEX($L$20:$L$96,MATCH(LARGE($N$20:$N$96,66),$N$20:$N$96,0))),0)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1,438원/$  | 연간 합계 52,131,309원 · 월평균 4,344,276원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4080300.78</v>
      </c>
      <c r="C7" s="277" t="n">
        <v>0</v>
      </c>
      <c r="D7" s="277" t="n">
        <v>4080300.78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4211612.8</v>
      </c>
      <c r="C8" s="280" t="n">
        <v>25200</v>
      </c>
      <c r="D8" s="280" t="n">
        <v>4236812.8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4591007.856</v>
      </c>
      <c r="C9" s="280" t="n">
        <v>55328</v>
      </c>
      <c r="D9" s="280" t="n">
        <v>4646335.856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4197056.094000001</v>
      </c>
      <c r="C10" s="280" t="n">
        <v>5104</v>
      </c>
      <c r="D10" s="280" t="n">
        <v>4202160.094000001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4303930.434</v>
      </c>
      <c r="C11" s="277" t="n">
        <v>0</v>
      </c>
      <c r="D11" s="277" t="n">
        <v>4303930.434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4317343.594000001</v>
      </c>
      <c r="C12" s="280" t="n">
        <v>55412</v>
      </c>
      <c r="D12" s="280" t="n">
        <v>4372755.594000001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4331984.994</v>
      </c>
      <c r="C13" s="277" t="n">
        <v>0</v>
      </c>
      <c r="D13" s="277" t="n">
        <v>4331984.994</v>
      </c>
      <c r="E13" s="276" t="inlineStr">
        <is>
          <t>실적</t>
        </is>
      </c>
    </row>
    <row r="14">
      <c r="A14" s="285" t="inlineStr">
        <is>
          <t>8월</t>
        </is>
      </c>
      <c r="B14" s="286" t="n">
        <v>0</v>
      </c>
      <c r="C14" s="286" t="n">
        <v>4097074.759</v>
      </c>
      <c r="D14" s="286" t="n">
        <v>4097074.759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4223994.838</v>
      </c>
      <c r="D15" s="286" t="n">
        <v>4223994.838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4068975.352</v>
      </c>
      <c r="D16" s="286" t="n">
        <v>4068975.352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4360183.448</v>
      </c>
      <c r="D17" s="286" t="n">
        <v>4360183.448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5206799.7026</v>
      </c>
      <c r="D18" s="286" t="n">
        <v>5206799.7026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0.0983</v>
      </c>
      <c r="F24" s="301" t="n">
        <v>172721250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0.099</v>
      </c>
      <c r="F25" s="301" t="n">
        <v>69175200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0.1657</v>
      </c>
      <c r="F26" s="301" t="n">
        <v>27133455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0.1492</v>
      </c>
      <c r="F27" s="301" t="n">
        <v>26556180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0.1128</v>
      </c>
      <c r="F28" s="301" t="n">
        <v>30690000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0.1388</v>
      </c>
      <c r="F29" s="301" t="n">
        <v>22766400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0.09449999999999999</v>
      </c>
      <c r="F30" s="301" t="n">
        <v>20050000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0.1492</v>
      </c>
      <c r="F31" s="301" t="n">
        <v>11792300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0.0674</v>
      </c>
      <c r="F32" s="301" t="n">
        <v>22610000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43463875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0.1162</v>
      </c>
      <c r="F34" s="301" t="n">
        <v>9922400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0.1273</v>
      </c>
      <c r="F35" s="301" t="n">
        <v>7953600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0.0209</v>
      </c>
      <c r="F36" s="301" t="n">
        <v>27495450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18540200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0.09789999999999999</v>
      </c>
      <c r="F38" s="301" t="n">
        <v>5127625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1438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20577.78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3364.92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1481.14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1783.12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2559.64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2617.16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20577.78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5867.04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5895.799999999999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1374.728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8869.584000000001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27501.75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20653.994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1438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12870.1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20653.994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3494.34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1783.12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1481.14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2559.64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2617.16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20653.994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5867.04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5895.799999999999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1438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1373.29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12870.1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3771.874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8731.536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20653.994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1438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20653.994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20272.924</v>
      </c>
      <c r="H232" s="285" t="inlineStr">
        <is>
          <t>예측</t>
        </is>
      </c>
    </row>
    <row r="233">
      <c r="A233" s="342" t="n">
        <v>46242</v>
      </c>
      <c r="B233" s="285" t="n">
        <v>8</v>
      </c>
      <c r="C233" s="285" t="n">
        <v>105560</v>
      </c>
      <c r="D233" s="285" t="inlineStr">
        <is>
          <t>KB금융</t>
        </is>
      </c>
      <c r="E233" s="286" t="n">
        <v>11040</v>
      </c>
      <c r="F233" s="340" t="n"/>
      <c r="G233" s="286" t="n">
        <v>11040</v>
      </c>
      <c r="H233" s="285" t="inlineStr">
        <is>
          <t>예측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3300.21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1394.86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1696.84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11831.145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2272.04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2401.46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4400.28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5536.3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20272.924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1041.112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1422.182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8829.32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12223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11647.8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1294.2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20425.352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3300.21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20349.138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1768.74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1452.38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2401.46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2502.12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5464.4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5823.9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9370.008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1043.269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20349.138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1653.9876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11935.4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2026-08-03T01:03:46Z</dcterms:modified>
  <cp:lastModifiedBy>조효진 (상담심리)</cp:lastModifiedBy>
</cp:coreProperties>
</file>