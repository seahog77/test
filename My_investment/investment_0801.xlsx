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￦1,420</t>
        </is>
      </c>
      <c r="J5" s="73" t="n">
        <v>1420.28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11130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11330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10180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12050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14205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11250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7465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4050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27630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15575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11130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13900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22670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31775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27125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12330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11130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15575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17985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8230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134700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15405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6830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13025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192400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9660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10750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10710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231000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231000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18805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319.5299987792969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62.36000061035156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39.72000122070312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312.4100036621094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20700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184200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90.12999725341797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175600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7670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88000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75300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114.9199981689453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171.1999969482422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218.9900054931641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33.70000076293945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499.8599853515625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179.9700012207031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45.97000122070312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155.9199981689453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75.66999816894531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9.859999656677246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42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418.2000122070312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145.4100036621094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178.0299987792969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143.4700012207031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8.229999542236328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105.1600036621094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9.470000267028809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13910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42.18999862670898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15630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184845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32020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22670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189.2299957275391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154.8399963378906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112.0699996948242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IFERROR(INDEX('계좌현황'!A:A,INDEX($L$20:$L$96,MATCH(LARGE($N$20:$N$96,12),$N$20:$N$96,0))),"")</f>
        <v/>
      </c>
      <c r="C31" s="276">
        <f>IFERROR(INDEX('계좌현황'!C:C,INDEX($L$20:$L$96,MATCH(LARGE($N$20:$N$96,12),$N$20:$N$96,0))),"")</f>
        <v/>
      </c>
      <c r="D31" s="276">
        <f>IFERROR(INDEX('계좌현황'!D:D,INDEX($L$20:$L$96,MATCH(LARGE($N$20:$N$96,12),$N$20:$N$96,0))),"")</f>
        <v/>
      </c>
      <c r="E31" s="276">
        <f>IFERROR(INDEX('계좌현황'!E:E,INDEX($L$20:$L$96,MATCH(LARGE($N$20:$N$96,12),$N$20:$N$96,0))),"")</f>
        <v/>
      </c>
      <c r="F31" s="306">
        <f>IFERROR(INDEX('계좌현황'!F:F,INDEX($L$20:$L$96,MATCH(LARGE($N$20:$N$96,12),$N$20:$N$96,0))),"")</f>
        <v/>
      </c>
      <c r="G31" s="307">
        <f>IFERROR(INDEX('계좌현황'!K:K,INDEX($L$20:$L$96,MATCH(LARGE($N$20:$N$96,12),$N$20:$N$96,0))),0)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IFERROR(INDEX('계좌현황'!A:A,INDEX($L$20:$L$96,MATCH(LARGE($N$20:$N$96,13),$N$20:$N$96,0))),"")</f>
        <v/>
      </c>
      <c r="C32" s="285">
        <f>IFERROR(INDEX('계좌현황'!C:C,INDEX($L$20:$L$96,MATCH(LARGE($N$20:$N$96,13),$N$20:$N$96,0))),"")</f>
        <v/>
      </c>
      <c r="D32" s="285">
        <f>IFERROR(INDEX('계좌현황'!D:D,INDEX($L$20:$L$96,MATCH(LARGE($N$20:$N$96,13),$N$20:$N$96,0))),"")</f>
        <v/>
      </c>
      <c r="E32" s="285">
        <f>IFERROR(INDEX('계좌현황'!E:E,INDEX($L$20:$L$96,MATCH(LARGE($N$20:$N$96,13),$N$20:$N$96,0))),"")</f>
        <v/>
      </c>
      <c r="F32" s="315">
        <f>IFERROR(INDEX('계좌현황'!F:F,INDEX($L$20:$L$96,MATCH(LARGE($N$20:$N$96,13),$N$20:$N$96,0))),"")</f>
        <v/>
      </c>
      <c r="G32" s="316">
        <f>IFERROR(INDEX('계좌현황'!K:K,INDEX($L$20:$L$96,MATCH(LARGE($N$20:$N$96,13),$N$20:$N$96,0))),0)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IFERROR(INDEX('계좌현황'!A:A,INDEX($L$20:$L$96,MATCH(LARGE($N$20:$N$96,19),$N$20:$N$96,0))),"")</f>
        <v/>
      </c>
      <c r="C38" s="282">
        <f>IFERROR(INDEX('계좌현황'!C:C,INDEX($L$20:$L$96,MATCH(LARGE($N$20:$N$96,19),$N$20:$N$96,0))),"")</f>
        <v/>
      </c>
      <c r="D38" s="282">
        <f>IFERROR(INDEX('계좌현황'!D:D,INDEX($L$20:$L$96,MATCH(LARGE($N$20:$N$96,19),$N$20:$N$96,0))),"")</f>
        <v/>
      </c>
      <c r="E38" s="282">
        <f>IFERROR(INDEX('계좌현황'!E:E,INDEX($L$20:$L$96,MATCH(LARGE($N$20:$N$96,19),$N$20:$N$96,0))),"")</f>
        <v/>
      </c>
      <c r="F38" s="312">
        <f>IFERROR(INDEX('계좌현황'!F:F,INDEX($L$20:$L$96,MATCH(LARGE($N$20:$N$96,19),$N$20:$N$96,0))),"")</f>
        <v/>
      </c>
      <c r="G38" s="313">
        <f>IFERROR(INDEX('계좌현황'!K:K,INDEX($L$20:$L$96,MATCH(LARGE($N$20:$N$96,19),$N$20:$N$96,0))),0)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IFERROR(INDEX('계좌현황'!A:A,INDEX($L$20:$L$96,MATCH(LARGE($N$20:$N$96,20),$N$20:$N$96,0))),"")</f>
        <v/>
      </c>
      <c r="C39" s="294">
        <f>IFERROR(INDEX('계좌현황'!C:C,INDEX($L$20:$L$96,MATCH(LARGE($N$20:$N$96,20),$N$20:$N$96,0))),"")</f>
        <v/>
      </c>
      <c r="D39" s="294">
        <f>IFERROR(INDEX('계좌현황'!D:D,INDEX($L$20:$L$96,MATCH(LARGE($N$20:$N$96,20),$N$20:$N$96,0))),"")</f>
        <v/>
      </c>
      <c r="E39" s="294">
        <f>IFERROR(INDEX('계좌현황'!E:E,INDEX($L$20:$L$96,MATCH(LARGE($N$20:$N$96,20),$N$20:$N$96,0))),"")</f>
        <v/>
      </c>
      <c r="F39" s="324">
        <f>IFERROR(INDEX('계좌현황'!F:F,INDEX($L$20:$L$96,MATCH(LARGE($N$20:$N$96,20),$N$20:$N$96,0))),"")</f>
        <v/>
      </c>
      <c r="G39" s="325">
        <f>IFERROR(INDEX('계좌현황'!K:K,INDEX($L$20:$L$96,MATCH(LARGE($N$20:$N$96,20),$N$20:$N$96,0))),0)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IFERROR(INDEX('계좌현황'!A:A,INDEX($L$20:$L$96,MATCH(LARGE($N$20:$N$96,22),$N$20:$N$96,0))),"")</f>
        <v/>
      </c>
      <c r="C41" s="288">
        <f>IFERROR(INDEX('계좌현황'!C:C,INDEX($L$20:$L$96,MATCH(LARGE($N$20:$N$96,22),$N$20:$N$96,0))),"")</f>
        <v/>
      </c>
      <c r="D41" s="288">
        <f>IFERROR(INDEX('계좌현황'!D:D,INDEX($L$20:$L$96,MATCH(LARGE($N$20:$N$96,22),$N$20:$N$96,0))),"")</f>
        <v/>
      </c>
      <c r="E41" s="288">
        <f>IFERROR(INDEX('계좌현황'!E:E,INDEX($L$20:$L$96,MATCH(LARGE($N$20:$N$96,22),$N$20:$N$96,0))),"")</f>
        <v/>
      </c>
      <c r="F41" s="318">
        <f>IFERROR(INDEX('계좌현황'!F:F,INDEX($L$20:$L$96,MATCH(LARGE($N$20:$N$96,22),$N$20:$N$96,0))),"")</f>
        <v/>
      </c>
      <c r="G41" s="319">
        <f>IFERROR(INDEX('계좌현황'!K:K,INDEX($L$20:$L$96,MATCH(LARGE($N$20:$N$96,22),$N$20:$N$96,0))),0)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IFERROR(INDEX('계좌현황'!A:A,INDEX($L$20:$L$96,MATCH(LARGE($N$20:$N$96,25),$N$20:$N$96,0))),"")</f>
        <v/>
      </c>
      <c r="C44" s="285">
        <f>IFERROR(INDEX('계좌현황'!C:C,INDEX($L$20:$L$96,MATCH(LARGE($N$20:$N$96,25),$N$20:$N$96,0))),"")</f>
        <v/>
      </c>
      <c r="D44" s="285">
        <f>IFERROR(INDEX('계좌현황'!D:D,INDEX($L$20:$L$96,MATCH(LARGE($N$20:$N$96,25),$N$20:$N$96,0))),"")</f>
        <v/>
      </c>
      <c r="E44" s="285">
        <f>IFERROR(INDEX('계좌현황'!E:E,INDEX($L$20:$L$96,MATCH(LARGE($N$20:$N$96,25),$N$20:$N$96,0))),"")</f>
        <v/>
      </c>
      <c r="F44" s="315">
        <f>IFERROR(INDEX('계좌현황'!F:F,INDEX($L$20:$L$96,MATCH(LARGE($N$20:$N$96,25),$N$20:$N$96,0))),"")</f>
        <v/>
      </c>
      <c r="G44" s="316">
        <f>IFERROR(INDEX('계좌현황'!K:K,INDEX($L$20:$L$96,MATCH(LARGE($N$20:$N$96,25),$N$20:$N$96,0))),0)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IFERROR(INDEX('계좌현황'!A:A,INDEX($L$20:$L$96,MATCH(LARGE($N$20:$N$96,26),$N$20:$N$96,0))),"")</f>
        <v/>
      </c>
      <c r="C45" s="294">
        <f>IFERROR(INDEX('계좌현황'!C:C,INDEX($L$20:$L$96,MATCH(LARGE($N$20:$N$96,26),$N$20:$N$96,0))),"")</f>
        <v/>
      </c>
      <c r="D45" s="294">
        <f>IFERROR(INDEX('계좌현황'!D:D,INDEX($L$20:$L$96,MATCH(LARGE($N$20:$N$96,26),$N$20:$N$96,0))),"")</f>
        <v/>
      </c>
      <c r="E45" s="294">
        <f>IFERROR(INDEX('계좌현황'!E:E,INDEX($L$20:$L$96,MATCH(LARGE($N$20:$N$96,26),$N$20:$N$96,0))),"")</f>
        <v/>
      </c>
      <c r="F45" s="324">
        <f>IFERROR(INDEX('계좌현황'!F:F,INDEX($L$20:$L$96,MATCH(LARGE($N$20:$N$96,26),$N$20:$N$96,0))),"")</f>
        <v/>
      </c>
      <c r="G45" s="325">
        <f>IFERROR(INDEX('계좌현황'!K:K,INDEX($L$20:$L$96,MATCH(LARGE($N$20:$N$96,26),$N$20:$N$96,0))),0)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IFERROR(INDEX('계좌현황'!A:A,INDEX($L$20:$L$96,MATCH(LARGE($N$20:$N$96,50),$N$20:$N$96,0))),"")</f>
        <v/>
      </c>
      <c r="C69" s="288">
        <f>IFERROR(INDEX('계좌현황'!C:C,INDEX($L$20:$L$96,MATCH(LARGE($N$20:$N$96,50),$N$20:$N$96,0))),"")</f>
        <v/>
      </c>
      <c r="D69" s="288">
        <f>IFERROR(INDEX('계좌현황'!D:D,INDEX($L$20:$L$96,MATCH(LARGE($N$20:$N$96,50),$N$20:$N$96,0))),"")</f>
        <v/>
      </c>
      <c r="E69" s="288">
        <f>IFERROR(INDEX('계좌현황'!E:E,INDEX($L$20:$L$96,MATCH(LARGE($N$20:$N$96,50),$N$20:$N$96,0))),"")</f>
        <v/>
      </c>
      <c r="F69" s="318">
        <f>IFERROR(INDEX('계좌현황'!F:F,INDEX($L$20:$L$96,MATCH(LARGE($N$20:$N$96,50),$N$20:$N$96,0))),"")</f>
        <v/>
      </c>
      <c r="G69" s="319">
        <f>IFERROR(INDEX('계좌현황'!K:K,INDEX($L$20:$L$96,MATCH(LARGE($N$20:$N$96,50),$N$20:$N$96,0))),0)</f>
        <v/>
      </c>
      <c r="H69" s="320">
        <f>IF($B$3=0,0,G69/$B$3)</f>
        <v/>
      </c>
      <c r="I69" s="320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IFERROR(INDEX('계좌현황'!A:A,INDEX($L$20:$L$96,MATCH(LARGE($N$20:$N$96,65),$N$20:$N$96,0))),"")</f>
        <v/>
      </c>
      <c r="C84" s="288">
        <f>IFERROR(INDEX('계좌현황'!C:C,INDEX($L$20:$L$96,MATCH(LARGE($N$20:$N$96,65),$N$20:$N$96,0))),"")</f>
        <v/>
      </c>
      <c r="D84" s="288">
        <f>IFERROR(INDEX('계좌현황'!D:D,INDEX($L$20:$L$96,MATCH(LARGE($N$20:$N$96,65),$N$20:$N$96,0))),"")</f>
        <v/>
      </c>
      <c r="E84" s="288">
        <f>IFERROR(INDEX('계좌현황'!E:E,INDEX($L$20:$L$96,MATCH(LARGE($N$20:$N$96,65),$N$20:$N$96,0))),"")</f>
        <v/>
      </c>
      <c r="F84" s="318">
        <f>IFERROR(INDEX('계좌현황'!F:F,INDEX($L$20:$L$96,MATCH(LARGE($N$20:$N$96,65),$N$20:$N$96,0))),"")</f>
        <v/>
      </c>
      <c r="G84" s="319">
        <f>IFERROR(INDEX('계좌현황'!K:K,INDEX($L$20:$L$96,MATCH(LARGE($N$20:$N$96,65),$N$20:$N$96,0))),0)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IFERROR(INDEX('계좌현황'!A:A,INDEX($L$20:$L$96,MATCH(LARGE($N$20:$N$96,66),$N$20:$N$96,0))),"")</f>
        <v/>
      </c>
      <c r="C85" s="300">
        <f>IFERROR(INDEX('계좌현황'!C:C,INDEX($L$20:$L$96,MATCH(LARGE($N$20:$N$96,66),$N$20:$N$96,0))),"")</f>
        <v/>
      </c>
      <c r="D85" s="300">
        <f>IFERROR(INDEX('계좌현황'!D:D,INDEX($L$20:$L$96,MATCH(LARGE($N$20:$N$96,66),$N$20:$N$96,0))),"")</f>
        <v/>
      </c>
      <c r="E85" s="300">
        <f>IFERROR(INDEX('계좌현황'!E:E,INDEX($L$20:$L$96,MATCH(LARGE($N$20:$N$96,66),$N$20:$N$96,0))),"")</f>
        <v/>
      </c>
      <c r="F85" s="330">
        <f>IFERROR(INDEX('계좌현황'!F:F,INDEX($L$20:$L$96,MATCH(LARGE($N$20:$N$96,66),$N$20:$N$96,0))),"")</f>
        <v/>
      </c>
      <c r="G85" s="331">
        <f>IFERROR(INDEX('계좌현황'!K:K,INDEX($L$20:$L$96,MATCH(LARGE($N$20:$N$96,66),$N$20:$N$96,0))),0)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1,420원/$  | 연간 합계 52,127,964원 · 월평균 4,343,997원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4080025.2</v>
      </c>
      <c r="C7" s="277" t="n">
        <v>0</v>
      </c>
      <c r="D7" s="277" t="n">
        <v>4080025.2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4211134</v>
      </c>
      <c r="C8" s="280" t="n">
        <v>25200</v>
      </c>
      <c r="D8" s="280" t="n">
        <v>4236334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4590203.04</v>
      </c>
      <c r="C9" s="280" t="n">
        <v>55328</v>
      </c>
      <c r="D9" s="280" t="n">
        <v>4645531.04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4196618.46</v>
      </c>
      <c r="C10" s="280" t="n">
        <v>5104</v>
      </c>
      <c r="D10" s="280" t="n">
        <v>4201722.46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4303449.06</v>
      </c>
      <c r="C11" s="277" t="n">
        <v>0</v>
      </c>
      <c r="D11" s="277" t="n">
        <v>4303449.06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4316658.46</v>
      </c>
      <c r="C12" s="280" t="n">
        <v>55412</v>
      </c>
      <c r="D12" s="280" t="n">
        <v>4372070.46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4331708.46</v>
      </c>
      <c r="C13" s="277" t="n">
        <v>0</v>
      </c>
      <c r="D13" s="277" t="n">
        <v>4331708.46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4085439.310000001</v>
      </c>
      <c r="D14" s="280" t="n">
        <v>4099299.310000001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4223377.42</v>
      </c>
      <c r="D15" s="286" t="n">
        <v>4223377.42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4068557.68</v>
      </c>
      <c r="D16" s="286" t="n">
        <v>4068557.68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4359717.32</v>
      </c>
      <c r="D17" s="286" t="n">
        <v>4359717.32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5206171.634</v>
      </c>
      <c r="D18" s="286" t="n">
        <v>5206171.634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0.09939999999999999</v>
      </c>
      <c r="F24" s="301" t="n">
        <v>170878890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0.0964</v>
      </c>
      <c r="F25" s="301" t="n">
        <v>71022000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0.157</v>
      </c>
      <c r="F26" s="301" t="n">
        <v>28642850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0.1444</v>
      </c>
      <c r="F27" s="301" t="n">
        <v>27446580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0.1134</v>
      </c>
      <c r="F28" s="301" t="n">
        <v>30540000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0.1384</v>
      </c>
      <c r="F29" s="301" t="n">
        <v>22842900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0.09359999999999999</v>
      </c>
      <c r="F30" s="301" t="n">
        <v>20250000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0.1532</v>
      </c>
      <c r="F31" s="301" t="n">
        <v>11489855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0.0677</v>
      </c>
      <c r="F32" s="301" t="n">
        <v>22500000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0.0301</v>
      </c>
      <c r="F33" s="301" t="n">
        <v>43291930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0.1197</v>
      </c>
      <c r="F34" s="301" t="n">
        <v>9633520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0.1281</v>
      </c>
      <c r="F35" s="301" t="n">
        <v>7900800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27998055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18487000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5210500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1420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20320.2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3322.8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1462.6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1760.8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2527.6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2584.4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20320.2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5793.6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5821.999999999999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1357.52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8758.559999999999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27157.5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20395.46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1420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12709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20395.46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3450.6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1760.8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1462.6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2527.6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2584.4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20395.46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5793.6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5821.999999999999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1420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1356.1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12709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3724.66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8622.24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20395.46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1420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20395.46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20019.16</v>
      </c>
      <c r="H232" s="285" t="inlineStr">
        <is>
          <t>예측</t>
        </is>
      </c>
    </row>
    <row r="233">
      <c r="A233" s="341" t="n">
        <v>46240</v>
      </c>
      <c r="B233" s="276" t="n">
        <v>8</v>
      </c>
      <c r="C233" s="276" t="n">
        <v>105560</v>
      </c>
      <c r="D233" s="276" t="inlineStr">
        <is>
          <t>KB금융</t>
        </is>
      </c>
      <c r="E233" s="277" t="n">
        <v>13860</v>
      </c>
      <c r="F233" s="338" t="n"/>
      <c r="G233" s="277" t="n">
        <v>13860</v>
      </c>
      <c r="H233" s="276" t="inlineStr">
        <is>
          <t>실적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3258.9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1377.4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1675.6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11683.05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2243.6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2371.4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4345.2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5467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20019.16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1028.08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1404.38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8718.799999999999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12070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11502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1278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20169.68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3258.9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20094.42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1746.6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1434.2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2371.4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2470.8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5396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5751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9252.719999999999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1030.21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20094.42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1633.284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11786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2026-08-07T06:04:21Z</dcterms:modified>
  <cp:lastModifiedBy>조효진 (상담심리)</cp:lastModifiedBy>
</cp:coreProperties>
</file>