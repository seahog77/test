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￦1,414</t>
        </is>
      </c>
      <c r="J5" s="73" t="n">
        <v>1414.26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11215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11355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10245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11900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14170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11210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7450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4125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27785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15565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11215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14030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22735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12290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31955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27200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12275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11215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15565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18435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8175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134750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15615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6810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13295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193000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9665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11010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10592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239750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239750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19140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330.8800048828125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61.88999938964844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42.52999877929688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308.260009765625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20200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180200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91.62999725341797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167100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7810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76200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138.7400054931641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169.1100006103516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217.5500030517578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34.18999862670898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506.0599975585938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178.1999969482422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47.72999954223633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175.2299957275391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80.04000091552734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10.39999961853027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42.11000061035156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418.4700012207031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148.6799926757812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189.3399963378906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151.0500030517578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8.810000419616699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104.6500015258789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9.180000305175781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14050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44.4900016784668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15635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185840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31950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22735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194.9100036621094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159.7899932861328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112.6600036621094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IFERROR(INDEX('계좌현황'!A:A,INDEX($L$20:$L$95,MATCH(LARGE($N$20:$N$95,13),$N$20:$N$95,0))),"")</f>
        <v/>
      </c>
      <c r="C32" s="285">
        <f>IFERROR(INDEX('계좌현황'!C:C,INDEX($L$20:$L$95,MATCH(LARGE($N$20:$N$95,13),$N$20:$N$95,0))),"")</f>
        <v/>
      </c>
      <c r="D32" s="285">
        <f>IFERROR(INDEX('계좌현황'!D:D,INDEX($L$20:$L$95,MATCH(LARGE($N$20:$N$95,13),$N$20:$N$95,0))),"")</f>
        <v/>
      </c>
      <c r="E32" s="285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IFERROR(INDEX('계좌현황'!A:A,INDEX($L$20:$L$95,MATCH(LARGE($N$20:$N$95,14),$N$20:$N$95,0))),"")</f>
        <v/>
      </c>
      <c r="C33" s="279">
        <f>IFERROR(INDEX('계좌현황'!C:C,INDEX($L$20:$L$95,MATCH(LARGE($N$20:$N$95,14),$N$20:$N$95,0))),"")</f>
        <v/>
      </c>
      <c r="D33" s="279">
        <f>IFERROR(INDEX('계좌현황'!D:D,INDEX($L$20:$L$95,MATCH(LARGE($N$20:$N$95,14),$N$20:$N$95,0))),"")</f>
        <v/>
      </c>
      <c r="E33" s="279">
        <f>IFERROR(INDEX('계좌현황'!E:E,INDEX($L$20:$L$95,MATCH(LARGE($N$20:$N$95,14),$N$20:$N$95,0))),"")</f>
        <v/>
      </c>
      <c r="F33" s="309">
        <f>IFERROR(INDEX('계좌현황'!F:F,INDEX($L$20:$L$95,MATCH(LARGE($N$20:$N$95,14),$N$20:$N$95,0))),"")</f>
        <v/>
      </c>
      <c r="G33" s="310">
        <f>IFERROR(INDEX('계좌현황'!K:K,INDEX($L$20:$L$95,MATCH(LARGE($N$20:$N$95,14),$N$20:$N$95,0))),0)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12">
        <f>IFERROR(INDEX('계좌현황'!F:F,INDEX($L$20:$L$95,MATCH(LARGE($N$20:$N$95,19),$N$20:$N$95,0))),"")</f>
        <v/>
      </c>
      <c r="G38" s="313">
        <f>IFERROR(INDEX('계좌현황'!K:K,INDEX($L$20:$L$95,MATCH(LARGE($N$20:$N$95,19),$N$20:$N$95,0))),0)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24">
        <f>IFERROR(INDEX('계좌현황'!F:F,INDEX($L$20:$L$95,MATCH(LARGE($N$20:$N$95,20),$N$20:$N$95,0))),"")</f>
        <v/>
      </c>
      <c r="G39" s="325">
        <f>IFERROR(INDEX('계좌현황'!K:K,INDEX($L$20:$L$95,MATCH(LARGE($N$20:$N$95,20),$N$20:$N$95,0))),0)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8" t="n">
        <v>21</v>
      </c>
      <c r="B40" s="288">
        <f>IFERROR(INDEX('계좌현황'!A:A,INDEX($L$20:$L$95,MATCH(LARGE($N$20:$N$95,21),$N$20:$N$95,0))),"")</f>
        <v/>
      </c>
      <c r="C40" s="288">
        <f>IFERROR(INDEX('계좌현황'!C:C,INDEX($L$20:$L$95,MATCH(LARGE($N$20:$N$95,21),$N$20:$N$95,0))),"")</f>
        <v/>
      </c>
      <c r="D40" s="288">
        <f>IFERROR(INDEX('계좌현황'!D:D,INDEX($L$20:$L$95,MATCH(LARGE($N$20:$N$95,21),$N$20:$N$95,0))),"")</f>
        <v/>
      </c>
      <c r="E40" s="288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IFERROR(INDEX('계좌현황'!A:A,INDEX($L$20:$L$95,MATCH(LARGE($N$20:$N$95,22),$N$20:$N$95,0))),"")</f>
        <v/>
      </c>
      <c r="C41" s="294">
        <f>IFERROR(INDEX('계좌현황'!C:C,INDEX($L$20:$L$95,MATCH(LARGE($N$20:$N$95,22),$N$20:$N$95,0))),"")</f>
        <v/>
      </c>
      <c r="D41" s="294">
        <f>IFERROR(INDEX('계좌현황'!D:D,INDEX($L$20:$L$95,MATCH(LARGE($N$20:$N$95,22),$N$20:$N$95,0))),"")</f>
        <v/>
      </c>
      <c r="E41" s="294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5" t="n">
        <v>24</v>
      </c>
      <c r="B43" s="285">
        <f>IFERROR(INDEX('계좌현황'!A:A,INDEX($L$20:$L$95,MATCH(LARGE($N$20:$N$95,24),$N$20:$N$95,0))),"")</f>
        <v/>
      </c>
      <c r="C43" s="285">
        <f>IFERROR(INDEX('계좌현황'!C:C,INDEX($L$20:$L$95,MATCH(LARGE($N$20:$N$95,24),$N$20:$N$95,0))),"")</f>
        <v/>
      </c>
      <c r="D43" s="285">
        <f>IFERROR(INDEX('계좌현황'!D:D,INDEX($L$20:$L$95,MATCH(LARGE($N$20:$N$95,24),$N$20:$N$95,0))),"")</f>
        <v/>
      </c>
      <c r="E43" s="285">
        <f>IFERROR(INDEX('계좌현황'!E:E,INDEX($L$20:$L$95,MATCH(LARGE($N$20:$N$95,24),$N$20:$N$95,0))),"")</f>
        <v/>
      </c>
      <c r="F43" s="315">
        <f>IFERROR(INDEX('계좌현황'!F:F,INDEX($L$20:$L$95,MATCH(LARGE($N$20:$N$95,24),$N$20:$N$95,0))),"")</f>
        <v/>
      </c>
      <c r="G43" s="316">
        <f>IFERROR(INDEX('계좌현황'!K:K,INDEX($L$20:$L$95,MATCH(LARGE($N$20:$N$95,24),$N$20:$N$95,0))),0)</f>
        <v/>
      </c>
      <c r="H43" s="317">
        <f>IF($B$3=0,0,G43/$B$3)</f>
        <v/>
      </c>
      <c r="I43" s="31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76" t="n">
        <v>25</v>
      </c>
      <c r="B44" s="276">
        <f>IFERROR(INDEX('계좌현황'!A:A,INDEX($L$20:$L$95,MATCH(LARGE($N$20:$N$95,25),$N$20:$N$95,0))),"")</f>
        <v/>
      </c>
      <c r="C44" s="276">
        <f>IFERROR(INDEX('계좌현황'!C:C,INDEX($L$20:$L$95,MATCH(LARGE($N$20:$N$95,25),$N$20:$N$95,0))),"")</f>
        <v/>
      </c>
      <c r="D44" s="276">
        <f>IFERROR(INDEX('계좌현황'!D:D,INDEX($L$20:$L$95,MATCH(LARGE($N$20:$N$95,25),$N$20:$N$95,0))),"")</f>
        <v/>
      </c>
      <c r="E44" s="276">
        <f>IFERROR(INDEX('계좌현황'!E:E,INDEX($L$20:$L$95,MATCH(LARGE($N$20:$N$95,25),$N$20:$N$95,0))),"")</f>
        <v/>
      </c>
      <c r="F44" s="306">
        <f>IFERROR(INDEX('계좌현황'!F:F,INDEX($L$20:$L$95,MATCH(LARGE($N$20:$N$95,25),$N$20:$N$95,0))),"")</f>
        <v/>
      </c>
      <c r="G44" s="307">
        <f>IFERROR(INDEX('계좌현황'!K:K,INDEX($L$20:$L$95,MATCH(LARGE($N$20:$N$95,25),$N$20:$N$95,0))),0)</f>
        <v/>
      </c>
      <c r="H44" s="308">
        <f>IF($B$3=0,0,G44/$B$3)</f>
        <v/>
      </c>
      <c r="I44" s="308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5" t="n">
        <v>28</v>
      </c>
      <c r="B47" s="285">
        <f>IFERROR(INDEX('계좌현황'!A:A,INDEX($L$20:$L$95,MATCH(LARGE($N$20:$N$95,28),$N$20:$N$95,0))),"")</f>
        <v/>
      </c>
      <c r="C47" s="285">
        <f>IFERROR(INDEX('계좌현황'!C:C,INDEX($L$20:$L$95,MATCH(LARGE($N$20:$N$95,28),$N$20:$N$95,0))),"")</f>
        <v/>
      </c>
      <c r="D47" s="285">
        <f>IFERROR(INDEX('계좌현황'!D:D,INDEX($L$20:$L$95,MATCH(LARGE($N$20:$N$95,28),$N$20:$N$95,0))),"")</f>
        <v/>
      </c>
      <c r="E47" s="285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30">
        <f>IFERROR(INDEX('계좌현황'!F:F,INDEX($L$20:$L$95,MATCH(LARGE($N$20:$N$95,64),$N$20:$N$95,0))),"")</f>
        <v/>
      </c>
      <c r="G83" s="331">
        <f>IFERROR(INDEX('계좌현황'!K:K,INDEX($L$20:$L$95,MATCH(LARGE($N$20:$N$95,64),$N$20:$N$95,0))),0)</f>
        <v/>
      </c>
      <c r="H83" s="332">
        <f>IF($B$3=0,0,G83/$B$3)</f>
        <v/>
      </c>
      <c r="I83" s="332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1,414원/$  | 연간 합계 52,013,378원 · 월평균 4,334,448원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4080205.34</v>
      </c>
      <c r="C7" s="277" t="n">
        <v>0</v>
      </c>
      <c r="D7" s="277" t="n">
        <v>4080205.34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4210974.4</v>
      </c>
      <c r="C8" s="277" t="n">
        <v>0</v>
      </c>
      <c r="D8" s="277" t="n">
        <v>4210974.4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4589934.767999999</v>
      </c>
      <c r="C9" s="280" t="n">
        <v>35408</v>
      </c>
      <c r="D9" s="280" t="n">
        <v>4625342.767999999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4196744.581999999</v>
      </c>
      <c r="C10" s="280" t="n">
        <v>5104</v>
      </c>
      <c r="D10" s="280" t="n">
        <v>4201848.581999999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4283368.602</v>
      </c>
      <c r="C11" s="277" t="n">
        <v>0</v>
      </c>
      <c r="D11" s="277" t="n">
        <v>4283368.602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4316430.081999999</v>
      </c>
      <c r="C12" s="280" t="n">
        <v>35492</v>
      </c>
      <c r="D12" s="280" t="n">
        <v>4351922.081999999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4331948.282</v>
      </c>
      <c r="C13" s="277" t="n">
        <v>0</v>
      </c>
      <c r="D13" s="277" t="n">
        <v>4331948.282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17296.02</v>
      </c>
      <c r="C14" s="280" t="n">
        <v>4062075.697</v>
      </c>
      <c r="D14" s="280" t="n">
        <v>4079371.717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4203251.614</v>
      </c>
      <c r="D15" s="286" t="n">
        <v>4203251.614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4068670.456</v>
      </c>
      <c r="D16" s="286" t="n">
        <v>4068670.456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4359561.944</v>
      </c>
      <c r="D17" s="286" t="n">
        <v>4359561.944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5216912.2778</v>
      </c>
      <c r="D18" s="286" t="n">
        <v>5216912.2778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0.09859999999999999</v>
      </c>
      <c r="F24" s="301" t="n">
        <v>172183895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0.0965</v>
      </c>
      <c r="F25" s="301" t="n">
        <v>70976400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0.159</v>
      </c>
      <c r="F26" s="301" t="n">
        <v>28286300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0.145</v>
      </c>
      <c r="F27" s="301" t="n">
        <v>27324150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0.1126</v>
      </c>
      <c r="F28" s="301" t="n">
        <v>30735000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0.1387</v>
      </c>
      <c r="F29" s="301" t="n">
        <v>22797000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0.0919</v>
      </c>
      <c r="F30" s="301" t="n">
        <v>20625000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0.1505</v>
      </c>
      <c r="F31" s="301" t="n">
        <v>11694540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0.068</v>
      </c>
      <c r="F32" s="301" t="n">
        <v>22420000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43387455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0.1175</v>
      </c>
      <c r="F34" s="301" t="n">
        <v>9809360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0.129</v>
      </c>
      <c r="F35" s="301" t="n">
        <v>7848000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27929070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0.0295</v>
      </c>
      <c r="F37" s="301" t="n">
        <v>18659900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0.09609999999999999</v>
      </c>
      <c r="F38" s="301" t="n">
        <v>5223250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1414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20234.34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3308.76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1456.42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1753.36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2516.92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2573.48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20234.34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5769.12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5797.4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1351.784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8721.552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27042.75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20309.282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1414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12655.3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20309.282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3436.02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1753.36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1456.42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2516.92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2573.48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20309.282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5769.12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5797.4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1414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1350.37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12655.3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3708.922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8585.808000000001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20309.282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1414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20309.282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19934.572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1" t="n">
        <v>46244</v>
      </c>
      <c r="B230" s="276" t="n">
        <v>8</v>
      </c>
      <c r="C230" s="276" t="inlineStr">
        <is>
          <t>AAPL</t>
        </is>
      </c>
      <c r="D230" s="276" t="inlineStr">
        <is>
          <t>애플</t>
        </is>
      </c>
      <c r="E230" s="277" t="n"/>
      <c r="F230" s="338" t="n">
        <v>2.43</v>
      </c>
      <c r="G230" s="277" t="n">
        <v>3436.02</v>
      </c>
      <c r="H230" s="276" t="inlineStr">
        <is>
          <t>실적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1371.58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1668.52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11633.685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2234.12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2361.38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4326.84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5443.900000000001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19934.572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1023.736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1398.446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8681.959999999999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12019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11453.4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1272.6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20084.456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3245.13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20009.514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1739.22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1428.14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2361.38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2460.36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5373.2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5726.7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9213.624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1025.857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20009.514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1626.3828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11736.2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2026-08-11T06:04:21Z</dcterms:modified>
  <cp:lastModifiedBy>조효진 (상담심리)</cp:lastModifiedBy>
</cp:coreProperties>
</file>