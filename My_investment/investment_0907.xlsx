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75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QLD</v>
                </pt>
                <pt idx="40">
                  <v>KB금융</v>
                </pt>
                <pt idx="41">
                  <v>CMA RP</v>
                </pt>
                <pt idx="42">
                  <v>KODEX 200커버드콜액티브</v>
                </pt>
                <pt idx="43">
                  <v>예수금(직투달러)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  <pt idx="74">
                  <v>셰브론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0.1285094158046146</v>
                </pt>
                <pt idx="1">
                  <v>0.05261069276712631</v>
                </pt>
                <pt idx="2">
                  <v>0.03751534164613517</v>
                </pt>
                <pt idx="3">
                  <v>0.03556796408262354</v>
                </pt>
                <pt idx="4">
                  <v>0.03436286467911989</v>
                </pt>
                <pt idx="5">
                  <v>0.02685864580397008</v>
                </pt>
                <pt idx="6">
                  <v>0.02864633010825399</v>
                </pt>
                <pt idx="7">
                  <v>0.02549433725072534</v>
                </pt>
                <pt idx="8">
                  <v>0.01497784454559876</v>
                </pt>
                <pt idx="9">
                  <v>0.0611192627872309</v>
                </pt>
                <pt idx="10">
                  <v>0.05567963255558415</v>
                </pt>
                <pt idx="11">
                  <v>0.02293666737724382</v>
                </pt>
                <pt idx="12">
                  <v>0.026721963463198</v>
                </pt>
                <pt idx="13">
                  <v>0.00622583661221474</v>
                </pt>
                <pt idx="14">
                  <v>0.01293094161619836</v>
                </pt>
                <pt idx="15">
                  <v>0.007154283161946827</v>
                </pt>
                <pt idx="16">
                  <v>0.03228684602202329</v>
                </pt>
                <pt idx="17">
                  <v>0.02662461344643099</v>
                </pt>
                <pt idx="18">
                  <v>0.02531012416035635</v>
                </pt>
                <pt idx="19">
                  <v>0.01168401389562219</v>
                </pt>
                <pt idx="20">
                  <v>0.009433722110473086</v>
                </pt>
                <pt idx="21">
                  <v>0.005408194550696409</v>
                </pt>
                <pt idx="22">
                  <v>0.005181700469449213</v>
                </pt>
                <pt idx="23">
                  <v>0.003677138482076444</v>
                </pt>
                <pt idx="24">
                  <v>0.003438057554176731</v>
                </pt>
                <pt idx="25">
                  <v>0.002965264912683625</v>
                </pt>
                <pt idx="26">
                  <v>0.00230823403227677</v>
                </pt>
                <pt idx="27">
                  <v>0.001340417435722477</v>
                </pt>
                <pt idx="28">
                  <v>0.001290321534560016</v>
                </pt>
                <pt idx="29">
                  <v>0.01766999626218584</v>
                </pt>
                <pt idx="30">
                  <v>0.01413599700974867</v>
                </pt>
                <pt idx="31">
                  <v>0.01542338245170793</v>
                </pt>
                <pt idx="32">
                  <v>0.01022635015633138</v>
                </pt>
                <pt idx="33">
                  <v>0.005515086396880682</v>
                </pt>
                <pt idx="34">
                  <v>0.006109823870795255</v>
                </pt>
                <pt idx="35">
                  <v>0.004892401943867464</v>
                </pt>
                <pt idx="36">
                  <v>0.00465914514501172</v>
                </pt>
                <pt idx="37">
                  <v>0.004040113715737634</v>
                </pt>
                <pt idx="38">
                  <v>0.009551543547612501</v>
                </pt>
                <pt idx="39">
                  <v>0.0120164580115125</v>
                </pt>
                <pt idx="40">
                  <v>0.00259532981926003</v>
                </pt>
                <pt idx="41">
                  <v>0.0005941331125341788</v>
                </pt>
                <pt idx="42">
                  <v>0.01295049460974947</v>
                </pt>
                <pt idx="43">
                  <v>0.001319932688587998</v>
                </pt>
                <pt idx="44">
                  <v>0.002384082043273748</v>
                </pt>
                <pt idx="45">
                  <v>0.001871643978393312</v>
                </pt>
                <pt idx="46">
                  <v>0.001759476044394154</v>
                </pt>
                <pt idx="47">
                  <v>0.001493766617717187</v>
                </pt>
                <pt idx="48">
                  <v>0.00156544358044091</v>
                </pt>
                <pt idx="49">
                  <v>0.00141892955184921</v>
                </pt>
                <pt idx="50">
                  <v>0.001697890636792674</v>
                </pt>
                <pt idx="51">
                  <v>0.001233544559198795</v>
                </pt>
                <pt idx="52">
                  <v>0.001187538010069861</v>
                </pt>
                <pt idx="53">
                  <v>0.001184683892696661</v>
                </pt>
                <pt idx="54">
                  <v>0.0007642036951914786</v>
                </pt>
                <pt idx="55">
                  <v>0.0009418416966817269</v>
                </pt>
                <pt idx="56">
                  <v>0.0006523814433748856</v>
                </pt>
                <pt idx="57">
                  <v>0.0007286794691360626</v>
                </pt>
                <pt idx="58">
                  <v>0.0006273734610420684</v>
                </pt>
                <pt idx="59">
                  <v>0.0005908468973045452</v>
                </pt>
                <pt idx="60">
                  <v>0.0005395058368051947</v>
                </pt>
                <pt idx="61">
                  <v>0.0003893221889228715</v>
                </pt>
                <pt idx="62">
                  <v>0.0003549702472788035</v>
                </pt>
                <pt idx="63">
                  <v>0.0003295885221275217</v>
                </pt>
                <pt idx="64">
                  <v>0.0002910315342382432</v>
                </pt>
                <pt idx="65">
                  <v>0.0002103420421629929</v>
                </pt>
                <pt idx="66">
                  <v>5.871053517009209e-05</v>
                </pt>
                <pt idx="67">
                  <v>0</v>
                </pt>
                <pt idx="68">
                  <v>0.09237384026476103</v>
                </pt>
                <pt idx="69">
                  <v>0.01485615073750381</v>
                </pt>
                <pt idx="70">
                  <v>0.01268546667079335</v>
                </pt>
                <pt idx="71">
                  <v>0.01246877423486646</v>
                </pt>
                <pt idx="72">
                  <v>0.01025250843077801</v>
                </pt>
                <pt idx="73">
                  <v>0.004319262562576648</v>
                </pt>
                <pt idx="74">
                  <v>0.0003543926241203623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32" zoomScale="70" zoomScaleNormal="70" workbookViewId="0">
      <selection activeCell="B38" sqref="B38:B85"/>
    </sheetView>
  </sheetViews>
  <sheetFormatPr baseColWidth="8" defaultColWidth="12.59765625" defaultRowHeight="15.75" customHeight="1"/>
  <cols>
    <col width="9.9296875" customWidth="1" style="203" min="1" max="1"/>
    <col outlineLevel="1" width="12.59765625" customWidth="1" style="203" min="2" max="2"/>
    <col width="41.59765625" customWidth="1" style="203" min="4" max="4"/>
    <col width="35.3984375" customWidth="1" style="203" min="5" max="5"/>
    <col width="14.59765625" customWidth="1" style="203" min="11" max="11"/>
    <col width="16" customWidth="1" style="203" min="13" max="13"/>
    <col width="22.796875" customWidth="1" style="203" min="14" max="14"/>
    <col width="14.1328125" customWidth="1" style="203" min="15" max="15"/>
    <col width="3.265625" customWidth="1" style="203" min="16" max="16"/>
  </cols>
  <sheetData>
    <row r="1" ht="12.75" customHeight="1" s="203">
      <c r="A1" s="208" t="n"/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  <c r="M1" s="208" t="n"/>
      <c r="N1" s="208" t="n"/>
      <c r="O1" s="208" t="n"/>
      <c r="P1" s="208" t="n"/>
      <c r="Q1" s="208" t="n"/>
      <c r="R1" s="208" t="n"/>
    </row>
    <row r="2" ht="13.15" customHeight="1" s="203">
      <c r="A2" s="208" t="n"/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1" t="n"/>
      <c r="N2" s="2" t="n"/>
      <c r="O2" s="208" t="n"/>
      <c r="P2" s="208" t="n"/>
      <c r="Q2" s="208" t="n"/>
      <c r="R2" s="208" t="n"/>
    </row>
    <row r="3" ht="22.5" customHeight="1" s="203">
      <c r="A3" s="208" t="n"/>
      <c r="B3" s="208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8" t="n"/>
      <c r="P3" s="208" t="n"/>
      <c r="Q3" s="208" t="n"/>
      <c r="R3" s="208" t="n"/>
    </row>
    <row r="4" ht="12.75" customHeight="1" s="203">
      <c r="A4" s="208" t="n"/>
      <c r="B4" s="208" t="n"/>
      <c r="C4" s="208" t="n"/>
      <c r="D4" s="208" t="n"/>
      <c r="E4" s="208" t="n"/>
      <c r="F4" s="208" t="n"/>
      <c r="G4" s="208" t="n"/>
      <c r="H4" s="208" t="n"/>
      <c r="I4" s="208" t="n"/>
      <c r="J4" s="208" t="n"/>
      <c r="K4" s="208" t="n"/>
      <c r="L4" s="208" t="n"/>
      <c r="M4" s="208" t="n"/>
      <c r="N4" s="208" t="n"/>
      <c r="O4" s="208" t="n"/>
      <c r="P4" s="208" t="n"/>
      <c r="Q4" s="208" t="n"/>
      <c r="R4" s="208" t="n"/>
    </row>
    <row r="5" ht="12.75" customHeight="1" s="203">
      <c r="A5" s="208" t="n"/>
      <c r="B5" s="208" t="n"/>
      <c r="C5" s="208" t="n"/>
      <c r="D5" s="208" t="n"/>
      <c r="E5" s="208" t="n"/>
      <c r="F5" s="208" t="n"/>
      <c r="G5" s="208" t="n"/>
      <c r="H5" s="208" t="n"/>
      <c r="I5" s="208" t="inlineStr">
        <is>
          <t>$1 = ￦1,346</t>
        </is>
      </c>
      <c r="J5" s="73" t="n">
        <v>1346.48</v>
      </c>
      <c r="K5" s="208" t="n"/>
      <c r="L5" s="208" t="n"/>
      <c r="M5" s="208" t="n"/>
      <c r="N5" s="208" t="n"/>
      <c r="O5" s="208" t="n"/>
      <c r="P5" s="208" t="n"/>
      <c r="Q5" s="208" t="n"/>
      <c r="R5" s="208" t="n"/>
    </row>
    <row r="6" ht="13.15" customHeight="1" s="203">
      <c r="A6" s="208" t="n"/>
      <c r="B6" s="208" t="n"/>
      <c r="C6" s="205" t="inlineStr">
        <is>
          <t>국가</t>
        </is>
      </c>
      <c r="D6" s="205" t="inlineStr">
        <is>
          <t>종목코드
(티커)</t>
        </is>
      </c>
      <c r="E6" s="205" t="inlineStr">
        <is>
          <t>종목명</t>
        </is>
      </c>
      <c r="F6" s="205" t="inlineStr">
        <is>
          <t>수량</t>
        </is>
      </c>
      <c r="G6" s="205" t="inlineStr">
        <is>
          <t>평단가</t>
        </is>
      </c>
      <c r="H6" s="206" t="n"/>
      <c r="I6" s="205" t="inlineStr">
        <is>
          <t>현재가</t>
        </is>
      </c>
      <c r="J6" s="206" t="n"/>
      <c r="K6" s="205" t="inlineStr">
        <is>
          <t>평가액
[원화]</t>
        </is>
      </c>
      <c r="L6" s="205" t="inlineStr">
        <is>
          <t>투자비중</t>
        </is>
      </c>
      <c r="M6" s="205" t="inlineStr">
        <is>
          <t>누적수익
[원화]</t>
        </is>
      </c>
      <c r="N6" s="205" t="inlineStr">
        <is>
          <t>총수익률
[평가+배당]</t>
        </is>
      </c>
      <c r="O6" s="208" t="inlineStr">
        <is>
          <t>종목</t>
        </is>
      </c>
      <c r="P6" s="208" t="n"/>
      <c r="Q6" s="208" t="n"/>
      <c r="R6" s="208" t="n"/>
    </row>
    <row r="7" ht="13.15" customHeight="1" s="203">
      <c r="A7" s="208" t="n"/>
      <c r="B7" s="208" t="n"/>
      <c r="C7" s="207" t="n"/>
      <c r="D7" s="207" t="n"/>
      <c r="E7" s="207" t="n"/>
      <c r="F7" s="207" t="n"/>
      <c r="G7" s="205" t="inlineStr">
        <is>
          <t>원화</t>
        </is>
      </c>
      <c r="H7" s="205" t="inlineStr">
        <is>
          <t>달러</t>
        </is>
      </c>
      <c r="I7" s="205" t="inlineStr">
        <is>
          <t>원화</t>
        </is>
      </c>
      <c r="J7" s="205" t="inlineStr">
        <is>
          <t>달러</t>
        </is>
      </c>
      <c r="K7" s="207" t="n"/>
      <c r="L7" s="207" t="n"/>
      <c r="M7" s="207" t="n"/>
      <c r="N7" s="207" t="n"/>
      <c r="P7" s="208" t="n"/>
      <c r="Q7" s="208" t="n"/>
      <c r="R7" s="208" t="n"/>
    </row>
    <row r="8">
      <c r="A8" s="208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SUM(K9:K85)</f>
        <v/>
      </c>
      <c r="L8" s="75" t="n"/>
      <c r="M8" s="213">
        <f>SUM(M9:M85)</f>
        <v/>
      </c>
      <c r="N8" s="79">
        <f>IFERROR(M8/(K8-M8),)</f>
        <v/>
      </c>
      <c r="O8" s="208" t="n"/>
      <c r="P8" s="208" t="n"/>
      <c r="Q8" s="208" t="n"/>
      <c r="R8" s="208" t="n"/>
    </row>
    <row r="9" ht="12.75" customHeight="1" s="203">
      <c r="A9" s="208" t="inlineStr">
        <is>
          <t>DC</t>
        </is>
      </c>
      <c r="B9" s="208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10730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8" t="n"/>
      <c r="Q9" s="208" t="n"/>
      <c r="R9" s="208" t="n"/>
    </row>
    <row r="10" ht="12.75" customHeight="1" s="203">
      <c r="A10" s="208" t="inlineStr">
        <is>
          <t>DC</t>
        </is>
      </c>
      <c r="B10" s="208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10770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8" t="n"/>
      <c r="Q10" s="208" t="n"/>
      <c r="R10" s="208" t="n"/>
    </row>
    <row r="11" ht="12.75" customHeight="1" s="203">
      <c r="A11" s="208" t="inlineStr">
        <is>
          <t>DC</t>
        </is>
      </c>
      <c r="B11" s="208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9765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8" t="n"/>
      <c r="Q11" s="208" t="n"/>
      <c r="R11" s="208" t="n"/>
    </row>
    <row r="12" ht="12.75" customHeight="1" s="203">
      <c r="A12" s="208" t="inlineStr">
        <is>
          <t>DC</t>
        </is>
      </c>
      <c r="B12" s="208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11910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8" t="n"/>
      <c r="Q12" s="208" t="n"/>
      <c r="R12" s="208" t="n"/>
    </row>
    <row r="13" ht="12.75" customHeight="1" s="203">
      <c r="A13" s="208" t="inlineStr">
        <is>
          <t>DC</t>
        </is>
      </c>
      <c r="B13" s="208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7" t="n">
        <v>14081</v>
      </c>
      <c r="H13" s="228" t="n"/>
      <c r="I13" s="223" t="n">
        <v>13800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8" t="n"/>
      <c r="Q13" s="208" t="n"/>
      <c r="R13" s="208" t="n"/>
    </row>
    <row r="14" ht="12.75" customHeight="1" s="203">
      <c r="A14" s="208" t="inlineStr">
        <is>
          <t>DC</t>
        </is>
      </c>
      <c r="B14" s="208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10590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8" t="n"/>
      <c r="Q14" s="208" t="n"/>
      <c r="R14" s="208" t="n"/>
    </row>
    <row r="15" ht="12.75" customHeight="1" s="203">
      <c r="A15" s="208" t="inlineStr">
        <is>
          <t>DC</t>
        </is>
      </c>
      <c r="B15" s="208" t="n">
        <v>7</v>
      </c>
      <c r="C15" s="222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5" t="n">
        <v>8675</v>
      </c>
      <c r="H15" s="216" t="n"/>
      <c r="I15" s="223" t="n">
        <v>7430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미국채커</t>
        </is>
      </c>
      <c r="P15" s="208" t="n"/>
      <c r="Q15" s="208" t="n"/>
      <c r="R15" s="208" t="n"/>
    </row>
    <row r="16" ht="12.75" customHeight="1" s="203">
      <c r="A16" s="208" t="inlineStr">
        <is>
          <t>DC</t>
        </is>
      </c>
      <c r="B16" s="208" t="n">
        <v>8</v>
      </c>
      <c r="C16" s="222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7" t="n">
        <v>4395</v>
      </c>
      <c r="H16" s="228" t="n"/>
      <c r="I16" s="223" t="n">
        <v>4040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국내리츠</t>
        </is>
      </c>
      <c r="P16" s="208" t="n"/>
      <c r="Q16" s="208" t="n"/>
      <c r="R16" s="208" t="n"/>
    </row>
    <row r="17" ht="12.75" customHeight="1" s="203">
      <c r="A17" s="208" t="inlineStr">
        <is>
          <t>DC</t>
        </is>
      </c>
      <c r="B17" s="208" t="n">
        <v>9</v>
      </c>
      <c r="C17" s="222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5" t="n">
        <v>26999</v>
      </c>
      <c r="H17" s="228" t="n"/>
      <c r="I17" s="223" t="n">
        <v>26300</v>
      </c>
      <c r="J17" s="224" t="n"/>
      <c r="K17" s="225">
        <f>IFERROR(I17*F17+J17*$J$5*F17,)</f>
        <v/>
      </c>
      <c r="L17" s="90">
        <f>IFERROR(K17/$K$8,)</f>
        <v/>
      </c>
      <c r="M17" s="220">
        <f>IFERROR(K17-G17*F17-H17*$J$5*F17,)</f>
        <v/>
      </c>
      <c r="N17" s="226">
        <f>IFERROR(M17/(K17-M17),)</f>
        <v/>
      </c>
      <c r="O17" s="86" t="inlineStr">
        <is>
          <t>나스닥</t>
        </is>
      </c>
      <c r="P17" s="208" t="n"/>
      <c r="Q17" s="208" t="n"/>
      <c r="R17" s="208" t="n"/>
    </row>
    <row r="18" ht="12.75" customHeight="1" s="203">
      <c r="A18" s="208" t="inlineStr">
        <is>
          <t>개인연금1</t>
        </is>
      </c>
      <c r="B18" s="208" t="n">
        <v>10</v>
      </c>
      <c r="C18" s="214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5" t="n">
        <v>10680</v>
      </c>
      <c r="H18" s="216" t="n"/>
      <c r="I18" s="217" t="n">
        <v>14710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테커</t>
        </is>
      </c>
      <c r="P18" s="208" t="n"/>
      <c r="Q18" s="208" t="n"/>
      <c r="R18" s="208" t="n"/>
    </row>
    <row r="19" ht="12.75" customHeight="1" s="203">
      <c r="A19" s="208" t="inlineStr">
        <is>
          <t>개인연금1</t>
        </is>
      </c>
      <c r="B19" s="208" t="n">
        <v>11</v>
      </c>
      <c r="C19" s="214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5" t="n">
        <v>10101</v>
      </c>
      <c r="H19" s="216" t="n"/>
      <c r="I19" s="217" t="n">
        <v>10730</v>
      </c>
      <c r="J19" s="218" t="n"/>
      <c r="K19" s="219">
        <f>IFERROR(I19*F19+J19*$J$5*F19,)</f>
        <v/>
      </c>
      <c r="L19" s="83">
        <f>IFERROR(K19/$K$8,)</f>
        <v/>
      </c>
      <c r="M19" s="220">
        <f>IFERROR(K19-G19*F19-H19*$J$5*F19,)</f>
        <v/>
      </c>
      <c r="N19" s="221">
        <f>IFERROR(M19/(K19-M19),)</f>
        <v/>
      </c>
      <c r="O19" s="86" t="inlineStr">
        <is>
          <t>다우커</t>
        </is>
      </c>
      <c r="P19" s="208" t="n"/>
      <c r="Q19" s="208" t="n"/>
      <c r="R19" s="208" t="n"/>
    </row>
    <row r="20" ht="12.75" customHeight="1" s="203">
      <c r="A20" s="208" t="inlineStr">
        <is>
          <t>개인연금1</t>
        </is>
      </c>
      <c r="B20" s="208" t="n">
        <v>12</v>
      </c>
      <c r="C20" s="222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7" t="n">
        <v>10517</v>
      </c>
      <c r="H20" s="228" t="n"/>
      <c r="I20" s="223" t="n">
        <v>13465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다우</t>
        </is>
      </c>
      <c r="P20" s="208" t="n"/>
      <c r="Q20" s="208" t="n"/>
      <c r="R20" s="208" t="n"/>
    </row>
    <row r="21" ht="12.75" customHeight="1" s="203">
      <c r="A21" s="208" t="inlineStr">
        <is>
          <t>개인연금1</t>
        </is>
      </c>
      <c r="B21" s="208" t="n">
        <v>13</v>
      </c>
      <c r="C21" s="222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5" t="n">
        <v>20442</v>
      </c>
      <c r="H21" s="228" t="n"/>
      <c r="I21" s="223" t="n">
        <v>21425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</t>
        </is>
      </c>
      <c r="P21" s="208" t="n"/>
      <c r="Q21" s="208" t="n"/>
      <c r="R21" s="208" t="n"/>
    </row>
    <row r="22" ht="12.75" customHeight="1" s="203">
      <c r="A22" s="208" t="inlineStr">
        <is>
          <t>개인연금1</t>
        </is>
      </c>
      <c r="B22" s="208" t="n">
        <v>14</v>
      </c>
      <c r="C22" s="222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5" t="n">
        <v>10629</v>
      </c>
      <c r="H22" s="228" t="n"/>
      <c r="I22" s="223" t="n">
        <v>11500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슨피커</t>
        </is>
      </c>
      <c r="P22" s="208" t="n"/>
      <c r="Q22" s="208" t="n"/>
      <c r="R22" s="208" t="n"/>
    </row>
    <row r="23" ht="12.75" customHeight="1" s="203">
      <c r="A23" s="72" t="inlineStr">
        <is>
          <t>개인연금2</t>
        </is>
      </c>
      <c r="B23" s="208" t="n">
        <v>15</v>
      </c>
      <c r="C23" s="222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5" t="n">
        <v>32791</v>
      </c>
      <c r="H23" s="228" t="n"/>
      <c r="I23" s="223" t="n">
        <v>30235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나스닥</t>
        </is>
      </c>
      <c r="P23" s="208" t="n"/>
      <c r="Q23" s="208" t="n"/>
      <c r="R23" s="208" t="n"/>
    </row>
    <row r="24" ht="12.75" customHeight="1" s="203">
      <c r="A24" s="72" t="inlineStr">
        <is>
          <t>개인연금2</t>
        </is>
      </c>
      <c r="B24" s="208" t="n">
        <v>16</v>
      </c>
      <c r="C24" s="222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5" t="n">
        <v>25492</v>
      </c>
      <c r="H24" s="228" t="n"/>
      <c r="I24" s="223" t="n">
        <v>25660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inlineStr">
        <is>
          <t>슨피</t>
        </is>
      </c>
      <c r="P24" s="208" t="n"/>
      <c r="Q24" s="208" t="n"/>
      <c r="R24" s="208" t="n"/>
    </row>
    <row r="25" ht="12.75" customHeight="1" s="203">
      <c r="A25" s="208" t="inlineStr">
        <is>
          <t>ISA</t>
        </is>
      </c>
      <c r="B25" s="208" t="n">
        <v>17</v>
      </c>
      <c r="C25" s="222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7" t="n">
        <v>10928</v>
      </c>
      <c r="H25" s="228" t="n"/>
      <c r="I25" s="223" t="n">
        <v>11450</v>
      </c>
      <c r="J25" s="224" t="n"/>
      <c r="K25" s="225">
        <f>IFERROR(I25*F25+J25*$J$5*F25,)</f>
        <v/>
      </c>
      <c r="L25" s="90">
        <f>IFERROR(K25/$K$8,)</f>
        <v/>
      </c>
      <c r="M25" s="220">
        <f>IFERROR(K25-G25*F25-H25*$J$5*F25,)</f>
        <v/>
      </c>
      <c r="N25" s="226">
        <f>IFERROR(M25/(K25-M25),)</f>
        <v/>
      </c>
      <c r="O25" s="86" t="n"/>
      <c r="P25" s="208" t="n"/>
      <c r="Q25" s="208" t="n"/>
      <c r="R25" s="208" t="n"/>
    </row>
    <row r="26" ht="12.75" customHeight="1" s="203">
      <c r="A26" s="208" t="inlineStr">
        <is>
          <t>ISA</t>
        </is>
      </c>
      <c r="B26" s="208" t="n">
        <v>18</v>
      </c>
      <c r="C26" s="222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5" t="n">
        <v>9901</v>
      </c>
      <c r="H26" s="228" t="n"/>
      <c r="I26" s="217" t="n">
        <v>10730</v>
      </c>
      <c r="J26" s="224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다우커</t>
        </is>
      </c>
      <c r="P26" s="208" t="n"/>
      <c r="Q26" s="208" t="n"/>
      <c r="R26" s="208" t="n"/>
    </row>
    <row r="27" ht="12.75" customHeight="1" s="203">
      <c r="A27" s="208" t="inlineStr">
        <is>
          <t>ISA</t>
        </is>
      </c>
      <c r="B27" s="208" t="n">
        <v>19</v>
      </c>
      <c r="C27" s="214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5" t="n">
        <v>12013</v>
      </c>
      <c r="H27" s="216" t="n"/>
      <c r="I27" s="217" t="n">
        <v>14710</v>
      </c>
      <c r="J27" s="218" t="n"/>
      <c r="K27" s="219">
        <f>IFERROR(I27*F27+J27*$J$5*F27,)</f>
        <v/>
      </c>
      <c r="L27" s="83">
        <f>IFERROR(K27/$K$8,)</f>
        <v/>
      </c>
      <c r="M27" s="220">
        <f>IFERROR(K27-G27*F27-H27*$J$5*F27,)</f>
        <v/>
      </c>
      <c r="N27" s="221">
        <f>IFERROR(M27/(K27-M27),)</f>
        <v/>
      </c>
      <c r="O27" s="86" t="inlineStr">
        <is>
          <t>테커</t>
        </is>
      </c>
      <c r="P27" s="208" t="n"/>
      <c r="Q27" s="208" t="n"/>
      <c r="R27" s="208" t="n"/>
    </row>
    <row r="28" ht="12.75" customHeight="1" s="203">
      <c r="A28" s="208" t="inlineStr">
        <is>
          <t>ISA</t>
        </is>
      </c>
      <c r="B28" s="208" t="n">
        <v>20</v>
      </c>
      <c r="C28" s="222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5" t="n">
        <v>16714</v>
      </c>
      <c r="H28" s="228" t="n"/>
      <c r="I28" s="223" t="n">
        <v>17880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테슬라</t>
        </is>
      </c>
      <c r="P28" s="208" t="n"/>
      <c r="Q28" s="208" t="n"/>
      <c r="R28" s="208" t="n"/>
    </row>
    <row r="29" ht="12.75" customHeight="1" s="203">
      <c r="A29" s="208" t="inlineStr">
        <is>
          <t>ISA</t>
        </is>
      </c>
      <c r="B29" s="208" t="n">
        <v>21</v>
      </c>
      <c r="C29" s="222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5" t="n">
        <v>9360</v>
      </c>
      <c r="H29" s="228" t="n"/>
      <c r="I29" s="223" t="n">
        <v>7740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미국채커</t>
        </is>
      </c>
      <c r="P29" s="208" t="n"/>
      <c r="Q29" s="208" t="n"/>
      <c r="R29" s="208" t="n"/>
    </row>
    <row r="30" ht="12.75" customHeight="1" s="203">
      <c r="A30" s="208" t="inlineStr">
        <is>
          <t>ISA</t>
        </is>
      </c>
      <c r="B30" s="208" t="n">
        <v>22</v>
      </c>
      <c r="C30" s="222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5" t="n">
        <v>110746</v>
      </c>
      <c r="H30" s="228" t="n"/>
      <c r="I30" s="223" t="n">
        <v>128400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기아</t>
        </is>
      </c>
      <c r="P30" s="208" t="n"/>
      <c r="Q30" s="208" t="n"/>
      <c r="R30" s="208" t="n"/>
    </row>
    <row r="31" ht="12.75" customHeight="1" s="203">
      <c r="A31" s="208" t="inlineStr">
        <is>
          <t>ISA</t>
        </is>
      </c>
      <c r="B31" s="208" t="n">
        <v>23</v>
      </c>
      <c r="C31" s="222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5" t="n">
        <v>12814</v>
      </c>
      <c r="H31" s="228" t="n"/>
      <c r="I31" s="223" t="n">
        <v>13805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양자</t>
        </is>
      </c>
      <c r="P31" s="208" t="n"/>
      <c r="Q31" s="208" t="n"/>
      <c r="R31" s="208" t="n"/>
    </row>
    <row r="32" ht="12.75" customHeight="1" s="203">
      <c r="A32" s="208" t="inlineStr">
        <is>
          <t>ISA</t>
        </is>
      </c>
      <c r="B32" s="208" t="n">
        <v>24</v>
      </c>
      <c r="C32" s="222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5" t="n">
        <v>9583</v>
      </c>
      <c r="H32" s="228" t="n"/>
      <c r="I32" s="223" t="n">
        <v>6760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미국채커</t>
        </is>
      </c>
      <c r="P32" s="208" t="n"/>
      <c r="Q32" s="208" t="n"/>
      <c r="R32" s="208" t="n"/>
    </row>
    <row r="33" ht="12.75" customHeight="1" s="203">
      <c r="A33" s="208" t="inlineStr">
        <is>
          <t>ISA</t>
        </is>
      </c>
      <c r="B33" s="208" t="n">
        <v>25</v>
      </c>
      <c r="C33" s="222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5" t="n">
        <v>14544</v>
      </c>
      <c r="H33" s="228" t="n"/>
      <c r="I33" s="223" t="n">
        <v>12770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금</t>
        </is>
      </c>
      <c r="P33" s="208" t="n"/>
      <c r="Q33" s="208" t="n"/>
      <c r="R33" s="208" t="n"/>
    </row>
    <row r="34" ht="12.75" customHeight="1" s="203">
      <c r="A34" s="208" t="inlineStr">
        <is>
          <t>ISA</t>
        </is>
      </c>
      <c r="B34" s="208" t="n">
        <v>26</v>
      </c>
      <c r="C34" s="222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5" t="n">
        <v>160810</v>
      </c>
      <c r="H34" s="228" t="n"/>
      <c r="I34" s="223" t="n">
        <v>183000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현대차</t>
        </is>
      </c>
      <c r="P34" s="208" t="n"/>
      <c r="Q34" s="208" t="n"/>
      <c r="R34" s="208" t="n"/>
    </row>
    <row r="35" ht="12.75" customHeight="1" s="203">
      <c r="A35" s="208" t="inlineStr">
        <is>
          <t>ISA</t>
        </is>
      </c>
      <c r="B35" s="208" t="n">
        <v>27</v>
      </c>
      <c r="C35" s="222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5" t="n">
        <v>8477</v>
      </c>
      <c r="H35" s="228" t="n"/>
      <c r="I35" s="223" t="n">
        <v>10420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이차전지</t>
        </is>
      </c>
      <c r="P35" s="208" t="n"/>
      <c r="Q35" s="208" t="n"/>
      <c r="R35" s="208" t="n"/>
    </row>
    <row r="36" ht="12.75" customHeight="1" s="203">
      <c r="A36" s="208" t="inlineStr">
        <is>
          <t>ISA</t>
        </is>
      </c>
      <c r="B36" s="208" t="n">
        <v>28</v>
      </c>
      <c r="C36" s="222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5" t="n">
        <v>9378</v>
      </c>
      <c r="H36" s="228" t="n"/>
      <c r="I36" s="223" t="n">
        <v>10310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헬스</t>
        </is>
      </c>
      <c r="P36" s="208" t="n"/>
      <c r="Q36" s="208" t="n"/>
      <c r="R36" s="208" t="n"/>
    </row>
    <row r="37" ht="12.75" customHeight="1" s="203">
      <c r="A37" s="208" t="inlineStr">
        <is>
          <t>ISA</t>
        </is>
      </c>
      <c r="B37" s="208" t="n">
        <v>29</v>
      </c>
      <c r="C37" s="222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5" t="n">
        <v>9891</v>
      </c>
      <c r="H37" s="228" t="n"/>
      <c r="I37" s="223" t="n">
        <v>10110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리츠</t>
        </is>
      </c>
      <c r="P37" s="208" t="n"/>
      <c r="Q37" s="208" t="n"/>
      <c r="R37" s="208" t="n"/>
    </row>
    <row r="38" ht="12.75" customHeight="1" s="203">
      <c r="A38" s="208" t="inlineStr">
        <is>
          <t>일반계좌</t>
        </is>
      </c>
      <c r="B38" s="208" t="n">
        <v>30</v>
      </c>
      <c r="C38" s="222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5" t="n">
        <v>160500</v>
      </c>
      <c r="H38" s="228" t="n"/>
      <c r="I38" s="223" t="n">
        <v>270000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삼전</t>
        </is>
      </c>
      <c r="P38" s="208" t="n"/>
      <c r="Q38" s="208" t="n"/>
      <c r="R38" s="208" t="n"/>
    </row>
    <row r="39" ht="12.75" customHeight="1" s="203">
      <c r="A39" s="208" t="inlineStr">
        <is>
          <t>일반계좌</t>
        </is>
      </c>
      <c r="B39" s="208" t="n">
        <v>31</v>
      </c>
      <c r="C39" s="222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5" t="n">
        <v>225433</v>
      </c>
      <c r="H39" s="228" t="n"/>
      <c r="I39" s="223" t="n">
        <v>270000</v>
      </c>
      <c r="J39" s="224" t="n"/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삼전</t>
        </is>
      </c>
      <c r="P39" s="208" t="n"/>
      <c r="Q39" s="208" t="n"/>
      <c r="R39" s="208" t="n"/>
    </row>
    <row r="40" ht="12.75" customHeight="1" s="203">
      <c r="A40" s="72" t="inlineStr">
        <is>
          <t>일반계좌</t>
        </is>
      </c>
      <c r="B40" s="208" t="n">
        <v>32</v>
      </c>
      <c r="C40" s="222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5" t="n">
        <v>21321</v>
      </c>
      <c r="H40" s="228" t="n"/>
      <c r="I40" s="223" t="n">
        <v>20855</v>
      </c>
      <c r="J40" s="224" t="n"/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헬스</t>
        </is>
      </c>
      <c r="P40" s="208" t="n"/>
      <c r="Q40" s="208" t="n"/>
      <c r="R40" s="208" t="n"/>
    </row>
    <row r="41">
      <c r="A41" s="72" t="inlineStr">
        <is>
          <t>일반계좌</t>
        </is>
      </c>
      <c r="B41" s="208" t="n">
        <v>33</v>
      </c>
      <c r="C41" s="222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5" t="n"/>
      <c r="H41" s="228" t="n">
        <v>280.9963</v>
      </c>
      <c r="I41" s="225" t="n"/>
      <c r="J41" s="92" t="n">
        <v>354.0799865722656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테슬라</t>
        </is>
      </c>
      <c r="P41" s="208" t="n"/>
      <c r="Q41" s="208" t="n"/>
      <c r="R41" s="208" t="n"/>
    </row>
    <row r="42">
      <c r="A42" s="72" t="inlineStr">
        <is>
          <t>일반계좌</t>
        </is>
      </c>
      <c r="B42" s="208" t="n">
        <v>34</v>
      </c>
      <c r="C42" s="222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5" t="n"/>
      <c r="H42" s="228" t="n">
        <v>53.53</v>
      </c>
      <c r="I42" s="225" t="n"/>
      <c r="J42" s="92" t="n">
        <v>61.25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미국리츠</t>
        </is>
      </c>
      <c r="P42" s="208" t="n"/>
      <c r="Q42" s="208" t="n"/>
      <c r="R42" s="208" t="n"/>
    </row>
    <row r="43">
      <c r="A43" s="72" t="inlineStr">
        <is>
          <t>일반계좌</t>
        </is>
      </c>
      <c r="B43" s="208" t="n">
        <v>35</v>
      </c>
      <c r="C43" s="222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5" t="n"/>
      <c r="H43" s="228" t="n">
        <v>29.68</v>
      </c>
      <c r="I43" s="225" t="n"/>
      <c r="J43" s="92" t="n">
        <v>39.52000045776367</v>
      </c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양자</t>
        </is>
      </c>
      <c r="P43" s="208" t="n"/>
      <c r="Q43" s="208" t="n"/>
      <c r="R43" s="208" t="n"/>
    </row>
    <row r="44">
      <c r="A44" s="72" t="inlineStr">
        <is>
          <t>일반계좌</t>
        </is>
      </c>
      <c r="B44" s="208" t="n">
        <v>36</v>
      </c>
      <c r="C44" s="222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5" t="n"/>
      <c r="H44" s="228" t="n">
        <v>208.16</v>
      </c>
      <c r="I44" s="225" t="n"/>
      <c r="J44" s="92" t="n">
        <v>319.9700012207031</v>
      </c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애플</t>
        </is>
      </c>
      <c r="P44" s="208" t="n"/>
      <c r="Q44" s="208" t="n"/>
      <c r="R44" s="208" t="n"/>
    </row>
    <row r="45">
      <c r="A45" s="72" t="inlineStr">
        <is>
          <t>일반계좌</t>
        </is>
      </c>
      <c r="B45" s="208" t="n">
        <v>37</v>
      </c>
      <c r="C45" s="222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5" t="n">
        <v>21932</v>
      </c>
      <c r="H45" s="228" t="n"/>
      <c r="I45" s="223" t="n">
        <v>20900</v>
      </c>
      <c r="J45" s="224" t="n"/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기업은행</t>
        </is>
      </c>
      <c r="P45" s="208" t="n"/>
      <c r="Q45" s="208" t="n"/>
      <c r="R45" s="208" t="n"/>
    </row>
    <row r="46">
      <c r="A46" s="72" t="inlineStr">
        <is>
          <t>일반계좌</t>
        </is>
      </c>
      <c r="B46" s="208" t="n">
        <v>38</v>
      </c>
      <c r="C46" s="222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5" t="n">
        <v>222701</v>
      </c>
      <c r="H46" s="228" t="n"/>
      <c r="I46" s="223" t="n">
        <v>180800</v>
      </c>
      <c r="J46" s="224" t="n"/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86" t="inlineStr">
        <is>
          <t>엔터</t>
        </is>
      </c>
      <c r="P46" s="208" t="n"/>
      <c r="Q46" s="208" t="n"/>
      <c r="R46" s="208" t="n"/>
    </row>
    <row r="47">
      <c r="A47" s="72" t="inlineStr">
        <is>
          <t>일반계좌</t>
        </is>
      </c>
      <c r="B47" s="208" t="n">
        <v>39</v>
      </c>
      <c r="C47" s="222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5" t="n"/>
      <c r="H47" s="228" t="n">
        <v>87.726</v>
      </c>
      <c r="I47" s="225" t="n"/>
      <c r="J47" s="92" t="n">
        <v>90.68000030517578</v>
      </c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나스닥</t>
        </is>
      </c>
      <c r="P47" s="208" t="n"/>
      <c r="Q47" s="208" t="n"/>
      <c r="R47" s="208" t="n"/>
    </row>
    <row r="48">
      <c r="A48" s="72" t="inlineStr">
        <is>
          <t>일반계좌2</t>
        </is>
      </c>
      <c r="B48" s="208" t="n">
        <v>40</v>
      </c>
      <c r="C48" s="229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5" t="n"/>
      <c r="H48" s="228" t="n">
        <v>87.64</v>
      </c>
      <c r="I48" s="225" t="n"/>
      <c r="J48" s="92" t="n">
        <v>90.68000030517578</v>
      </c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132" t="inlineStr">
        <is>
          <t>나스닥</t>
        </is>
      </c>
      <c r="P48" s="208" t="n"/>
      <c r="Q48" s="208" t="n"/>
      <c r="R48" s="208" t="n"/>
    </row>
    <row r="49">
      <c r="A49" s="72" t="inlineStr">
        <is>
          <t>일반계좌</t>
        </is>
      </c>
      <c r="B49" s="208" t="n">
        <v>41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0" t="n">
        <v>173127</v>
      </c>
      <c r="H49" s="104" t="n"/>
      <c r="I49" s="223" t="n">
        <v>175900</v>
      </c>
      <c r="J49" s="86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inlineStr">
        <is>
          <t>KB금융</t>
        </is>
      </c>
      <c r="P49" s="208" t="n"/>
      <c r="Q49" s="208" t="n"/>
      <c r="R49" s="208" t="n"/>
    </row>
    <row r="50">
      <c r="A50" s="72" t="inlineStr">
        <is>
          <t>일반계좌</t>
        </is>
      </c>
      <c r="B50" s="208" t="n">
        <v>42</v>
      </c>
      <c r="C50" s="222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1" t="n">
        <v>472499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예수금</t>
        </is>
      </c>
      <c r="P50" s="208" t="n"/>
      <c r="Q50" s="208" t="n"/>
      <c r="R50" s="208" t="n"/>
    </row>
    <row r="51">
      <c r="A51" s="72" t="inlineStr">
        <is>
          <t>일반계좌</t>
        </is>
      </c>
      <c r="B51" s="208" t="n">
        <v>43</v>
      </c>
      <c r="C51" s="222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5" t="n">
        <v>8294</v>
      </c>
      <c r="H51" s="228" t="n"/>
      <c r="I51" s="223" t="n">
        <v>8505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n"/>
      <c r="P51" s="208" t="n"/>
      <c r="Q51" s="208" t="n"/>
      <c r="R51" s="208" t="n"/>
    </row>
    <row r="52" ht="12.75" customHeight="1" s="203">
      <c r="A52" s="72" t="inlineStr">
        <is>
          <t>일반계좌</t>
        </is>
      </c>
      <c r="B52" s="208" t="n">
        <v>44</v>
      </c>
      <c r="C52" s="222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1" t="n">
        <v>1049709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8" t="n"/>
      <c r="Q52" s="208" t="n"/>
      <c r="R52" s="208" t="n"/>
    </row>
    <row r="53" ht="12.75" customHeight="1" s="203">
      <c r="A53" s="72" t="inlineStr">
        <is>
          <t>일반계좌</t>
        </is>
      </c>
      <c r="B53" s="208" t="n">
        <v>45</v>
      </c>
      <c r="C53" s="222" t="inlineStr">
        <is>
          <t>한국</t>
        </is>
      </c>
      <c r="D53" s="97" t="inlineStr">
        <is>
          <t>041510</t>
        </is>
      </c>
      <c r="E53" s="209" t="inlineStr">
        <is>
          <t>에스엠</t>
        </is>
      </c>
      <c r="F53" s="99" t="n">
        <v>24</v>
      </c>
      <c r="G53" s="215" t="n">
        <v>87423</v>
      </c>
      <c r="H53" s="228" t="n"/>
      <c r="I53" s="223" t="n">
        <v>79900</v>
      </c>
      <c r="J53" s="224" t="n"/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엔터</t>
        </is>
      </c>
      <c r="P53" s="208" t="n"/>
      <c r="Q53" s="208" t="n"/>
      <c r="R53" s="208" t="n"/>
    </row>
    <row r="54" ht="12.75" customHeight="1" s="203">
      <c r="A54" s="72" t="inlineStr">
        <is>
          <t>일반계좌</t>
        </is>
      </c>
      <c r="B54" s="208" t="n">
        <v>46</v>
      </c>
      <c r="C54" s="222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1" t="n">
        <v>1488471</v>
      </c>
      <c r="H54" s="232" t="n"/>
      <c r="I54" s="219">
        <f>G54</f>
        <v/>
      </c>
      <c r="J54" s="224" t="n"/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현금</t>
        </is>
      </c>
      <c r="P54" s="208" t="n"/>
      <c r="Q54" s="208" t="n"/>
      <c r="R54" s="208" t="n"/>
    </row>
    <row r="55">
      <c r="A55" s="72" t="inlineStr">
        <is>
          <t>일반계좌</t>
        </is>
      </c>
      <c r="B55" s="208" t="n">
        <v>47</v>
      </c>
      <c r="C55" s="222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5" t="n"/>
      <c r="H55" s="228" t="n">
        <v>180.0771</v>
      </c>
      <c r="I55" s="225" t="n"/>
      <c r="J55" s="92" t="n">
        <v>147.9499969482422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스엑</t>
        </is>
      </c>
      <c r="P55" s="208" t="n"/>
      <c r="Q55" s="208" t="n"/>
      <c r="R55" s="208" t="n"/>
    </row>
    <row r="56">
      <c r="A56" s="72" t="inlineStr">
        <is>
          <t>일반계좌</t>
        </is>
      </c>
      <c r="B56" s="208" t="n">
        <v>48</v>
      </c>
      <c r="C56" s="222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5" t="n"/>
      <c r="H56" s="228" t="n">
        <v>185.84</v>
      </c>
      <c r="I56" s="225" t="n"/>
      <c r="J56" s="92" t="n">
        <v>175.8500061035156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아메리칸타워</t>
        </is>
      </c>
      <c r="P56" s="208" t="n"/>
      <c r="Q56" s="208" t="n"/>
      <c r="R56" s="208" t="n"/>
    </row>
    <row r="57">
      <c r="A57" s="72" t="inlineStr">
        <is>
          <t>일반계좌</t>
        </is>
      </c>
      <c r="B57" s="208" t="n">
        <v>49</v>
      </c>
      <c r="C57" s="222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5" t="n"/>
      <c r="H57" s="228" t="n">
        <v>169.016</v>
      </c>
      <c r="I57" s="225" t="n"/>
      <c r="J57" s="92" t="n">
        <v>230.3600006103516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엔비디아</t>
        </is>
      </c>
      <c r="P57" s="208" t="n"/>
      <c r="Q57" s="208" t="n"/>
      <c r="R57" s="208" t="n"/>
    </row>
    <row r="58">
      <c r="A58" s="72" t="inlineStr">
        <is>
          <t>일반계좌</t>
        </is>
      </c>
      <c r="B58" s="208" t="n">
        <v>50</v>
      </c>
      <c r="C58" s="222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5" t="n"/>
      <c r="H58" s="228" t="n">
        <v>27.59</v>
      </c>
      <c r="I58" s="225" t="n"/>
      <c r="J58" s="92" t="n">
        <v>34.79999923706055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다우</t>
        </is>
      </c>
      <c r="P58" s="208" t="n"/>
      <c r="Q58" s="208" t="n"/>
      <c r="R58" s="208" t="n"/>
    </row>
    <row r="59">
      <c r="A59" s="72" t="inlineStr">
        <is>
          <t>일반계좌</t>
        </is>
      </c>
      <c r="B59" s="208" t="n">
        <v>51</v>
      </c>
      <c r="C59" s="222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5" t="n"/>
      <c r="H59" s="228" t="n">
        <v>408.19</v>
      </c>
      <c r="I59" s="225" t="n"/>
      <c r="J59" s="92" t="n">
        <v>499.7000122070312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마소</t>
        </is>
      </c>
      <c r="P59" s="208" t="n"/>
      <c r="Q59" s="208" t="n"/>
      <c r="R59" s="208" t="n"/>
    </row>
    <row r="60">
      <c r="A60" s="72" t="inlineStr">
        <is>
          <t>일반계좌</t>
        </is>
      </c>
      <c r="B60" s="208" t="n">
        <v>52</v>
      </c>
      <c r="C60" s="222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5" t="n"/>
      <c r="H60" s="228" t="n">
        <v>202.7775</v>
      </c>
      <c r="I60" s="225" t="n"/>
      <c r="J60" s="92" t="n">
        <v>181.5200042724609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통신</t>
        </is>
      </c>
      <c r="P60" s="208" t="n"/>
      <c r="Q60" s="208" t="n"/>
      <c r="R60" s="208" t="n"/>
    </row>
    <row r="61">
      <c r="A61" s="72" t="inlineStr">
        <is>
          <t>일반계좌</t>
        </is>
      </c>
      <c r="B61" s="208" t="n">
        <v>53</v>
      </c>
      <c r="C61" s="222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5" t="n"/>
      <c r="H61" s="228" t="n">
        <v>53.67</v>
      </c>
      <c r="I61" s="225" t="n"/>
      <c r="J61" s="92" t="n">
        <v>46.59999847412109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헬스</t>
        </is>
      </c>
      <c r="P61" s="208" t="n"/>
      <c r="Q61" s="208" t="n"/>
      <c r="R61" s="208" t="n"/>
    </row>
    <row r="62">
      <c r="A62" s="72" t="inlineStr">
        <is>
          <t>일반계좌</t>
        </is>
      </c>
      <c r="B62" s="208" t="n">
        <v>54</v>
      </c>
      <c r="C62" s="222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5" t="n"/>
      <c r="H62" s="228" t="n">
        <v>129.42</v>
      </c>
      <c r="I62" s="225" t="n"/>
      <c r="J62" s="92" t="n">
        <v>174.3300018310547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팔란</t>
        </is>
      </c>
      <c r="P62" s="208" t="n"/>
      <c r="Q62" s="208" t="n"/>
      <c r="R62" s="208" t="n"/>
    </row>
    <row r="63">
      <c r="A63" s="72" t="inlineStr">
        <is>
          <t>일반계좌</t>
        </is>
      </c>
      <c r="B63" s="208" t="n">
        <v>55</v>
      </c>
      <c r="C63" s="222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5" t="n"/>
      <c r="H63" s="228" t="n">
        <v>62.38</v>
      </c>
      <c r="I63" s="225" t="n"/>
      <c r="J63" s="92" t="n">
        <v>64.26000213623047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로켓</t>
        </is>
      </c>
      <c r="P63" s="208" t="n"/>
      <c r="Q63" s="208" t="n"/>
      <c r="R63" s="208" t="n"/>
    </row>
    <row r="64">
      <c r="A64" s="72" t="inlineStr">
        <is>
          <t>일반계좌</t>
        </is>
      </c>
      <c r="B64" s="208" t="n">
        <v>56</v>
      </c>
      <c r="C64" s="222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5" t="n"/>
      <c r="H64" s="228" t="n">
        <v>17.91</v>
      </c>
      <c r="I64" s="225" t="n"/>
      <c r="J64" s="92" t="n">
        <v>10.46000003814697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C3AI</t>
        </is>
      </c>
      <c r="P64" s="208" t="n"/>
      <c r="Q64" s="208" t="n"/>
      <c r="R64" s="208" t="n"/>
    </row>
    <row r="65">
      <c r="A65" s="72" t="inlineStr">
        <is>
          <t>일반계좌</t>
        </is>
      </c>
      <c r="B65" s="208" t="n">
        <v>57</v>
      </c>
      <c r="C65" s="222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5" t="n"/>
      <c r="H65" s="228" t="n">
        <v>63.31</v>
      </c>
      <c r="I65" s="225" t="n"/>
      <c r="J65" s="92" t="n">
        <v>38.40000152587891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나이키</t>
        </is>
      </c>
      <c r="P65" s="208" t="n"/>
      <c r="Q65" s="208" t="n"/>
      <c r="R65" s="208" t="n"/>
    </row>
    <row r="66" ht="12.75" customHeight="1" s="203">
      <c r="A66" s="72" t="inlineStr">
        <is>
          <t>일반계좌</t>
        </is>
      </c>
      <c r="B66" s="208" t="n">
        <v>58</v>
      </c>
      <c r="C66" s="222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5" t="n"/>
      <c r="H66" s="228" t="n">
        <v>340.5</v>
      </c>
      <c r="I66" s="225" t="n"/>
      <c r="J66" s="92" t="n">
        <v>428.9100036621094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TSMC</t>
        </is>
      </c>
      <c r="P66" s="208" t="n"/>
      <c r="Q66" s="208" t="n"/>
      <c r="R66" s="208" t="n"/>
    </row>
    <row r="67" ht="12.75" customHeight="1" s="203">
      <c r="A67" s="72" t="inlineStr">
        <is>
          <t>일반계좌</t>
        </is>
      </c>
      <c r="B67" s="208" t="n">
        <v>59</v>
      </c>
      <c r="C67" s="222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5" t="n"/>
      <c r="H67" s="228" t="n">
        <v>203.665</v>
      </c>
      <c r="I67" s="225" t="n"/>
      <c r="J67" s="92" t="n">
        <v>184.6399993896484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6">
        <f>IFERROR(M67/(K67-M67),)</f>
        <v/>
      </c>
      <c r="O67" s="86" t="inlineStr">
        <is>
          <t>코인베이스</t>
        </is>
      </c>
      <c r="P67" s="208" t="n"/>
      <c r="Q67" s="208" t="n"/>
      <c r="R67" s="208" t="n"/>
    </row>
    <row r="68" ht="12.75" customHeight="1" s="203">
      <c r="A68" s="72" t="inlineStr">
        <is>
          <t>일반계좌</t>
        </is>
      </c>
      <c r="B68" s="208" t="n">
        <v>60</v>
      </c>
      <c r="C68" s="222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5" t="n"/>
      <c r="H68" s="228" t="n">
        <v>213.8</v>
      </c>
      <c r="I68" s="225" t="n"/>
      <c r="J68" s="92" t="n">
        <v>173.8899993896484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에너지</t>
        </is>
      </c>
      <c r="P68" s="208" t="n"/>
      <c r="Q68" s="208" t="n"/>
      <c r="R68" s="208" t="n"/>
    </row>
    <row r="69" ht="12.75" customHeight="1" s="203">
      <c r="A69" s="72" t="inlineStr">
        <is>
          <t>일반계좌</t>
        </is>
      </c>
      <c r="B69" s="208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8" t="n">
        <v>163.125</v>
      </c>
      <c r="I69" s="219" t="n"/>
      <c r="J69" s="92" t="n">
        <v>158.7799987792969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1">
        <f>IFERROR(M69/(K69-M69),)</f>
        <v/>
      </c>
      <c r="O69" s="86" t="inlineStr">
        <is>
          <t>오라클</t>
        </is>
      </c>
      <c r="P69" s="208" t="n"/>
      <c r="Q69" s="208" t="n"/>
      <c r="R69" s="208" t="n"/>
    </row>
    <row r="70" ht="12.75" customHeight="1" s="203">
      <c r="A70" s="72" t="inlineStr">
        <is>
          <t>일반계좌</t>
        </is>
      </c>
      <c r="B70" s="208" t="n">
        <v>62</v>
      </c>
      <c r="C70" s="222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5" t="n"/>
      <c r="H70" s="228" t="n">
        <v>9.51</v>
      </c>
      <c r="I70" s="225" t="n"/>
      <c r="J70" s="92" t="n">
        <v>6.739999771118164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조비</t>
        </is>
      </c>
      <c r="P70" s="208" t="n"/>
      <c r="Q70" s="208" t="n"/>
      <c r="R70" s="208" t="n"/>
    </row>
    <row r="71" ht="12.75" customHeight="1" s="203">
      <c r="A71" s="72" t="inlineStr">
        <is>
          <t>일반계좌</t>
        </is>
      </c>
      <c r="B71" s="208" t="n">
        <v>63</v>
      </c>
      <c r="C71" s="222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5" t="n"/>
      <c r="H71" s="228" t="n">
        <v>100.529</v>
      </c>
      <c r="I71" s="225" t="n"/>
      <c r="J71" s="92" t="n">
        <v>104.4700012207031</v>
      </c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스벅</t>
        </is>
      </c>
      <c r="P71" s="208" t="n"/>
      <c r="Q71" s="208" t="n"/>
      <c r="R71" s="208" t="n"/>
    </row>
    <row r="72" ht="12.75" customHeight="1" s="203">
      <c r="A72" s="72" t="inlineStr">
        <is>
          <t>일반계좌</t>
        </is>
      </c>
      <c r="B72" s="208" t="n">
        <v>64</v>
      </c>
      <c r="C72" s="222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5" t="n"/>
      <c r="H72" s="228" t="n">
        <v>19.7113</v>
      </c>
      <c r="I72" s="225" t="n"/>
      <c r="J72" s="92" t="n">
        <v>9.699999809265137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6">
        <f>IFERROR(M72/(K72-M72),)</f>
        <v/>
      </c>
      <c r="O72" s="86" t="inlineStr">
        <is>
          <t>SMR</t>
        </is>
      </c>
      <c r="P72" s="208" t="n"/>
      <c r="Q72" s="208" t="n"/>
      <c r="R72" s="208" t="n"/>
    </row>
    <row r="73" ht="12.75" customHeight="1" s="203">
      <c r="A73" s="72" t="inlineStr">
        <is>
          <t>일반계좌</t>
        </is>
      </c>
      <c r="B73" s="208" t="n">
        <v>65</v>
      </c>
      <c r="C73" s="222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5" t="n">
        <v>32011</v>
      </c>
      <c r="H73" s="228" t="n"/>
      <c r="I73" s="223" t="n">
        <v>15430</v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6">
        <f>IFERROR(M73/(K73-M73),)</f>
        <v/>
      </c>
      <c r="O73" s="86" t="inlineStr">
        <is>
          <t>더본</t>
        </is>
      </c>
      <c r="P73" s="208" t="n"/>
      <c r="Q73" s="208" t="n"/>
      <c r="R73" s="208" t="n"/>
    </row>
    <row r="74" ht="12.75" customHeight="1" s="203">
      <c r="A74" s="72" t="inlineStr">
        <is>
          <t>일반계좌</t>
        </is>
      </c>
      <c r="B74" s="208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8" t="n">
        <v>63.42</v>
      </c>
      <c r="I74" s="219" t="n"/>
      <c r="J74" s="92" t="n">
        <v>41.27000045776367</v>
      </c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1">
        <f>IFERROR(M74/(K74-M74),)</f>
        <v/>
      </c>
      <c r="O74" s="86" t="inlineStr">
        <is>
          <t>오클로</t>
        </is>
      </c>
      <c r="P74" s="208" t="n"/>
      <c r="Q74" s="208" t="n"/>
      <c r="R74" s="208" t="n"/>
    </row>
    <row r="75" ht="12.75" customHeight="1" s="203">
      <c r="A75" s="72" t="inlineStr">
        <is>
          <t>일반계좌</t>
        </is>
      </c>
      <c r="B75" s="208" t="n">
        <v>67</v>
      </c>
      <c r="C75" s="214" t="n"/>
      <c r="D75" s="233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0" t="n">
        <v>46691</v>
      </c>
      <c r="H75" s="234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1">
        <f>IFERROR(M75/(K75-M75),)</f>
        <v/>
      </c>
      <c r="O75" s="86" t="inlineStr">
        <is>
          <t>현금</t>
        </is>
      </c>
      <c r="P75" s="208" t="n"/>
      <c r="Q75" s="208" t="n"/>
      <c r="R75" s="208" t="n"/>
    </row>
    <row r="76" ht="12.75" customHeight="1" s="203">
      <c r="A76" s="72" t="inlineStr">
        <is>
          <t>일반계좌</t>
        </is>
      </c>
      <c r="B76" s="208" t="n">
        <v>68</v>
      </c>
      <c r="C76" s="222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5" t="n">
        <v>0</v>
      </c>
      <c r="H76" s="228" t="n"/>
      <c r="I76" s="219">
        <f>G76</f>
        <v/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>예수금</t>
        </is>
      </c>
      <c r="P76" s="208" t="n"/>
      <c r="Q76" s="208" t="n"/>
      <c r="R76" s="208" t="n"/>
    </row>
    <row r="77" ht="12.75" customHeight="1" s="203">
      <c r="A77" s="208" t="inlineStr">
        <is>
          <t>CMA</t>
        </is>
      </c>
      <c r="B77" s="208" t="n">
        <v>69</v>
      </c>
      <c r="C77" s="222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1" t="n">
        <v>73462573</v>
      </c>
      <c r="H77" s="232" t="n"/>
      <c r="I77" s="219">
        <f>G77</f>
        <v/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현금</t>
        </is>
      </c>
      <c r="P77" s="208" t="n"/>
      <c r="Q77" s="208" t="n"/>
      <c r="R77" s="208" t="n"/>
    </row>
    <row r="78" ht="12.75" customHeight="1" s="203">
      <c r="A78" s="208" t="inlineStr">
        <is>
          <t>IRP</t>
        </is>
      </c>
      <c r="B78" s="208" t="n">
        <v>70</v>
      </c>
      <c r="C78" s="222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5" t="n">
        <v>17065</v>
      </c>
      <c r="H78" s="228" t="n"/>
      <c r="I78" s="223" t="n">
        <v>14800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 xml:space="preserve">미국채 </t>
        </is>
      </c>
      <c r="P78" s="208" t="n"/>
      <c r="Q78" s="208" t="n"/>
      <c r="R78" s="208" t="n"/>
    </row>
    <row r="79" ht="12.75" customHeight="1" s="203">
      <c r="A79" s="208" t="inlineStr">
        <is>
          <t>IRP</t>
        </is>
      </c>
      <c r="B79" s="208" t="n">
        <v>71</v>
      </c>
      <c r="C79" s="222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5" t="n">
        <v>177652</v>
      </c>
      <c r="H79" s="228" t="n"/>
      <c r="I79" s="223" t="n">
        <v>175920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나스닥</t>
        </is>
      </c>
      <c r="P79" s="208" t="n"/>
      <c r="Q79" s="208" t="n"/>
      <c r="R79" s="208" t="n"/>
    </row>
    <row r="80" ht="12.75" customHeight="1" s="203">
      <c r="A80" s="208" t="inlineStr">
        <is>
          <t>IRP</t>
        </is>
      </c>
      <c r="B80" s="208" t="n">
        <v>72</v>
      </c>
      <c r="C80" s="222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5" t="n">
        <v>24648</v>
      </c>
      <c r="H80" s="228" t="n"/>
      <c r="I80" s="223" t="n">
        <v>30340</v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6">
        <f>IFERROR(M80/(K80-M80),)</f>
        <v/>
      </c>
      <c r="O80" s="86" t="inlineStr">
        <is>
          <t>테크</t>
        </is>
      </c>
      <c r="P80" s="208" t="n"/>
      <c r="Q80" s="208" t="n"/>
      <c r="R80" s="208" t="n"/>
    </row>
    <row r="81" ht="12.75" customHeight="1" s="203">
      <c r="A81" s="208" t="inlineStr">
        <is>
          <t>IRP</t>
        </is>
      </c>
      <c r="B81" s="208" t="n">
        <v>73</v>
      </c>
      <c r="C81" s="222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5" t="n">
        <v>18437</v>
      </c>
      <c r="H81" s="228" t="n"/>
      <c r="I81" s="223" t="n">
        <v>21425</v>
      </c>
      <c r="J81" s="224" t="n"/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6">
        <f>IFERROR(M81/(K81-M81),)</f>
        <v/>
      </c>
      <c r="O81" s="86" t="inlineStr">
        <is>
          <t>슨피</t>
        </is>
      </c>
      <c r="P81" s="208" t="n"/>
      <c r="Q81" s="208" t="n"/>
      <c r="R81" s="208" t="n"/>
    </row>
    <row r="82" ht="12.75" customHeight="1" s="203">
      <c r="A82" s="72" t="inlineStr">
        <is>
          <t>은행예금</t>
        </is>
      </c>
      <c r="B82" s="208" t="n">
        <v>74</v>
      </c>
      <c r="C82" s="104" t="n"/>
      <c r="D82" s="233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8" t="n"/>
      <c r="I82" s="219">
        <f>G82</f>
        <v/>
      </c>
      <c r="J82" s="224" t="n"/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86" t="inlineStr">
        <is>
          <t>예금</t>
        </is>
      </c>
      <c r="P82" s="208" t="n"/>
      <c r="Q82" s="208" t="n"/>
      <c r="R82" s="208" t="n"/>
    </row>
    <row r="83">
      <c r="A83" s="116" t="inlineStr">
        <is>
          <t>TOSS</t>
        </is>
      </c>
      <c r="B83" s="208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5" t="n">
        <v>181.32</v>
      </c>
      <c r="I83" s="86" t="n"/>
      <c r="J83" s="123" t="n">
        <v>208.6000061035156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5" t="inlineStr">
        <is>
          <t>셰브론</t>
        </is>
      </c>
      <c r="P83" s="208" t="n"/>
      <c r="Q83" s="208" t="n"/>
      <c r="R83" s="208" t="n"/>
    </row>
    <row r="84" ht="12.75" customHeight="1" s="203">
      <c r="A84" s="116" t="inlineStr">
        <is>
          <t>TOSS</t>
        </is>
      </c>
      <c r="B84" s="208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5" t="n">
        <v>144.41</v>
      </c>
      <c r="I84" s="86" t="n"/>
      <c r="J84" s="124" t="n">
        <v>159.4700012207031</v>
      </c>
      <c r="K84" s="225">
        <f>IFERROR(I84*F84+J84*$J$5*F84,)</f>
        <v/>
      </c>
      <c r="L84" s="90">
        <f>IFERROR(K84/$K$8,)</f>
        <v/>
      </c>
      <c r="M84" s="220">
        <f>IFERROR(K84-G84*F84-H84*$J$5*F84,)</f>
        <v/>
      </c>
      <c r="N84" s="221">
        <f>IFERROR(M84/(K84-M84),)</f>
        <v/>
      </c>
      <c r="O84" s="126" t="inlineStr">
        <is>
          <t>엑슨모빌</t>
        </is>
      </c>
      <c r="P84" s="208" t="n"/>
      <c r="Q84" s="208" t="n"/>
      <c r="R84" s="208" t="n"/>
    </row>
    <row r="85" ht="12.75" customHeight="1" s="203">
      <c r="A85" s="116" t="inlineStr">
        <is>
          <t>TOSS</t>
        </is>
      </c>
      <c r="B85" s="208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5" t="n">
        <v>115.28</v>
      </c>
      <c r="I85" s="86" t="n"/>
      <c r="J85" s="124" t="n">
        <v>107.1399993896484</v>
      </c>
      <c r="K85" s="225">
        <f>IFERROR(I85*F85+J85*$J$5*F85,)</f>
        <v/>
      </c>
      <c r="L85" s="90">
        <f>IFERROR(K85/$K$8,)</f>
        <v/>
      </c>
      <c r="M85" s="220">
        <f>IFERROR(K85-G85*F85-H85*$J$5*F85,)</f>
        <v/>
      </c>
      <c r="N85" s="221">
        <f>IFERROR(M85/(K85-M85),)</f>
        <v/>
      </c>
      <c r="O85" s="126" t="inlineStr">
        <is>
          <t>월마트</t>
        </is>
      </c>
      <c r="P85" s="208" t="n"/>
      <c r="Q85" s="208" t="n"/>
      <c r="R85" s="208" t="n"/>
    </row>
    <row r="86" ht="12.75" customHeight="1" s="203">
      <c r="A86" s="208" t="n"/>
      <c r="B86" s="208" t="n"/>
      <c r="C86" s="117" t="n"/>
      <c r="D86" s="117" t="n"/>
      <c r="E86" s="118" t="n"/>
      <c r="F86" s="117" t="n"/>
      <c r="G86" s="117" t="n"/>
      <c r="H86" s="117" t="n"/>
      <c r="I86" s="208" t="n"/>
      <c r="L86" s="208" t="n"/>
      <c r="M86" s="208" t="n"/>
      <c r="N86" s="208" t="n"/>
      <c r="O86" s="127" t="n"/>
      <c r="P86" s="208" t="n"/>
      <c r="Q86" s="208" t="n"/>
      <c r="R86" s="208" t="n"/>
    </row>
    <row r="87" ht="12.75" customHeight="1" s="203">
      <c r="A87" s="208" t="n"/>
      <c r="B87" s="208" t="n"/>
      <c r="C87" s="208" t="n"/>
      <c r="D87" s="208" t="n"/>
      <c r="E87" s="13" t="n"/>
      <c r="F87" s="208" t="n"/>
      <c r="G87" s="208" t="n"/>
      <c r="H87" s="208" t="n"/>
      <c r="I87" s="208" t="n"/>
      <c r="L87" s="208" t="n"/>
      <c r="M87" s="208" t="n"/>
      <c r="N87" s="208" t="n"/>
      <c r="O87" s="208" t="n"/>
      <c r="P87" s="208" t="n"/>
      <c r="Q87" s="208" t="n"/>
      <c r="R87" s="208" t="n"/>
    </row>
    <row r="88" ht="12.75" customHeight="1" s="203">
      <c r="A88" s="208" t="n"/>
      <c r="B88" s="208" t="n"/>
      <c r="C88" s="208" t="n"/>
      <c r="D88" s="208" t="n"/>
      <c r="E88" s="13" t="n"/>
      <c r="F88" s="208" t="n"/>
      <c r="G88" s="208" t="n"/>
      <c r="H88" s="208" t="n"/>
      <c r="I88" s="208" t="n"/>
      <c r="L88" s="208" t="n"/>
      <c r="M88" s="208" t="n"/>
      <c r="N88" s="208" t="n"/>
      <c r="O88" s="208" t="n"/>
      <c r="P88" s="208" t="n"/>
      <c r="Q88" s="208" t="n"/>
      <c r="R88" s="208" t="n"/>
    </row>
    <row r="89" ht="12.75" customHeight="1" s="203">
      <c r="A89" s="208" t="n"/>
      <c r="B89" s="208" t="n"/>
      <c r="C89" s="208" t="n"/>
      <c r="D89" s="208" t="n"/>
      <c r="E89" s="13" t="n"/>
      <c r="F89" s="208" t="n"/>
      <c r="G89" s="208" t="n"/>
      <c r="H89" s="208" t="n"/>
      <c r="I89" s="208" t="n"/>
      <c r="L89" s="208" t="n"/>
      <c r="M89" s="208" t="n"/>
      <c r="N89" s="208" t="n"/>
      <c r="O89" s="208" t="n"/>
      <c r="P89" s="208" t="n"/>
      <c r="Q89" s="208" t="n"/>
      <c r="R89" s="208" t="n"/>
    </row>
    <row r="90" ht="12.75" customHeight="1" s="203">
      <c r="A90" s="208" t="n"/>
      <c r="B90" s="208" t="n"/>
      <c r="C90" s="208" t="n"/>
      <c r="D90" s="208" t="n"/>
      <c r="E90" s="13" t="n"/>
      <c r="F90" s="208" t="n"/>
      <c r="G90" s="208" t="n"/>
      <c r="H90" s="208" t="n"/>
      <c r="I90" s="208" t="n"/>
      <c r="L90" s="208" t="n"/>
      <c r="M90" s="208" t="n"/>
      <c r="N90" s="208" t="n"/>
      <c r="O90" s="208" t="n"/>
      <c r="P90" s="208" t="n"/>
      <c r="Q90" s="208" t="n"/>
      <c r="R90" s="208" t="n"/>
    </row>
    <row r="91" ht="12.75" customHeight="1" s="203">
      <c r="A91" s="208" t="n"/>
      <c r="B91" s="208" t="n"/>
      <c r="C91" s="208" t="n"/>
      <c r="D91" s="208" t="n"/>
      <c r="E91" s="13" t="n"/>
      <c r="F91" s="208" t="n"/>
      <c r="G91" s="208" t="n"/>
      <c r="H91" s="208" t="n"/>
      <c r="I91" s="208" t="n"/>
      <c r="L91" s="208" t="n"/>
      <c r="M91" s="208" t="n"/>
      <c r="N91" s="208" t="n"/>
      <c r="O91" s="208" t="n"/>
      <c r="P91" s="208" t="n"/>
      <c r="Q91" s="208" t="n"/>
      <c r="R91" s="208" t="n"/>
    </row>
    <row r="92" ht="12.75" customHeight="1" s="203">
      <c r="A92" s="208" t="n"/>
      <c r="B92" s="208" t="n"/>
      <c r="C92" s="208" t="n"/>
      <c r="D92" s="208" t="n"/>
      <c r="E92" s="13" t="n"/>
      <c r="F92" s="208" t="n"/>
      <c r="G92" s="208" t="n"/>
      <c r="H92" s="208" t="n"/>
      <c r="I92" s="208" t="n"/>
      <c r="L92" s="208" t="n"/>
      <c r="M92" s="208" t="n"/>
      <c r="N92" s="208" t="n"/>
      <c r="O92" s="208" t="n"/>
      <c r="P92" s="208" t="n"/>
      <c r="Q92" s="208" t="n"/>
      <c r="R92" s="208" t="n"/>
    </row>
    <row r="93" ht="12.75" customHeight="1" s="203">
      <c r="A93" s="208" t="n"/>
      <c r="B93" s="208" t="n"/>
      <c r="C93" s="208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8" t="n"/>
    </row>
    <row r="94" ht="12.75" customHeight="1" s="203">
      <c r="A94" s="208" t="n"/>
      <c r="B94" s="208" t="n"/>
      <c r="C94" s="208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8" t="n"/>
    </row>
    <row r="95" ht="12.75" customHeight="1" s="203">
      <c r="A95" s="208" t="n"/>
      <c r="B95" s="208" t="n"/>
      <c r="C95" s="208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8" t="n"/>
    </row>
    <row r="96" ht="12.75" customHeight="1" s="203">
      <c r="A96" s="208" t="n"/>
      <c r="B96" s="208" t="n"/>
      <c r="C96" s="208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8" t="n"/>
    </row>
    <row r="97" ht="12.75" customHeight="1" s="203">
      <c r="A97" s="208" t="n"/>
      <c r="B97" s="208" t="n"/>
      <c r="C97" s="208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8" t="n"/>
    </row>
    <row r="98" ht="12.75" customHeight="1" s="203">
      <c r="A98" s="208" t="n"/>
      <c r="B98" s="208" t="n"/>
      <c r="C98" s="208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8" t="n"/>
    </row>
    <row r="99" ht="12.75" customHeight="1" s="203">
      <c r="A99" s="208" t="n"/>
      <c r="B99" s="208" t="n"/>
      <c r="C99" s="208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8" t="n"/>
    </row>
    <row r="100" ht="12.75" customHeight="1" s="203">
      <c r="A100" s="208" t="n"/>
      <c r="B100" s="208" t="n"/>
      <c r="C100" s="208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8" t="n"/>
    </row>
    <row r="101" ht="12.75" customHeight="1" s="203">
      <c r="A101" s="208" t="n"/>
      <c r="B101" s="208" t="n"/>
      <c r="C101" s="208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8" t="n"/>
    </row>
    <row r="102" ht="12.75" customHeight="1" s="203">
      <c r="A102" s="208" t="n"/>
      <c r="B102" s="208" t="n"/>
      <c r="C102" s="208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8" t="n"/>
    </row>
    <row r="103" ht="12.75" customHeight="1" s="203">
      <c r="A103" s="208" t="n"/>
      <c r="B103" s="208" t="n"/>
      <c r="C103" s="208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8" t="n"/>
    </row>
    <row r="104" ht="12.75" customHeight="1" s="203">
      <c r="A104" s="208" t="n"/>
      <c r="B104" s="208" t="n"/>
      <c r="C104" s="208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8" t="n"/>
    </row>
    <row r="105" ht="12.75" customHeight="1" s="203">
      <c r="A105" s="208" t="n"/>
      <c r="B105" s="208" t="n"/>
      <c r="C105" s="208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8" t="n"/>
    </row>
    <row r="106" ht="12.75" customHeight="1" s="203">
      <c r="A106" s="208" t="n"/>
      <c r="B106" s="208" t="n"/>
      <c r="C106" s="208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8" t="n"/>
    </row>
    <row r="107" ht="12.75" customHeight="1" s="203">
      <c r="A107" s="208" t="n"/>
      <c r="B107" s="208" t="n"/>
      <c r="C107" s="208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8" t="n"/>
    </row>
    <row r="108" ht="12.75" customHeight="1" s="203">
      <c r="A108" s="208" t="n"/>
      <c r="B108" s="208" t="n"/>
      <c r="C108" s="208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8" t="n"/>
    </row>
    <row r="109" ht="12.75" customHeight="1" s="203">
      <c r="A109" s="208" t="n"/>
      <c r="B109" s="208" t="n"/>
      <c r="C109" s="208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8" t="n"/>
    </row>
    <row r="110" ht="12.75" customHeight="1" s="203">
      <c r="A110" s="208" t="n"/>
      <c r="B110" s="208" t="n"/>
      <c r="C110" s="208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8" t="n"/>
    </row>
    <row r="111" ht="12.75" customHeight="1" s="203">
      <c r="A111" s="208" t="n"/>
      <c r="B111" s="208" t="n"/>
      <c r="C111" s="208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8" t="n"/>
    </row>
    <row r="112" ht="12.75" customHeight="1" s="203">
      <c r="A112" s="208" t="n"/>
      <c r="B112" s="208" t="n"/>
      <c r="C112" s="208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8" t="n"/>
    </row>
    <row r="113" ht="12.75" customHeight="1" s="203">
      <c r="A113" s="208" t="n"/>
      <c r="B113" s="208" t="n"/>
      <c r="C113" s="208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8" t="n"/>
    </row>
    <row r="114" ht="12.75" customHeight="1" s="203">
      <c r="A114" s="208" t="n"/>
      <c r="B114" s="208" t="n"/>
      <c r="C114" s="208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8" t="n"/>
    </row>
    <row r="115" ht="12.75" customHeight="1" s="203">
      <c r="A115" s="208" t="n"/>
      <c r="B115" s="208" t="n"/>
      <c r="C115" s="208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8" t="n"/>
    </row>
    <row r="116" ht="12.75" customHeight="1" s="203">
      <c r="A116" s="208" t="n"/>
      <c r="B116" s="208" t="n"/>
      <c r="C116" s="208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8" t="n"/>
    </row>
    <row r="117" ht="12.75" customHeight="1" s="203">
      <c r="A117" s="208" t="n"/>
      <c r="B117" s="208" t="n"/>
      <c r="C117" s="208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8" t="n"/>
    </row>
    <row r="118" ht="12.75" customHeight="1" s="203">
      <c r="A118" s="208" t="n"/>
      <c r="B118" s="208" t="n"/>
      <c r="C118" s="208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8" t="n"/>
    </row>
    <row r="119" ht="12.75" customHeight="1" s="203">
      <c r="A119" s="208" t="n"/>
      <c r="B119" s="208" t="n"/>
      <c r="C119" s="208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</row>
    <row r="120" ht="12.75" customHeight="1" s="203">
      <c r="A120" s="208" t="n"/>
      <c r="B120" s="208" t="n"/>
      <c r="C120" s="208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8" t="n"/>
    </row>
    <row r="121" ht="12.75" customHeight="1" s="203">
      <c r="A121" s="208" t="n"/>
      <c r="B121" s="208" t="n"/>
      <c r="C121" s="208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8" t="n"/>
    </row>
    <row r="122" ht="12.75" customHeight="1" s="203">
      <c r="A122" s="208" t="n"/>
      <c r="B122" s="208" t="n"/>
      <c r="C122" s="208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8" t="n"/>
    </row>
    <row r="123" ht="12.75" customHeight="1" s="203">
      <c r="A123" s="208" t="n"/>
      <c r="B123" s="208" t="n"/>
      <c r="C123" s="208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8" t="n"/>
    </row>
    <row r="124" ht="12.75" customHeight="1" s="203">
      <c r="A124" s="208" t="n"/>
      <c r="B124" s="208" t="n"/>
      <c r="C124" s="208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</row>
    <row r="125" ht="12.75" customHeight="1" s="203">
      <c r="A125" s="208" t="n"/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2.75" customHeight="1" s="203">
      <c r="A126" s="208" t="n"/>
      <c r="B126" s="208" t="n"/>
      <c r="C126" s="208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8" t="n"/>
    </row>
    <row r="127" ht="12.75" customHeight="1" s="203">
      <c r="A127" s="208" t="n"/>
      <c r="B127" s="208" t="n"/>
      <c r="C127" s="208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8" t="n"/>
    </row>
    <row r="128" ht="12.75" customHeight="1" s="203">
      <c r="A128" s="208" t="n"/>
      <c r="B128" s="208" t="n"/>
      <c r="C128" s="208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8" t="n"/>
    </row>
    <row r="129" ht="12.75" customHeight="1" s="203">
      <c r="A129" s="208" t="n"/>
      <c r="B129" s="208" t="n"/>
      <c r="C129" s="208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8" t="n"/>
    </row>
    <row r="130" ht="12.75" customHeight="1" s="203">
      <c r="A130" s="208" t="n"/>
      <c r="B130" s="208" t="n"/>
      <c r="C130" s="208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8" t="n"/>
    </row>
    <row r="131" ht="12.75" customHeight="1" s="203">
      <c r="A131" s="208" t="n"/>
      <c r="B131" s="208" t="n"/>
      <c r="C131" s="208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8" t="n"/>
    </row>
    <row r="132" ht="12.75" customHeight="1" s="203">
      <c r="A132" s="208" t="n"/>
      <c r="B132" s="208" t="n"/>
      <c r="C132" s="208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8" t="n"/>
    </row>
    <row r="133" ht="12.75" customHeight="1" s="203">
      <c r="A133" s="208" t="n"/>
      <c r="B133" s="208" t="n"/>
      <c r="C133" s="208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8" t="n"/>
    </row>
    <row r="134" ht="12.75" customHeight="1" s="203">
      <c r="A134" s="208" t="n"/>
      <c r="B134" s="208" t="n"/>
      <c r="C134" s="208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8" t="n"/>
    </row>
    <row r="135" ht="12.75" customHeight="1" s="203">
      <c r="A135" s="208" t="n"/>
      <c r="B135" s="208" t="n"/>
      <c r="C135" s="208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8" t="n"/>
    </row>
    <row r="136" ht="12.75" customHeight="1" s="203">
      <c r="A136" s="208" t="n"/>
      <c r="B136" s="208" t="n"/>
      <c r="C136" s="208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8" t="n"/>
    </row>
    <row r="137" ht="12.75" customHeight="1" s="203">
      <c r="A137" s="208" t="n"/>
      <c r="B137" s="208" t="n"/>
      <c r="C137" s="208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8" t="n"/>
    </row>
    <row r="138" ht="12.75" customHeight="1" s="203">
      <c r="A138" s="208" t="n"/>
      <c r="B138" s="208" t="n"/>
      <c r="C138" s="208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8" t="n"/>
    </row>
    <row r="139" ht="12.75" customHeight="1" s="203">
      <c r="A139" s="208" t="n"/>
      <c r="B139" s="208" t="n"/>
      <c r="C139" s="208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8" t="n"/>
    </row>
    <row r="140" ht="12.75" customHeight="1" s="203">
      <c r="A140" s="208" t="n"/>
      <c r="B140" s="208" t="n"/>
      <c r="C140" s="208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8" t="n"/>
    </row>
    <row r="141" ht="12.75" customHeight="1" s="203">
      <c r="A141" s="208" t="n"/>
      <c r="B141" s="208" t="n"/>
      <c r="C141" s="208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8" t="n"/>
    </row>
    <row r="142" ht="12.75" customHeight="1" s="203">
      <c r="A142" s="208" t="n"/>
      <c r="B142" s="208" t="n"/>
      <c r="C142" s="208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8" t="n"/>
    </row>
    <row r="143" ht="12.75" customHeight="1" s="203">
      <c r="A143" s="208" t="n"/>
      <c r="B143" s="208" t="n"/>
      <c r="C143" s="208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8" t="n"/>
    </row>
    <row r="144" ht="12.75" customHeight="1" s="203">
      <c r="A144" s="208" t="n"/>
      <c r="B144" s="208" t="n"/>
      <c r="C144" s="208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</row>
    <row r="145" ht="12.75" customHeight="1" s="203">
      <c r="A145" s="208" t="n"/>
      <c r="B145" s="208" t="n"/>
      <c r="C145" s="208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8" t="n"/>
    </row>
    <row r="146" ht="12.75" customHeight="1" s="203">
      <c r="A146" s="208" t="n"/>
      <c r="B146" s="208" t="n"/>
      <c r="C146" s="208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8" t="n"/>
    </row>
    <row r="147" ht="12.75" customHeight="1" s="203">
      <c r="A147" s="208" t="n"/>
      <c r="B147" s="208" t="n"/>
      <c r="C147" s="208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8" t="n"/>
    </row>
    <row r="148" ht="12.75" customHeight="1" s="203">
      <c r="A148" s="208" t="n"/>
      <c r="B148" s="208" t="n"/>
      <c r="C148" s="208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8" t="n"/>
    </row>
    <row r="149" ht="12.75" customHeight="1" s="203">
      <c r="A149" s="208" t="n"/>
      <c r="B149" s="208" t="n"/>
      <c r="C149" s="208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</row>
    <row r="150" ht="12.75" customHeight="1" s="203">
      <c r="A150" s="208" t="n"/>
      <c r="B150" s="208" t="n"/>
      <c r="C150" s="208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8" t="n"/>
    </row>
    <row r="151" ht="12.75" customHeight="1" s="203">
      <c r="A151" s="208" t="n"/>
      <c r="B151" s="208" t="n"/>
      <c r="C151" s="208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8" t="n"/>
    </row>
    <row r="152" ht="12.75" customHeight="1" s="203">
      <c r="A152" s="208" t="n"/>
      <c r="B152" s="208" t="n"/>
      <c r="C152" s="208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8" t="n"/>
    </row>
    <row r="153" ht="12.75" customHeight="1" s="203">
      <c r="A153" s="208" t="n"/>
      <c r="B153" s="208" t="n"/>
      <c r="C153" s="208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8" t="n"/>
    </row>
    <row r="154" ht="12.75" customHeight="1" s="203">
      <c r="A154" s="208" t="n"/>
      <c r="B154" s="208" t="n"/>
      <c r="C154" s="208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8" t="n"/>
    </row>
    <row r="155" ht="12.75" customHeight="1" s="203">
      <c r="A155" s="208" t="n"/>
      <c r="B155" s="208" t="n"/>
      <c r="C155" s="208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8" t="n"/>
    </row>
    <row r="156" ht="12.75" customHeight="1" s="203">
      <c r="A156" s="208" t="n"/>
      <c r="B156" s="208" t="n"/>
      <c r="C156" s="208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</row>
    <row r="157" ht="12.75" customHeight="1" s="203">
      <c r="A157" s="208" t="n"/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</row>
    <row r="158" ht="12.75" customHeight="1" s="203">
      <c r="A158" s="208" t="n"/>
      <c r="B158" s="208" t="n"/>
      <c r="C158" s="208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</row>
    <row r="159" ht="12.75" customHeight="1" s="203">
      <c r="A159" s="208" t="n"/>
      <c r="B159" s="208" t="n"/>
      <c r="C159" s="208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</row>
    <row r="160" ht="12.75" customHeight="1" s="203">
      <c r="A160" s="208" t="n"/>
      <c r="B160" s="208" t="n"/>
      <c r="C160" s="208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</row>
    <row r="161" ht="12.75" customHeight="1" s="203">
      <c r="A161" s="208" t="n"/>
      <c r="B161" s="208" t="n"/>
      <c r="C161" s="208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</row>
    <row r="162" ht="12.75" customHeight="1" s="203">
      <c r="A162" s="208" t="n"/>
      <c r="B162" s="208" t="n"/>
      <c r="C162" s="208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</row>
    <row r="163" ht="12.75" customHeight="1" s="203">
      <c r="A163" s="208" t="n"/>
      <c r="B163" s="208" t="n"/>
      <c r="C163" s="208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</row>
    <row r="164" ht="12.75" customHeight="1" s="203">
      <c r="A164" s="208" t="n"/>
      <c r="B164" s="208" t="n"/>
      <c r="C164" s="208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</row>
    <row r="165" ht="12.75" customHeight="1" s="203">
      <c r="A165" s="208" t="n"/>
      <c r="B165" s="208" t="n"/>
      <c r="C165" s="208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</row>
    <row r="166" ht="12.75" customHeight="1" s="203">
      <c r="A166" s="208" t="n"/>
      <c r="B166" s="208" t="n"/>
      <c r="C166" s="208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</row>
    <row r="167" ht="12.75" customHeight="1" s="203">
      <c r="A167" s="208" t="n"/>
      <c r="B167" s="208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</row>
    <row r="168" ht="12.75" customHeight="1" s="203">
      <c r="A168" s="208" t="n"/>
      <c r="B168" s="208" t="n"/>
      <c r="C168" s="208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</row>
    <row r="169" ht="12.75" customHeight="1" s="203">
      <c r="A169" s="208" t="n"/>
      <c r="B169" s="208" t="n"/>
      <c r="C169" s="208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</row>
    <row r="170" ht="12.75" customHeight="1" s="203">
      <c r="A170" s="208" t="n"/>
      <c r="B170" s="208" t="n"/>
      <c r="C170" s="208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</row>
    <row r="171" ht="12.75" customHeight="1" s="203">
      <c r="A171" s="208" t="n"/>
      <c r="B171" s="208" t="n"/>
      <c r="C171" s="208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</row>
    <row r="172" ht="12.75" customHeight="1" s="203">
      <c r="A172" s="208" t="n"/>
      <c r="B172" s="208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</row>
    <row r="173" ht="12.75" customHeight="1" s="203">
      <c r="A173" s="208" t="n"/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2.75" customHeight="1" s="203">
      <c r="A174" s="208" t="n"/>
      <c r="B174" s="208" t="n"/>
      <c r="C174" s="208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</row>
    <row r="175" ht="12.75" customHeight="1" s="203">
      <c r="A175" s="208" t="n"/>
      <c r="B175" s="208" t="n"/>
      <c r="C175" s="208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</row>
    <row r="176" ht="12.75" customHeight="1" s="203">
      <c r="A176" s="208" t="n"/>
      <c r="B176" s="208" t="n"/>
      <c r="C176" s="208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</row>
    <row r="177" ht="12.75" customHeight="1" s="203">
      <c r="A177" s="208" t="n"/>
      <c r="B177" s="208" t="n"/>
      <c r="C177" s="208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</row>
    <row r="178" ht="12.75" customHeight="1" s="203">
      <c r="A178" s="208" t="n"/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</row>
    <row r="179" ht="12.75" customHeight="1" s="203">
      <c r="A179" s="208" t="n"/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  <row r="180" ht="12.75" customHeight="1" s="203">
      <c r="A180" s="208" t="n"/>
      <c r="B180" s="208" t="n"/>
      <c r="C180" s="208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</row>
    <row r="181" ht="12.75" customHeight="1" s="203">
      <c r="A181" s="208" t="n"/>
      <c r="B181" s="208" t="n"/>
      <c r="C181" s="208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</row>
    <row r="182" ht="12.75" customHeight="1" s="203">
      <c r="A182" s="208" t="n"/>
      <c r="B182" s="208" t="n"/>
      <c r="C182" s="208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</row>
    <row r="183" ht="12.75" customHeight="1" s="203">
      <c r="A183" s="208" t="n"/>
      <c r="B183" s="208" t="n"/>
      <c r="C183" s="208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</row>
    <row r="184" ht="12.75" customHeight="1" s="203">
      <c r="A184" s="208" t="n"/>
      <c r="B184" s="208" t="n"/>
      <c r="C184" s="208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</row>
    <row r="185" ht="12.75" customHeight="1" s="203">
      <c r="A185" s="208" t="n"/>
      <c r="B185" s="208" t="n"/>
      <c r="C185" s="208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</row>
    <row r="186" ht="12.75" customHeight="1" s="203">
      <c r="A186" s="208" t="n"/>
      <c r="B186" s="208" t="n"/>
      <c r="C186" s="208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</row>
    <row r="187" ht="12.75" customHeight="1" s="203">
      <c r="A187" s="208" t="n"/>
      <c r="B187" s="208" t="n"/>
      <c r="C187" s="208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</row>
    <row r="188" ht="12.75" customHeight="1" s="203">
      <c r="A188" s="208" t="n"/>
      <c r="B188" s="208" t="n"/>
      <c r="C188" s="208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</row>
    <row r="189" ht="12.75" customHeight="1" s="203">
      <c r="A189" s="208" t="n"/>
      <c r="B189" s="208" t="n"/>
      <c r="C189" s="208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</row>
    <row r="190" ht="12.75" customHeight="1" s="203">
      <c r="A190" s="208" t="n"/>
      <c r="B190" s="208" t="n"/>
      <c r="C190" s="208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</row>
    <row r="191" ht="12.75" customHeight="1" s="203">
      <c r="A191" s="208" t="n"/>
      <c r="B191" s="208" t="n"/>
      <c r="C191" s="208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</row>
    <row r="192" ht="12.75" customHeight="1" s="203">
      <c r="A192" s="208" t="n"/>
      <c r="B192" s="208" t="n"/>
      <c r="C192" s="208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</row>
    <row r="193" ht="12.75" customHeight="1" s="203">
      <c r="A193" s="208" t="n"/>
      <c r="B193" s="208" t="n"/>
      <c r="C193" s="208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</row>
    <row r="194" ht="12.75" customHeight="1" s="203">
      <c r="A194" s="208" t="n"/>
      <c r="B194" s="208" t="n"/>
      <c r="C194" s="208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</row>
    <row r="195" ht="12.75" customHeight="1" s="203">
      <c r="A195" s="208" t="n"/>
      <c r="B195" s="208" t="n"/>
      <c r="C195" s="208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</row>
    <row r="196" ht="12.75" customHeight="1" s="203">
      <c r="A196" s="208" t="n"/>
      <c r="B196" s="208" t="n"/>
      <c r="C196" s="208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</row>
    <row r="197" ht="12.75" customHeight="1" s="203">
      <c r="A197" s="208" t="n"/>
      <c r="B197" s="208" t="n"/>
      <c r="C197" s="208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</row>
    <row r="198" ht="12.75" customHeight="1" s="203">
      <c r="A198" s="208" t="n"/>
      <c r="B198" s="208" t="n"/>
      <c r="C198" s="208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</row>
    <row r="199" ht="12.75" customHeight="1" s="203">
      <c r="A199" s="208" t="n"/>
      <c r="B199" s="208" t="n"/>
      <c r="C199" s="208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</row>
    <row r="200" ht="12.75" customHeight="1" s="203">
      <c r="A200" s="208" t="n"/>
      <c r="B200" s="208" t="n"/>
      <c r="C200" s="208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</row>
    <row r="201" ht="12.75" customHeight="1" s="203">
      <c r="A201" s="208" t="n"/>
      <c r="B201" s="208" t="n"/>
      <c r="C201" s="208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</row>
    <row r="202" ht="12.75" customHeight="1" s="203">
      <c r="A202" s="208" t="n"/>
      <c r="B202" s="208" t="n"/>
      <c r="C202" s="208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</row>
    <row r="203" ht="12.75" customHeight="1" s="203">
      <c r="A203" s="208" t="n"/>
      <c r="B203" s="208" t="n"/>
      <c r="C203" s="208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</row>
    <row r="204" ht="12.75" customHeight="1" s="203">
      <c r="A204" s="208" t="n"/>
      <c r="B204" s="208" t="n"/>
      <c r="C204" s="208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</row>
    <row r="205" ht="12.75" customHeight="1" s="203">
      <c r="A205" s="208" t="n"/>
      <c r="B205" s="208" t="n"/>
      <c r="C205" s="208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</row>
    <row r="206" ht="12.75" customHeight="1" s="203">
      <c r="A206" s="208" t="n"/>
      <c r="B206" s="208" t="n"/>
      <c r="C206" s="208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</row>
    <row r="207" ht="12.75" customHeight="1" s="203">
      <c r="A207" s="208" t="n"/>
      <c r="B207" s="208" t="n"/>
      <c r="C207" s="208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</row>
    <row r="208" ht="12.75" customHeight="1" s="203">
      <c r="A208" s="208" t="n"/>
      <c r="B208" s="208" t="n"/>
      <c r="C208" s="208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</row>
    <row r="209" ht="12.75" customHeight="1" s="203">
      <c r="A209" s="208" t="n"/>
      <c r="B209" s="208" t="n"/>
      <c r="C209" s="208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</row>
    <row r="210" ht="12.75" customHeight="1" s="203">
      <c r="A210" s="208" t="n"/>
      <c r="B210" s="208" t="n"/>
      <c r="C210" s="208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</row>
    <row r="211" ht="12.75" customHeight="1" s="203">
      <c r="A211" s="208" t="n"/>
      <c r="B211" s="208" t="n"/>
      <c r="C211" s="208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</row>
    <row r="212" ht="12.75" customHeight="1" s="203">
      <c r="A212" s="208" t="n"/>
      <c r="B212" s="208" t="n"/>
      <c r="C212" s="208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</row>
    <row r="213" ht="12.75" customHeight="1" s="203">
      <c r="A213" s="208" t="n"/>
      <c r="B213" s="208" t="n"/>
      <c r="C213" s="208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</row>
    <row r="214" ht="12.75" customHeight="1" s="203">
      <c r="A214" s="208" t="n"/>
      <c r="B214" s="208" t="n"/>
      <c r="C214" s="208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</row>
    <row r="215" ht="12.75" customHeight="1" s="203">
      <c r="A215" s="208" t="n"/>
      <c r="B215" s="208" t="n"/>
      <c r="C215" s="208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</row>
    <row r="216" ht="12.75" customHeight="1" s="203">
      <c r="A216" s="208" t="n"/>
      <c r="B216" s="208" t="n"/>
      <c r="C216" s="208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</row>
    <row r="217" ht="12.75" customHeight="1" s="203">
      <c r="A217" s="208" t="n"/>
      <c r="B217" s="208" t="n"/>
      <c r="C217" s="208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</row>
    <row r="218" ht="12.75" customHeight="1" s="203">
      <c r="A218" s="208" t="n"/>
      <c r="B218" s="208" t="n"/>
      <c r="C218" s="208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</row>
    <row r="219" ht="12.75" customHeight="1" s="203">
      <c r="A219" s="208" t="n"/>
      <c r="B219" s="208" t="n"/>
      <c r="C219" s="208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</row>
    <row r="220" ht="12.75" customHeight="1" s="203">
      <c r="A220" s="208" t="n"/>
      <c r="B220" s="208" t="n"/>
      <c r="C220" s="208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</row>
    <row r="221" ht="12.75" customHeight="1" s="203">
      <c r="A221" s="208" t="n"/>
      <c r="B221" s="208" t="n"/>
      <c r="C221" s="208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</row>
    <row r="222" ht="12.75" customHeight="1" s="203">
      <c r="A222" s="208" t="n"/>
      <c r="B222" s="208" t="n"/>
      <c r="C222" s="208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</row>
    <row r="223" ht="12.75" customHeight="1" s="203">
      <c r="A223" s="208" t="n"/>
      <c r="B223" s="208" t="n"/>
      <c r="C223" s="208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</row>
    <row r="224" ht="12.75" customHeight="1" s="203">
      <c r="A224" s="208" t="n"/>
      <c r="B224" s="208" t="n"/>
      <c r="C224" s="208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</row>
    <row r="225" ht="12.75" customHeight="1" s="203">
      <c r="A225" s="208" t="n"/>
      <c r="B225" s="208" t="n"/>
      <c r="C225" s="208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</row>
    <row r="226" ht="12.75" customHeight="1" s="203">
      <c r="A226" s="208" t="n"/>
      <c r="B226" s="208" t="n"/>
      <c r="C226" s="208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</row>
    <row r="227" ht="12.75" customHeight="1" s="203">
      <c r="A227" s="208" t="n"/>
      <c r="B227" s="208" t="n"/>
      <c r="C227" s="208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</row>
    <row r="228" ht="12.75" customHeight="1" s="203">
      <c r="A228" s="208" t="n"/>
      <c r="B228" s="208" t="n"/>
      <c r="C228" s="208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</row>
    <row r="229" ht="12.75" customHeight="1" s="203">
      <c r="A229" s="208" t="n"/>
      <c r="B229" s="208" t="n"/>
      <c r="C229" s="208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</row>
    <row r="230" ht="12.75" customHeight="1" s="203">
      <c r="A230" s="208" t="n"/>
      <c r="B230" s="208" t="n"/>
      <c r="C230" s="208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</row>
    <row r="231" ht="12.75" customHeight="1" s="203">
      <c r="A231" s="208" t="n"/>
      <c r="B231" s="208" t="n"/>
      <c r="C231" s="208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</row>
    <row r="232" ht="12.75" customHeight="1" s="203">
      <c r="A232" s="208" t="n"/>
      <c r="B232" s="208" t="n"/>
      <c r="C232" s="208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</row>
    <row r="233" ht="12.75" customHeight="1" s="203">
      <c r="A233" s="208" t="n"/>
      <c r="B233" s="208" t="n"/>
      <c r="C233" s="208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</row>
    <row r="234" ht="12.75" customHeight="1" s="203">
      <c r="A234" s="208" t="n"/>
      <c r="B234" s="208" t="n"/>
      <c r="C234" s="208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</row>
    <row r="235" ht="12.75" customHeight="1" s="203">
      <c r="A235" s="208" t="n"/>
      <c r="B235" s="208" t="n"/>
      <c r="C235" s="208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</row>
    <row r="236" ht="12.75" customHeight="1" s="203">
      <c r="A236" s="208" t="n"/>
      <c r="B236" s="208" t="n"/>
      <c r="C236" s="208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</row>
    <row r="237" ht="12.75" customHeight="1" s="203">
      <c r="A237" s="208" t="n"/>
      <c r="B237" s="208" t="n"/>
      <c r="C237" s="208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</row>
    <row r="238" ht="12.75" customHeight="1" s="203">
      <c r="A238" s="208" t="n"/>
      <c r="B238" s="208" t="n"/>
      <c r="C238" s="208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</row>
    <row r="239" ht="12.75" customHeight="1" s="203">
      <c r="A239" s="208" t="n"/>
      <c r="B239" s="208" t="n"/>
      <c r="C239" s="208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</row>
    <row r="240" ht="12.75" customHeight="1" s="203">
      <c r="A240" s="208" t="n"/>
      <c r="B240" s="208" t="n"/>
      <c r="C240" s="208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</row>
    <row r="241" ht="12.75" customHeight="1" s="203">
      <c r="A241" s="208" t="n"/>
      <c r="B241" s="208" t="n"/>
      <c r="C241" s="208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</row>
    <row r="242" ht="12.75" customHeight="1" s="203">
      <c r="A242" s="208" t="n"/>
      <c r="B242" s="208" t="n"/>
      <c r="C242" s="208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</row>
    <row r="243" ht="12.75" customHeight="1" s="203">
      <c r="A243" s="208" t="n"/>
      <c r="B243" s="208" t="n"/>
      <c r="C243" s="208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</row>
    <row r="244" ht="12.75" customHeight="1" s="203">
      <c r="A244" s="208" t="n"/>
      <c r="B244" s="208" t="n"/>
      <c r="C244" s="208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</row>
    <row r="245" ht="12.75" customHeight="1" s="203">
      <c r="A245" s="208" t="n"/>
      <c r="B245" s="208" t="n"/>
      <c r="C245" s="208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</row>
    <row r="246" ht="12.75" customHeight="1" s="203">
      <c r="A246" s="208" t="n"/>
      <c r="B246" s="208" t="n"/>
      <c r="C246" s="208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</row>
    <row r="247" ht="12.75" customHeight="1" s="203">
      <c r="A247" s="208" t="n"/>
      <c r="B247" s="208" t="n"/>
      <c r="C247" s="208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</row>
    <row r="248" ht="12.75" customHeight="1" s="203">
      <c r="A248" s="208" t="n"/>
      <c r="B248" s="208" t="n"/>
      <c r="C248" s="208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</row>
    <row r="249" ht="12.75" customHeight="1" s="203">
      <c r="A249" s="208" t="n"/>
      <c r="B249" s="208" t="n"/>
      <c r="C249" s="208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</row>
    <row r="250" ht="12.75" customHeight="1" s="203">
      <c r="A250" s="208" t="n"/>
      <c r="B250" s="208" t="n"/>
      <c r="C250" s="208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</row>
    <row r="251" ht="12.75" customHeight="1" s="203">
      <c r="A251" s="208" t="n"/>
      <c r="B251" s="208" t="n"/>
      <c r="C251" s="208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</row>
    <row r="252" ht="12.75" customHeight="1" s="203">
      <c r="A252" s="208" t="n"/>
      <c r="B252" s="208" t="n"/>
      <c r="C252" s="208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</row>
    <row r="253" ht="12.75" customHeight="1" s="203">
      <c r="A253" s="208" t="n"/>
      <c r="B253" s="208" t="n"/>
      <c r="C253" s="208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</row>
    <row r="254" ht="12.75" customHeight="1" s="203">
      <c r="A254" s="208" t="n"/>
      <c r="B254" s="208" t="n"/>
      <c r="C254" s="208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</row>
    <row r="255" ht="12.75" customHeight="1" s="203">
      <c r="A255" s="208" t="n"/>
      <c r="B255" s="208" t="n"/>
      <c r="C255" s="208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</row>
    <row r="256" ht="12.75" customHeight="1" s="203">
      <c r="A256" s="208" t="n"/>
      <c r="B256" s="208" t="n"/>
      <c r="C256" s="208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</row>
    <row r="257" ht="12.75" customHeight="1" s="203">
      <c r="A257" s="208" t="n"/>
      <c r="B257" s="208" t="n"/>
      <c r="C257" s="208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</row>
    <row r="258" ht="12.75" customHeight="1" s="203">
      <c r="A258" s="208" t="n"/>
      <c r="B258" s="208" t="n"/>
      <c r="C258" s="208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</row>
    <row r="259" ht="12.75" customHeight="1" s="203">
      <c r="A259" s="208" t="n"/>
      <c r="B259" s="208" t="n"/>
      <c r="C259" s="208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</row>
    <row r="260" ht="12.75" customHeight="1" s="203">
      <c r="A260" s="208" t="n"/>
      <c r="B260" s="208" t="n"/>
      <c r="C260" s="208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</row>
    <row r="261" ht="12.75" customHeight="1" s="203">
      <c r="A261" s="208" t="n"/>
      <c r="B261" s="208" t="n"/>
      <c r="C261" s="208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</row>
    <row r="262" ht="12.75" customHeight="1" s="203">
      <c r="A262" s="208" t="n"/>
      <c r="B262" s="208" t="n"/>
      <c r="C262" s="208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</row>
    <row r="263" ht="12.75" customHeight="1" s="203">
      <c r="A263" s="208" t="n"/>
      <c r="B263" s="208" t="n"/>
      <c r="C263" s="208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</row>
    <row r="264" ht="12.75" customHeight="1" s="203">
      <c r="A264" s="208" t="n"/>
      <c r="B264" s="208" t="n"/>
      <c r="C264" s="208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</row>
    <row r="265" ht="12.75" customHeight="1" s="203">
      <c r="A265" s="208" t="n"/>
      <c r="B265" s="208" t="n"/>
      <c r="C265" s="208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</row>
    <row r="266" ht="12.75" customHeight="1" s="203">
      <c r="A266" s="208" t="n"/>
      <c r="B266" s="208" t="n"/>
      <c r="C266" s="208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</row>
    <row r="267" ht="12.75" customHeight="1" s="203">
      <c r="A267" s="208" t="n"/>
      <c r="B267" s="208" t="n"/>
      <c r="C267" s="208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</row>
    <row r="268" ht="12.75" customHeight="1" s="203">
      <c r="A268" s="208" t="n"/>
      <c r="B268" s="208" t="n"/>
      <c r="C268" s="208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</row>
    <row r="269" ht="12.75" customHeight="1" s="203">
      <c r="A269" s="208" t="n"/>
      <c r="B269" s="208" t="n"/>
      <c r="C269" s="208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</row>
    <row r="270" ht="12.75" customHeight="1" s="203">
      <c r="A270" s="208" t="n"/>
      <c r="B270" s="208" t="n"/>
      <c r="C270" s="208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</row>
    <row r="271" ht="12.75" customHeight="1" s="203">
      <c r="A271" s="208" t="n"/>
      <c r="B271" s="208" t="n"/>
      <c r="C271" s="208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</row>
    <row r="272" ht="12.75" customHeight="1" s="203">
      <c r="A272" s="208" t="n"/>
      <c r="B272" s="208" t="n"/>
      <c r="C272" s="208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</row>
    <row r="273" ht="12.75" customHeight="1" s="203">
      <c r="A273" s="208" t="n"/>
      <c r="B273" s="208" t="n"/>
      <c r="C273" s="208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</row>
    <row r="274" ht="12.75" customHeight="1" s="203">
      <c r="A274" s="208" t="n"/>
      <c r="B274" s="208" t="n"/>
      <c r="C274" s="208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</row>
    <row r="275" ht="12.75" customHeight="1" s="203">
      <c r="A275" s="208" t="n"/>
      <c r="B275" s="208" t="n"/>
      <c r="C275" s="208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</row>
    <row r="276" ht="12.75" customHeight="1" s="203">
      <c r="A276" s="208" t="n"/>
      <c r="B276" s="208" t="n"/>
      <c r="C276" s="208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</row>
    <row r="277" ht="12.75" customHeight="1" s="203">
      <c r="A277" s="208" t="n"/>
      <c r="B277" s="208" t="n"/>
      <c r="C277" s="208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</row>
    <row r="278" ht="12.75" customHeight="1" s="203">
      <c r="A278" s="208" t="n"/>
      <c r="B278" s="208" t="n"/>
      <c r="C278" s="208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</row>
    <row r="279" ht="12.75" customHeight="1" s="203">
      <c r="A279" s="208" t="n"/>
      <c r="B279" s="208" t="n"/>
      <c r="C279" s="208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</row>
    <row r="280" ht="12.75" customHeight="1" s="203">
      <c r="A280" s="208" t="n"/>
      <c r="B280" s="208" t="n"/>
      <c r="C280" s="208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</row>
    <row r="281" ht="12.75" customHeight="1" s="203">
      <c r="A281" s="208" t="n"/>
      <c r="B281" s="208" t="n"/>
      <c r="C281" s="208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</row>
    <row r="282" ht="12.75" customHeight="1" s="203">
      <c r="A282" s="208" t="n"/>
      <c r="B282" s="208" t="n"/>
      <c r="C282" s="208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</row>
    <row r="283" ht="12.75" customHeight="1" s="203">
      <c r="A283" s="208" t="n"/>
      <c r="B283" s="208" t="n"/>
      <c r="C283" s="208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</row>
    <row r="284" ht="12.75" customHeight="1" s="203">
      <c r="A284" s="208" t="n"/>
      <c r="B284" s="208" t="n"/>
      <c r="C284" s="208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</row>
    <row r="285" ht="12.75" customHeight="1" s="203">
      <c r="A285" s="208" t="n"/>
      <c r="B285" s="208" t="n"/>
      <c r="C285" s="208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</row>
    <row r="286" ht="12.75" customHeight="1" s="203">
      <c r="A286" s="208" t="n"/>
      <c r="B286" s="208" t="n"/>
      <c r="C286" s="208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</row>
    <row r="287" ht="12.75" customHeight="1" s="203">
      <c r="A287" s="208" t="n"/>
      <c r="B287" s="208" t="n"/>
      <c r="C287" s="208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</row>
    <row r="288" ht="12.75" customHeight="1" s="203">
      <c r="A288" s="208" t="n"/>
      <c r="B288" s="208" t="n"/>
      <c r="C288" s="208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</row>
    <row r="289" ht="12.75" customHeight="1" s="203">
      <c r="A289" s="208" t="n"/>
      <c r="B289" s="208" t="n"/>
      <c r="C289" s="208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</row>
    <row r="290" ht="12.75" customHeight="1" s="203">
      <c r="A290" s="208" t="n"/>
      <c r="B290" s="208" t="n"/>
      <c r="C290" s="208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</row>
    <row r="291" ht="12.75" customHeight="1" s="203">
      <c r="A291" s="208" t="n"/>
      <c r="B291" s="208" t="n"/>
      <c r="C291" s="208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</row>
    <row r="292" ht="12.75" customHeight="1" s="203">
      <c r="A292" s="208" t="n"/>
      <c r="B292" s="208" t="n"/>
      <c r="C292" s="208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</row>
    <row r="293" ht="12.75" customHeight="1" s="203">
      <c r="A293" s="208" t="n"/>
      <c r="B293" s="208" t="n"/>
      <c r="C293" s="208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</row>
    <row r="294" ht="12.75" customHeight="1" s="203">
      <c r="A294" s="208" t="n"/>
      <c r="B294" s="208" t="n"/>
      <c r="C294" s="208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</row>
    <row r="295" ht="12.75" customHeight="1" s="203">
      <c r="A295" s="208" t="n"/>
      <c r="B295" s="208" t="n"/>
      <c r="C295" s="208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</row>
    <row r="296" ht="12.75" customHeight="1" s="203">
      <c r="A296" s="208" t="n"/>
      <c r="B296" s="208" t="n"/>
      <c r="C296" s="208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</row>
    <row r="297" ht="12.75" customHeight="1" s="203">
      <c r="A297" s="208" t="n"/>
      <c r="B297" s="208" t="n"/>
      <c r="C297" s="208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</row>
    <row r="298" ht="12.75" customHeight="1" s="203">
      <c r="A298" s="208" t="n"/>
      <c r="B298" s="208" t="n"/>
      <c r="C298" s="208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</row>
    <row r="299" ht="12.75" customHeight="1" s="203">
      <c r="A299" s="208" t="n"/>
      <c r="B299" s="208" t="n"/>
      <c r="C299" s="208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</row>
    <row r="300" ht="12.75" customHeight="1" s="203">
      <c r="A300" s="208" t="n"/>
      <c r="B300" s="208" t="n"/>
      <c r="C300" s="208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</row>
    <row r="301" ht="12.75" customHeight="1" s="203">
      <c r="A301" s="208" t="n"/>
      <c r="B301" s="208" t="n"/>
      <c r="C301" s="208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</row>
    <row r="302" ht="12.75" customHeight="1" s="203">
      <c r="A302" s="208" t="n"/>
      <c r="B302" s="208" t="n"/>
      <c r="C302" s="208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</row>
    <row r="303" ht="12.75" customHeight="1" s="203">
      <c r="A303" s="208" t="n"/>
      <c r="B303" s="208" t="n"/>
      <c r="C303" s="208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</row>
    <row r="304" ht="12.75" customHeight="1" s="203">
      <c r="A304" s="208" t="n"/>
      <c r="B304" s="208" t="n"/>
      <c r="C304" s="208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</row>
    <row r="305" ht="12.75" customHeight="1" s="203">
      <c r="A305" s="208" t="n"/>
      <c r="B305" s="208" t="n"/>
      <c r="C305" s="208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</row>
    <row r="306" ht="12.75" customHeight="1" s="203">
      <c r="A306" s="208" t="n"/>
      <c r="B306" s="208" t="n"/>
      <c r="C306" s="208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</row>
    <row r="307" ht="12.75" customHeight="1" s="203">
      <c r="A307" s="208" t="n"/>
      <c r="B307" s="208" t="n"/>
      <c r="C307" s="208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</row>
    <row r="308" ht="12.75" customHeight="1" s="203">
      <c r="A308" s="208" t="n"/>
      <c r="B308" s="208" t="n"/>
      <c r="C308" s="208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</row>
    <row r="309" ht="12.75" customHeight="1" s="203">
      <c r="A309" s="208" t="n"/>
      <c r="B309" s="208" t="n"/>
      <c r="C309" s="208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</row>
    <row r="310" ht="12.75" customHeight="1" s="203">
      <c r="A310" s="208" t="n"/>
      <c r="B310" s="208" t="n"/>
      <c r="C310" s="208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</row>
    <row r="311" ht="12.75" customHeight="1" s="203">
      <c r="A311" s="208" t="n"/>
      <c r="B311" s="208" t="n"/>
      <c r="C311" s="208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</row>
    <row r="312" ht="12.75" customHeight="1" s="203">
      <c r="A312" s="208" t="n"/>
      <c r="B312" s="208" t="n"/>
      <c r="C312" s="208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</row>
    <row r="313" ht="12.75" customHeight="1" s="203">
      <c r="A313" s="208" t="n"/>
      <c r="B313" s="208" t="n"/>
      <c r="C313" s="208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</row>
    <row r="314" ht="12.75" customHeight="1" s="203">
      <c r="A314" s="208" t="n"/>
      <c r="B314" s="208" t="n"/>
      <c r="C314" s="208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</row>
    <row r="315" ht="12.75" customHeight="1" s="203">
      <c r="A315" s="208" t="n"/>
      <c r="B315" s="208" t="n"/>
      <c r="C315" s="208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</row>
    <row r="316" ht="12.75" customHeight="1" s="203">
      <c r="A316" s="208" t="n"/>
      <c r="B316" s="208" t="n"/>
      <c r="C316" s="208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</row>
    <row r="317" ht="12.75" customHeight="1" s="203">
      <c r="A317" s="208" t="n"/>
      <c r="B317" s="208" t="n"/>
      <c r="C317" s="208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</row>
    <row r="318" ht="12.75" customHeight="1" s="203">
      <c r="A318" s="208" t="n"/>
      <c r="B318" s="208" t="n"/>
      <c r="C318" s="208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</row>
    <row r="319" ht="12.75" customHeight="1" s="203">
      <c r="A319" s="208" t="n"/>
      <c r="B319" s="208" t="n"/>
      <c r="C319" s="208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</row>
    <row r="320" ht="12.75" customHeight="1" s="203">
      <c r="A320" s="208" t="n"/>
      <c r="B320" s="208" t="n"/>
      <c r="C320" s="208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</row>
    <row r="321" ht="12.75" customHeight="1" s="203">
      <c r="A321" s="208" t="n"/>
      <c r="B321" s="208" t="n"/>
      <c r="C321" s="208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</row>
    <row r="322" ht="12.75" customHeight="1" s="203">
      <c r="A322" s="208" t="n"/>
      <c r="B322" s="208" t="n"/>
      <c r="C322" s="208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</row>
    <row r="323" ht="12.75" customHeight="1" s="203">
      <c r="A323" s="208" t="n"/>
      <c r="B323" s="208" t="n"/>
      <c r="C323" s="208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</row>
    <row r="324" ht="12.75" customHeight="1" s="203">
      <c r="A324" s="208" t="n"/>
      <c r="B324" s="208" t="n"/>
      <c r="C324" s="208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</row>
    <row r="325" ht="12.75" customHeight="1" s="203">
      <c r="A325" s="208" t="n"/>
      <c r="B325" s="208" t="n"/>
      <c r="C325" s="208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</row>
    <row r="326" ht="12.75" customHeight="1" s="203">
      <c r="A326" s="208" t="n"/>
      <c r="B326" s="208" t="n"/>
      <c r="C326" s="208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</row>
    <row r="327" ht="12.75" customHeight="1" s="203">
      <c r="A327" s="208" t="n"/>
      <c r="B327" s="208" t="n"/>
      <c r="C327" s="208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</row>
    <row r="328" ht="12.75" customHeight="1" s="203">
      <c r="A328" s="208" t="n"/>
      <c r="B328" s="208" t="n"/>
      <c r="C328" s="208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</row>
    <row r="329" ht="12.75" customHeight="1" s="203">
      <c r="A329" s="208" t="n"/>
      <c r="B329" s="208" t="n"/>
      <c r="C329" s="208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</row>
    <row r="330" ht="12.75" customHeight="1" s="203">
      <c r="A330" s="208" t="n"/>
      <c r="B330" s="208" t="n"/>
      <c r="C330" s="208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</row>
    <row r="331" ht="12.75" customHeight="1" s="203">
      <c r="A331" s="208" t="n"/>
      <c r="B331" s="208" t="n"/>
      <c r="C331" s="208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</row>
    <row r="332" ht="12.75" customHeight="1" s="203">
      <c r="A332" s="208" t="n"/>
      <c r="B332" s="208" t="n"/>
      <c r="C332" s="208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</row>
    <row r="333" ht="12.75" customHeight="1" s="203">
      <c r="A333" s="208" t="n"/>
      <c r="B333" s="208" t="n"/>
      <c r="C333" s="208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</row>
    <row r="334" ht="12.75" customHeight="1" s="203">
      <c r="A334" s="208" t="n"/>
      <c r="B334" s="208" t="n"/>
      <c r="C334" s="208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</row>
    <row r="335" ht="12.75" customHeight="1" s="203">
      <c r="A335" s="208" t="n"/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</row>
    <row r="336" ht="12.75" customHeight="1" s="203">
      <c r="A336" s="208" t="n"/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</row>
    <row r="337" ht="12.75" customHeight="1" s="203">
      <c r="A337" s="208" t="n"/>
      <c r="B337" s="208" t="n"/>
      <c r="C337" s="208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</row>
    <row r="338" ht="12.75" customHeight="1" s="203">
      <c r="A338" s="208" t="n"/>
      <c r="B338" s="208" t="n"/>
      <c r="C338" s="208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</row>
    <row r="339" ht="12.75" customHeight="1" s="203">
      <c r="A339" s="208" t="n"/>
      <c r="B339" s="208" t="n"/>
      <c r="C339" s="208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</row>
    <row r="340" ht="12.75" customHeight="1" s="203">
      <c r="A340" s="208" t="n"/>
      <c r="B340" s="208" t="n"/>
      <c r="C340" s="208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</row>
    <row r="341" ht="12.75" customHeight="1" s="203">
      <c r="A341" s="208" t="n"/>
      <c r="B341" s="208" t="n"/>
      <c r="C341" s="208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</row>
    <row r="342" ht="12.75" customHeight="1" s="203">
      <c r="A342" s="208" t="n"/>
      <c r="B342" s="208" t="n"/>
      <c r="C342" s="208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</row>
    <row r="343" ht="12.75" customHeight="1" s="203">
      <c r="A343" s="208" t="n"/>
      <c r="B343" s="208" t="n"/>
      <c r="C343" s="208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</row>
    <row r="344" ht="12.75" customHeight="1" s="203">
      <c r="A344" s="208" t="n"/>
      <c r="B344" s="208" t="n"/>
      <c r="C344" s="208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</row>
    <row r="345" ht="12.75" customHeight="1" s="203">
      <c r="A345" s="208" t="n"/>
      <c r="B345" s="208" t="n"/>
      <c r="C345" s="208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</row>
    <row r="346" ht="12.75" customHeight="1" s="203">
      <c r="A346" s="208" t="n"/>
      <c r="B346" s="208" t="n"/>
      <c r="C346" s="208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</row>
    <row r="347" ht="12.75" customHeight="1" s="203">
      <c r="A347" s="208" t="n"/>
      <c r="B347" s="208" t="n"/>
      <c r="C347" s="208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</row>
    <row r="348" ht="12.75" customHeight="1" s="203">
      <c r="A348" s="208" t="n"/>
      <c r="B348" s="208" t="n"/>
      <c r="C348" s="208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</row>
    <row r="349" ht="12.75" customHeight="1" s="203">
      <c r="A349" s="208" t="n"/>
      <c r="B349" s="208" t="n"/>
      <c r="C349" s="208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</row>
    <row r="350" ht="12.75" customHeight="1" s="203">
      <c r="A350" s="208" t="n"/>
      <c r="B350" s="208" t="n"/>
      <c r="C350" s="208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</row>
    <row r="351" ht="12.75" customHeight="1" s="203">
      <c r="A351" s="208" t="n"/>
      <c r="B351" s="208" t="n"/>
      <c r="C351" s="208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</row>
    <row r="352" ht="12.75" customHeight="1" s="203">
      <c r="A352" s="208" t="n"/>
      <c r="B352" s="208" t="n"/>
      <c r="C352" s="208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</row>
    <row r="353" ht="12.75" customHeight="1" s="203">
      <c r="A353" s="208" t="n"/>
      <c r="B353" s="208" t="n"/>
      <c r="C353" s="208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</row>
    <row r="354" ht="12.75" customHeight="1" s="203">
      <c r="A354" s="208" t="n"/>
      <c r="B354" s="208" t="n"/>
      <c r="C354" s="208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</row>
    <row r="355" ht="12.75" customHeight="1" s="203">
      <c r="A355" s="208" t="n"/>
      <c r="B355" s="208" t="n"/>
      <c r="C355" s="208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</row>
    <row r="356" ht="12.75" customHeight="1" s="203">
      <c r="A356" s="208" t="n"/>
      <c r="B356" s="208" t="n"/>
      <c r="C356" s="208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</row>
    <row r="357" ht="12.75" customHeight="1" s="203">
      <c r="A357" s="208" t="n"/>
      <c r="B357" s="208" t="n"/>
      <c r="C357" s="208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</row>
    <row r="358" ht="12.75" customHeight="1" s="203">
      <c r="A358" s="208" t="n"/>
      <c r="B358" s="208" t="n"/>
      <c r="C358" s="208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</row>
    <row r="359" ht="12.75" customHeight="1" s="203">
      <c r="A359" s="208" t="n"/>
      <c r="B359" s="208" t="n"/>
      <c r="C359" s="208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</row>
    <row r="360" ht="12.75" customHeight="1" s="203">
      <c r="A360" s="208" t="n"/>
      <c r="B360" s="208" t="n"/>
      <c r="C360" s="208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</row>
    <row r="361" ht="12.75" customHeight="1" s="203">
      <c r="A361" s="208" t="n"/>
      <c r="B361" s="208" t="n"/>
      <c r="C361" s="208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</row>
    <row r="362" ht="12.75" customHeight="1" s="203">
      <c r="A362" s="208" t="n"/>
      <c r="B362" s="208" t="n"/>
      <c r="C362" s="208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</row>
    <row r="363" ht="12.75" customHeight="1" s="203">
      <c r="A363" s="208" t="n"/>
      <c r="B363" s="208" t="n"/>
      <c r="C363" s="208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</row>
    <row r="364" ht="12.75" customHeight="1" s="203">
      <c r="A364" s="208" t="n"/>
      <c r="B364" s="208" t="n"/>
      <c r="C364" s="208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</row>
    <row r="365" ht="12.75" customHeight="1" s="203">
      <c r="A365" s="208" t="n"/>
      <c r="B365" s="208" t="n"/>
      <c r="C365" s="208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</row>
    <row r="366" ht="12.75" customHeight="1" s="203">
      <c r="A366" s="208" t="n"/>
      <c r="B366" s="208" t="n"/>
      <c r="C366" s="208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</row>
    <row r="367" ht="12.75" customHeight="1" s="203">
      <c r="A367" s="208" t="n"/>
      <c r="B367" s="208" t="n"/>
      <c r="C367" s="208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</row>
    <row r="368" ht="12.75" customHeight="1" s="203">
      <c r="A368" s="208" t="n"/>
      <c r="B368" s="208" t="n"/>
      <c r="C368" s="208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</row>
    <row r="369" ht="12.75" customHeight="1" s="203">
      <c r="A369" s="208" t="n"/>
      <c r="B369" s="208" t="n"/>
      <c r="C369" s="208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</row>
    <row r="370" ht="12.75" customHeight="1" s="203">
      <c r="A370" s="208" t="n"/>
      <c r="B370" s="208" t="n"/>
      <c r="C370" s="208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</row>
    <row r="371" ht="12.75" customHeight="1" s="203">
      <c r="A371" s="208" t="n"/>
      <c r="B371" s="208" t="n"/>
      <c r="C371" s="208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</row>
    <row r="372" ht="12.75" customHeight="1" s="203">
      <c r="A372" s="208" t="n"/>
      <c r="B372" s="208" t="n"/>
      <c r="C372" s="208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</row>
    <row r="373" ht="12.75" customHeight="1" s="203">
      <c r="A373" s="208" t="n"/>
      <c r="B373" s="208" t="n"/>
      <c r="C373" s="208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</row>
    <row r="374" ht="12.75" customHeight="1" s="203">
      <c r="A374" s="208" t="n"/>
      <c r="B374" s="208" t="n"/>
      <c r="C374" s="208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</row>
    <row r="375" ht="12.75" customHeight="1" s="203">
      <c r="A375" s="208" t="n"/>
      <c r="B375" s="208" t="n"/>
      <c r="C375" s="208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</row>
    <row r="376" ht="12.75" customHeight="1" s="203">
      <c r="A376" s="208" t="n"/>
      <c r="B376" s="208" t="n"/>
      <c r="C376" s="208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</row>
    <row r="377" ht="12.75" customHeight="1" s="203">
      <c r="A377" s="208" t="n"/>
      <c r="B377" s="208" t="n"/>
      <c r="C377" s="208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</row>
    <row r="378" ht="12.75" customHeight="1" s="203">
      <c r="A378" s="208" t="n"/>
      <c r="B378" s="208" t="n"/>
      <c r="C378" s="208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</row>
    <row r="379" ht="12.75" customHeight="1" s="203">
      <c r="A379" s="208" t="n"/>
      <c r="B379" s="208" t="n"/>
      <c r="C379" s="208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</row>
    <row r="380" ht="12.75" customHeight="1" s="203">
      <c r="A380" s="208" t="n"/>
      <c r="B380" s="208" t="n"/>
      <c r="C380" s="208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</row>
    <row r="381" ht="12.75" customHeight="1" s="203">
      <c r="A381" s="208" t="n"/>
      <c r="B381" s="208" t="n"/>
      <c r="C381" s="208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</row>
    <row r="382" ht="12.75" customHeight="1" s="203">
      <c r="A382" s="208" t="n"/>
      <c r="B382" s="208" t="n"/>
      <c r="C382" s="208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</row>
    <row r="383" ht="12.75" customHeight="1" s="203">
      <c r="A383" s="208" t="n"/>
      <c r="B383" s="208" t="n"/>
      <c r="C383" s="208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</row>
    <row r="384" ht="12.75" customHeight="1" s="203">
      <c r="A384" s="208" t="n"/>
      <c r="B384" s="208" t="n"/>
      <c r="C384" s="208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</row>
    <row r="385" ht="12.75" customHeight="1" s="203">
      <c r="A385" s="208" t="n"/>
      <c r="B385" s="208" t="n"/>
      <c r="C385" s="208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</row>
    <row r="386" ht="12.75" customHeight="1" s="203">
      <c r="A386" s="208" t="n"/>
      <c r="B386" s="208" t="n"/>
      <c r="C386" s="208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</row>
    <row r="387" ht="12.75" customHeight="1" s="203">
      <c r="A387" s="208" t="n"/>
      <c r="B387" s="208" t="n"/>
      <c r="C387" s="208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</row>
    <row r="388" ht="12.75" customHeight="1" s="203">
      <c r="A388" s="208" t="n"/>
      <c r="B388" s="208" t="n"/>
      <c r="C388" s="208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</row>
    <row r="389" ht="12.75" customHeight="1" s="203">
      <c r="A389" s="208" t="n"/>
      <c r="B389" s="208" t="n"/>
      <c r="C389" s="208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</row>
    <row r="390" ht="12.75" customHeight="1" s="203">
      <c r="A390" s="208" t="n"/>
      <c r="B390" s="208" t="n"/>
      <c r="C390" s="208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</row>
    <row r="391" ht="12.75" customHeight="1" s="203">
      <c r="A391" s="208" t="n"/>
      <c r="B391" s="208" t="n"/>
      <c r="C391" s="208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</row>
    <row r="392" ht="12.75" customHeight="1" s="203">
      <c r="A392" s="208" t="n"/>
      <c r="B392" s="208" t="n"/>
      <c r="C392" s="208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</row>
    <row r="393" ht="12.75" customHeight="1" s="203">
      <c r="A393" s="208" t="n"/>
      <c r="B393" s="208" t="n"/>
      <c r="C393" s="208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</row>
    <row r="394" ht="12.75" customHeight="1" s="203">
      <c r="A394" s="208" t="n"/>
      <c r="B394" s="208" t="n"/>
      <c r="C394" s="208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</row>
    <row r="395" ht="12.75" customHeight="1" s="203">
      <c r="A395" s="208" t="n"/>
      <c r="B395" s="208" t="n"/>
      <c r="C395" s="208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</row>
    <row r="396" ht="12.75" customHeight="1" s="203">
      <c r="A396" s="208" t="n"/>
      <c r="B396" s="208" t="n"/>
      <c r="C396" s="208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</row>
    <row r="397" ht="12.75" customHeight="1" s="203">
      <c r="A397" s="208" t="n"/>
      <c r="B397" s="208" t="n"/>
      <c r="C397" s="208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</row>
    <row r="398" ht="12.75" customHeight="1" s="203">
      <c r="A398" s="208" t="n"/>
      <c r="B398" s="208" t="n"/>
      <c r="C398" s="208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</row>
    <row r="399" ht="12.75" customHeight="1" s="203">
      <c r="A399" s="208" t="n"/>
      <c r="B399" s="208" t="n"/>
      <c r="C399" s="208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</row>
    <row r="400" ht="12.75" customHeight="1" s="203">
      <c r="A400" s="208" t="n"/>
      <c r="B400" s="208" t="n"/>
      <c r="C400" s="208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</row>
    <row r="401" ht="12.75" customHeight="1" s="203">
      <c r="A401" s="208" t="n"/>
      <c r="B401" s="208" t="n"/>
      <c r="C401" s="208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</row>
    <row r="402" ht="12.75" customHeight="1" s="203">
      <c r="A402" s="208" t="n"/>
      <c r="B402" s="208" t="n"/>
      <c r="C402" s="208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</row>
    <row r="403" ht="12.75" customHeight="1" s="203">
      <c r="A403" s="208" t="n"/>
      <c r="B403" s="208" t="n"/>
      <c r="C403" s="208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</row>
    <row r="404" ht="12.75" customHeight="1" s="203">
      <c r="A404" s="208" t="n"/>
      <c r="B404" s="208" t="n"/>
      <c r="C404" s="208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</row>
    <row r="405" ht="12.75" customHeight="1" s="203">
      <c r="A405" s="208" t="n"/>
      <c r="B405" s="208" t="n"/>
      <c r="C405" s="208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</row>
    <row r="406" ht="12.75" customHeight="1" s="203">
      <c r="A406" s="208" t="n"/>
      <c r="B406" s="208" t="n"/>
      <c r="C406" s="208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</row>
    <row r="407" ht="12.75" customHeight="1" s="203">
      <c r="A407" s="208" t="n"/>
      <c r="B407" s="208" t="n"/>
      <c r="C407" s="208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</row>
    <row r="408" ht="12.75" customHeight="1" s="203">
      <c r="A408" s="208" t="n"/>
      <c r="B408" s="208" t="n"/>
      <c r="C408" s="208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</row>
    <row r="409" ht="12.75" customHeight="1" s="203">
      <c r="A409" s="208" t="n"/>
      <c r="B409" s="208" t="n"/>
      <c r="C409" s="208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</row>
    <row r="410" ht="12.75" customHeight="1" s="203">
      <c r="A410" s="208" t="n"/>
      <c r="B410" s="208" t="n"/>
      <c r="C410" s="208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</row>
    <row r="411" ht="12.75" customHeight="1" s="203">
      <c r="A411" s="208" t="n"/>
      <c r="B411" s="208" t="n"/>
      <c r="C411" s="208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</row>
    <row r="412" ht="12.75" customHeight="1" s="203">
      <c r="A412" s="208" t="n"/>
      <c r="B412" s="208" t="n"/>
      <c r="C412" s="208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</row>
    <row r="413" ht="12.75" customHeight="1" s="203">
      <c r="A413" s="208" t="n"/>
      <c r="B413" s="208" t="n"/>
      <c r="C413" s="208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</row>
    <row r="414" ht="12.75" customHeight="1" s="203">
      <c r="A414" s="208" t="n"/>
      <c r="B414" s="208" t="n"/>
      <c r="C414" s="208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</row>
    <row r="415" ht="12.75" customHeight="1" s="203">
      <c r="A415" s="208" t="n"/>
      <c r="B415" s="208" t="n"/>
      <c r="C415" s="208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</row>
    <row r="416" ht="12.75" customHeight="1" s="203">
      <c r="A416" s="208" t="n"/>
      <c r="B416" s="208" t="n"/>
      <c r="C416" s="208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</row>
    <row r="417" ht="12.75" customHeight="1" s="203">
      <c r="A417" s="208" t="n"/>
      <c r="B417" s="208" t="n"/>
      <c r="C417" s="208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</row>
    <row r="418" ht="12.75" customHeight="1" s="203">
      <c r="A418" s="208" t="n"/>
      <c r="B418" s="208" t="n"/>
      <c r="C418" s="208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</row>
    <row r="419" ht="12.75" customHeight="1" s="203">
      <c r="A419" s="208" t="n"/>
      <c r="B419" s="208" t="n"/>
      <c r="C419" s="208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</row>
    <row r="420" ht="12.75" customHeight="1" s="203">
      <c r="A420" s="208" t="n"/>
      <c r="B420" s="208" t="n"/>
      <c r="C420" s="208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</row>
    <row r="421" ht="12.75" customHeight="1" s="203">
      <c r="A421" s="208" t="n"/>
      <c r="B421" s="208" t="n"/>
      <c r="C421" s="208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</row>
    <row r="422" ht="12.75" customHeight="1" s="203">
      <c r="A422" s="208" t="n"/>
      <c r="B422" s="208" t="n"/>
      <c r="C422" s="208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</row>
    <row r="423" ht="12.75" customHeight="1" s="203">
      <c r="A423" s="208" t="n"/>
      <c r="B423" s="208" t="n"/>
      <c r="C423" s="208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</row>
    <row r="424" ht="12.75" customHeight="1" s="203">
      <c r="A424" s="208" t="n"/>
      <c r="B424" s="208" t="n"/>
      <c r="C424" s="208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</row>
    <row r="425" ht="12.75" customHeight="1" s="203">
      <c r="A425" s="208" t="n"/>
      <c r="B425" s="208" t="n"/>
      <c r="C425" s="208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</row>
    <row r="426" ht="12.75" customHeight="1" s="203">
      <c r="A426" s="208" t="n"/>
      <c r="B426" s="208" t="n"/>
      <c r="C426" s="208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</row>
    <row r="427" ht="12.75" customHeight="1" s="203">
      <c r="A427" s="208" t="n"/>
      <c r="B427" s="208" t="n"/>
      <c r="C427" s="208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</row>
    <row r="428" ht="12.75" customHeight="1" s="203">
      <c r="A428" s="208" t="n"/>
      <c r="B428" s="208" t="n"/>
      <c r="C428" s="208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</row>
    <row r="429" ht="12.75" customHeight="1" s="203">
      <c r="A429" s="208" t="n"/>
      <c r="B429" s="208" t="n"/>
      <c r="C429" s="208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</row>
    <row r="430" ht="12.75" customHeight="1" s="203">
      <c r="A430" s="208" t="n"/>
      <c r="B430" s="208" t="n"/>
      <c r="C430" s="208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</row>
    <row r="431" ht="12.75" customHeight="1" s="203">
      <c r="A431" s="208" t="n"/>
      <c r="B431" s="208" t="n"/>
      <c r="C431" s="208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</row>
    <row r="432" ht="12.75" customHeight="1" s="203">
      <c r="A432" s="208" t="n"/>
      <c r="B432" s="208" t="n"/>
      <c r="C432" s="208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</row>
    <row r="433" ht="12.75" customHeight="1" s="203">
      <c r="A433" s="208" t="n"/>
      <c r="B433" s="208" t="n"/>
      <c r="C433" s="208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</row>
    <row r="434" ht="12.75" customHeight="1" s="203">
      <c r="A434" s="208" t="n"/>
      <c r="B434" s="208" t="n"/>
      <c r="C434" s="208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</row>
    <row r="435" ht="12.75" customHeight="1" s="203">
      <c r="A435" s="208" t="n"/>
      <c r="B435" s="208" t="n"/>
      <c r="C435" s="208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</row>
    <row r="436" ht="12.75" customHeight="1" s="203">
      <c r="A436" s="208" t="n"/>
      <c r="B436" s="208" t="n"/>
      <c r="C436" s="208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</row>
    <row r="437" ht="12.75" customHeight="1" s="203">
      <c r="A437" s="208" t="n"/>
      <c r="B437" s="208" t="n"/>
      <c r="C437" s="208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</row>
    <row r="438" ht="12.75" customHeight="1" s="203">
      <c r="A438" s="208" t="n"/>
      <c r="B438" s="208" t="n"/>
      <c r="C438" s="208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</row>
    <row r="439" ht="12.75" customHeight="1" s="203">
      <c r="A439" s="208" t="n"/>
      <c r="B439" s="208" t="n"/>
      <c r="C439" s="208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</row>
    <row r="440" ht="12.75" customHeight="1" s="203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</row>
    <row r="441" ht="12.75" customHeight="1" s="203">
      <c r="A441" s="208" t="n"/>
      <c r="B441" s="208" t="n"/>
      <c r="C441" s="208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</row>
    <row r="442" ht="12.75" customHeight="1" s="203">
      <c r="A442" s="208" t="n"/>
      <c r="B442" s="208" t="n"/>
      <c r="C442" s="208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</row>
    <row r="443" ht="12.75" customHeight="1" s="203">
      <c r="A443" s="208" t="n"/>
      <c r="B443" s="208" t="n"/>
      <c r="C443" s="208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</row>
    <row r="444" ht="12.75" customHeight="1" s="203">
      <c r="A444" s="208" t="n"/>
      <c r="B444" s="208" t="n"/>
      <c r="C444" s="208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</row>
    <row r="445" ht="12.75" customHeight="1" s="203">
      <c r="A445" s="208" t="n"/>
      <c r="B445" s="208" t="n"/>
      <c r="C445" s="208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</row>
    <row r="446" ht="12.75" customHeight="1" s="203">
      <c r="A446" s="208" t="n"/>
      <c r="B446" s="208" t="n"/>
      <c r="C446" s="208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</row>
    <row r="447" ht="12.75" customHeight="1" s="203">
      <c r="A447" s="208" t="n"/>
      <c r="B447" s="208" t="n"/>
      <c r="C447" s="208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</row>
    <row r="448" ht="12.75" customHeight="1" s="203">
      <c r="A448" s="208" t="n"/>
      <c r="B448" s="208" t="n"/>
      <c r="C448" s="208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</row>
    <row r="449" ht="12.75" customHeight="1" s="203">
      <c r="A449" s="208" t="n"/>
      <c r="B449" s="208" t="n"/>
      <c r="C449" s="208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</row>
    <row r="450" ht="12.75" customHeight="1" s="203">
      <c r="A450" s="208" t="n"/>
      <c r="B450" s="208" t="n"/>
      <c r="C450" s="208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</row>
    <row r="451" ht="12.75" customHeight="1" s="203">
      <c r="A451" s="208" t="n"/>
      <c r="B451" s="208" t="n"/>
      <c r="C451" s="208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</row>
    <row r="452" ht="12.75" customHeight="1" s="203">
      <c r="A452" s="208" t="n"/>
      <c r="B452" s="208" t="n"/>
      <c r="C452" s="208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</row>
    <row r="453" ht="12.75" customHeight="1" s="203">
      <c r="A453" s="208" t="n"/>
      <c r="B453" s="208" t="n"/>
      <c r="C453" s="208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</row>
    <row r="454" ht="12.75" customHeight="1" s="203">
      <c r="A454" s="208" t="n"/>
      <c r="B454" s="208" t="n"/>
      <c r="C454" s="208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</row>
    <row r="455" ht="12.75" customHeight="1" s="203">
      <c r="A455" s="208" t="n"/>
      <c r="B455" s="208" t="n"/>
      <c r="C455" s="208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</row>
    <row r="456" ht="12.75" customHeight="1" s="203">
      <c r="A456" s="208" t="n"/>
      <c r="B456" s="208" t="n"/>
      <c r="C456" s="208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</row>
    <row r="457" ht="12.75" customHeight="1" s="203">
      <c r="A457" s="208" t="n"/>
      <c r="B457" s="208" t="n"/>
      <c r="C457" s="208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</row>
    <row r="458" ht="12.75" customHeight="1" s="203">
      <c r="A458" s="208" t="n"/>
      <c r="B458" s="208" t="n"/>
      <c r="C458" s="208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</row>
    <row r="459" ht="12.75" customHeight="1" s="203">
      <c r="A459" s="208" t="n"/>
      <c r="B459" s="208" t="n"/>
      <c r="C459" s="208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</row>
    <row r="460" ht="12.75" customHeight="1" s="203">
      <c r="A460" s="208" t="n"/>
      <c r="B460" s="208" t="n"/>
      <c r="C460" s="208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</row>
    <row r="461" ht="12.75" customHeight="1" s="203">
      <c r="A461" s="208" t="n"/>
      <c r="B461" s="208" t="n"/>
      <c r="C461" s="208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</row>
    <row r="462" ht="12.75" customHeight="1" s="203">
      <c r="A462" s="208" t="n"/>
      <c r="B462" s="208" t="n"/>
      <c r="C462" s="208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</row>
    <row r="463" ht="12.75" customHeight="1" s="203">
      <c r="A463" s="208" t="n"/>
      <c r="B463" s="208" t="n"/>
      <c r="C463" s="208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</row>
    <row r="464" ht="12.75" customHeight="1" s="203">
      <c r="A464" s="208" t="n"/>
      <c r="B464" s="208" t="n"/>
      <c r="C464" s="208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</row>
    <row r="465" ht="12.75" customHeight="1" s="203">
      <c r="A465" s="208" t="n"/>
      <c r="B465" s="208" t="n"/>
      <c r="C465" s="208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</row>
    <row r="466" ht="12.75" customHeight="1" s="203">
      <c r="A466" s="208" t="n"/>
      <c r="B466" s="208" t="n"/>
      <c r="C466" s="208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</row>
    <row r="467" ht="12.75" customHeight="1" s="203">
      <c r="A467" s="208" t="n"/>
      <c r="B467" s="208" t="n"/>
      <c r="C467" s="208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</row>
    <row r="468" ht="12.75" customHeight="1" s="203">
      <c r="A468" s="208" t="n"/>
      <c r="B468" s="208" t="n"/>
      <c r="C468" s="208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</row>
    <row r="469" ht="12.75" customHeight="1" s="203">
      <c r="A469" s="208" t="n"/>
      <c r="B469" s="208" t="n"/>
      <c r="C469" s="208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</row>
    <row r="470" ht="12.75" customHeight="1" s="203">
      <c r="A470" s="208" t="n"/>
      <c r="B470" s="208" t="n"/>
      <c r="C470" s="208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</row>
    <row r="471" ht="12.75" customHeight="1" s="203">
      <c r="A471" s="208" t="n"/>
      <c r="B471" s="208" t="n"/>
      <c r="C471" s="208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</row>
    <row r="472" ht="12.75" customHeight="1" s="203">
      <c r="A472" s="208" t="n"/>
      <c r="B472" s="208" t="n"/>
      <c r="C472" s="208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</row>
    <row r="473" ht="12.75" customHeight="1" s="203">
      <c r="A473" s="208" t="n"/>
      <c r="B473" s="208" t="n"/>
      <c r="C473" s="208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</row>
    <row r="474" ht="12.75" customHeight="1" s="203">
      <c r="A474" s="208" t="n"/>
      <c r="B474" s="208" t="n"/>
      <c r="C474" s="208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</row>
    <row r="475" ht="12.75" customHeight="1" s="203">
      <c r="A475" s="208" t="n"/>
      <c r="B475" s="208" t="n"/>
      <c r="C475" s="208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</row>
    <row r="476" ht="12.75" customHeight="1" s="203">
      <c r="A476" s="208" t="n"/>
      <c r="B476" s="208" t="n"/>
      <c r="C476" s="208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</row>
    <row r="477" ht="12.75" customHeight="1" s="203">
      <c r="A477" s="208" t="n"/>
      <c r="B477" s="208" t="n"/>
      <c r="C477" s="208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</row>
    <row r="478" ht="12.75" customHeight="1" s="203">
      <c r="A478" s="208" t="n"/>
      <c r="B478" s="208" t="n"/>
      <c r="C478" s="208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</row>
    <row r="479" ht="12.75" customHeight="1" s="203">
      <c r="A479" s="208" t="n"/>
      <c r="B479" s="208" t="n"/>
      <c r="C479" s="208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</row>
    <row r="480" ht="12.75" customHeight="1" s="203">
      <c r="A480" s="208" t="n"/>
      <c r="B480" s="208" t="n"/>
      <c r="C480" s="208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</row>
    <row r="481" ht="12.75" customHeight="1" s="203">
      <c r="A481" s="208" t="n"/>
      <c r="B481" s="208" t="n"/>
      <c r="C481" s="208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</row>
    <row r="482" ht="12.75" customHeight="1" s="203">
      <c r="A482" s="208" t="n"/>
      <c r="B482" s="208" t="n"/>
      <c r="C482" s="208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</row>
    <row r="483" ht="12.75" customHeight="1" s="203">
      <c r="A483" s="208" t="n"/>
      <c r="B483" s="208" t="n"/>
      <c r="C483" s="208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</row>
    <row r="484" ht="12.75" customHeight="1" s="203">
      <c r="A484" s="208" t="n"/>
      <c r="B484" s="208" t="n"/>
      <c r="C484" s="208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</row>
    <row r="485" ht="12.75" customHeight="1" s="203">
      <c r="A485" s="208" t="n"/>
      <c r="B485" s="208" t="n"/>
      <c r="C485" s="208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</row>
    <row r="486" ht="12.75" customHeight="1" s="203">
      <c r="A486" s="208" t="n"/>
      <c r="B486" s="208" t="n"/>
      <c r="C486" s="208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</row>
    <row r="487" ht="12.75" customHeight="1" s="203">
      <c r="A487" s="208" t="n"/>
      <c r="B487" s="208" t="n"/>
      <c r="C487" s="208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</row>
    <row r="488" ht="12.75" customHeight="1" s="203">
      <c r="A488" s="208" t="n"/>
      <c r="B488" s="208" t="n"/>
      <c r="C488" s="208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</row>
    <row r="489" ht="12.75" customHeight="1" s="203">
      <c r="A489" s="208" t="n"/>
      <c r="B489" s="208" t="n"/>
      <c r="C489" s="208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</row>
    <row r="490" ht="12.75" customHeight="1" s="203">
      <c r="A490" s="208" t="n"/>
      <c r="B490" s="208" t="n"/>
      <c r="C490" s="208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</row>
    <row r="491" ht="12.75" customHeight="1" s="203">
      <c r="A491" s="208" t="n"/>
      <c r="B491" s="208" t="n"/>
      <c r="C491" s="208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</row>
    <row r="492" ht="12.75" customHeight="1" s="203">
      <c r="A492" s="208" t="n"/>
      <c r="B492" s="208" t="n"/>
      <c r="C492" s="208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</row>
    <row r="493" ht="12.75" customHeight="1" s="203">
      <c r="A493" s="208" t="n"/>
      <c r="B493" s="208" t="n"/>
      <c r="C493" s="208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</row>
    <row r="494" ht="12.75" customHeight="1" s="203">
      <c r="A494" s="208" t="n"/>
      <c r="B494" s="208" t="n"/>
      <c r="C494" s="208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</row>
    <row r="495" ht="12.75" customHeight="1" s="203">
      <c r="A495" s="208" t="n"/>
      <c r="B495" s="208" t="n"/>
      <c r="C495" s="208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</row>
    <row r="496" ht="12.75" customHeight="1" s="203">
      <c r="A496" s="208" t="n"/>
      <c r="B496" s="208" t="n"/>
      <c r="C496" s="208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</row>
    <row r="497" ht="12.75" customHeight="1" s="203">
      <c r="A497" s="208" t="n"/>
      <c r="B497" s="208" t="n"/>
      <c r="C497" s="208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</row>
    <row r="498" ht="12.75" customHeight="1" s="203">
      <c r="A498" s="208" t="n"/>
      <c r="B498" s="208" t="n"/>
      <c r="C498" s="208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</row>
    <row r="499" ht="12.75" customHeight="1" s="203">
      <c r="A499" s="208" t="n"/>
      <c r="B499" s="208" t="n"/>
      <c r="C499" s="208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</row>
    <row r="500" ht="12.75" customHeight="1" s="203">
      <c r="A500" s="208" t="n"/>
      <c r="B500" s="208" t="n"/>
      <c r="C500" s="208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</row>
    <row r="501" ht="12.75" customHeight="1" s="203">
      <c r="A501" s="208" t="n"/>
      <c r="B501" s="208" t="n"/>
      <c r="C501" s="208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</row>
    <row r="502" ht="12.75" customHeight="1" s="203">
      <c r="A502" s="208" t="n"/>
      <c r="B502" s="208" t="n"/>
      <c r="C502" s="208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</row>
    <row r="503" ht="12.75" customHeight="1" s="203">
      <c r="A503" s="208" t="n"/>
      <c r="B503" s="208" t="n"/>
      <c r="C503" s="208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</row>
    <row r="504" ht="12.75" customHeight="1" s="203">
      <c r="A504" s="208" t="n"/>
      <c r="B504" s="208" t="n"/>
      <c r="C504" s="208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</row>
    <row r="505" ht="12.75" customHeight="1" s="203">
      <c r="A505" s="208" t="n"/>
      <c r="B505" s="208" t="n"/>
      <c r="C505" s="208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</row>
    <row r="506" ht="12.75" customHeight="1" s="203">
      <c r="A506" s="208" t="n"/>
      <c r="B506" s="208" t="n"/>
      <c r="C506" s="208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</row>
    <row r="507" ht="12.75" customHeight="1" s="203">
      <c r="A507" s="208" t="n"/>
      <c r="B507" s="208" t="n"/>
      <c r="C507" s="208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</row>
    <row r="508" ht="12.75" customHeight="1" s="203">
      <c r="A508" s="208" t="n"/>
      <c r="B508" s="208" t="n"/>
      <c r="C508" s="208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</row>
    <row r="509" ht="12.75" customHeight="1" s="203">
      <c r="A509" s="208" t="n"/>
      <c r="B509" s="208" t="n"/>
      <c r="C509" s="208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</row>
    <row r="510" ht="12.75" customHeight="1" s="203">
      <c r="A510" s="208" t="n"/>
      <c r="B510" s="208" t="n"/>
      <c r="C510" s="208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</row>
    <row r="511" ht="12.75" customHeight="1" s="203">
      <c r="A511" s="208" t="n"/>
      <c r="B511" s="208" t="n"/>
      <c r="C511" s="208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</row>
    <row r="512" ht="12.75" customHeight="1" s="203">
      <c r="A512" s="208" t="n"/>
      <c r="B512" s="208" t="n"/>
      <c r="C512" s="208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</row>
    <row r="513" ht="12.75" customHeight="1" s="203">
      <c r="A513" s="208" t="n"/>
      <c r="B513" s="208" t="n"/>
      <c r="C513" s="208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</row>
    <row r="514" ht="12.75" customHeight="1" s="203">
      <c r="A514" s="208" t="n"/>
      <c r="B514" s="208" t="n"/>
      <c r="C514" s="208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</row>
    <row r="515" ht="12.75" customHeight="1" s="203">
      <c r="A515" s="208" t="n"/>
      <c r="B515" s="208" t="n"/>
      <c r="C515" s="208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</row>
    <row r="516" ht="12.75" customHeight="1" s="203">
      <c r="A516" s="208" t="n"/>
      <c r="B516" s="208" t="n"/>
      <c r="C516" s="208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</row>
    <row r="517" ht="12.75" customHeight="1" s="203">
      <c r="A517" s="208" t="n"/>
      <c r="B517" s="208" t="n"/>
      <c r="C517" s="208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</row>
    <row r="518" ht="12.75" customHeight="1" s="203">
      <c r="A518" s="208" t="n"/>
      <c r="B518" s="208" t="n"/>
      <c r="C518" s="208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</row>
    <row r="519" ht="12.75" customHeight="1" s="203">
      <c r="A519" s="208" t="n"/>
      <c r="B519" s="208" t="n"/>
      <c r="C519" s="208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</row>
    <row r="520" ht="12.75" customHeight="1" s="203">
      <c r="A520" s="208" t="n"/>
      <c r="B520" s="208" t="n"/>
      <c r="C520" s="208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</row>
    <row r="521" ht="12.75" customHeight="1" s="203">
      <c r="A521" s="208" t="n"/>
      <c r="B521" s="208" t="n"/>
      <c r="C521" s="208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</row>
    <row r="522" ht="12.75" customHeight="1" s="203">
      <c r="A522" s="208" t="n"/>
      <c r="B522" s="208" t="n"/>
      <c r="C522" s="208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</row>
    <row r="523" ht="12.75" customHeight="1" s="203">
      <c r="A523" s="208" t="n"/>
      <c r="B523" s="208" t="n"/>
      <c r="C523" s="208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</row>
    <row r="524" ht="12.75" customHeight="1" s="203">
      <c r="A524" s="208" t="n"/>
      <c r="B524" s="208" t="n"/>
      <c r="C524" s="208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</row>
    <row r="525" ht="12.75" customHeight="1" s="203">
      <c r="A525" s="208" t="n"/>
      <c r="B525" s="208" t="n"/>
      <c r="C525" s="208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</row>
    <row r="526" ht="12.75" customHeight="1" s="203">
      <c r="A526" s="208" t="n"/>
      <c r="B526" s="208" t="n"/>
      <c r="C526" s="208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</row>
    <row r="527" ht="12.75" customHeight="1" s="203">
      <c r="A527" s="208" t="n"/>
      <c r="B527" s="208" t="n"/>
      <c r="C527" s="208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</row>
    <row r="528" ht="12.75" customHeight="1" s="203">
      <c r="A528" s="208" t="n"/>
      <c r="B528" s="208" t="n"/>
      <c r="C528" s="208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</row>
    <row r="529" ht="12.75" customHeight="1" s="203">
      <c r="A529" s="208" t="n"/>
      <c r="B529" s="208" t="n"/>
      <c r="C529" s="208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</row>
    <row r="530" ht="12.75" customHeight="1" s="203">
      <c r="A530" s="208" t="n"/>
      <c r="B530" s="208" t="n"/>
      <c r="C530" s="208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</row>
    <row r="531" ht="12.75" customHeight="1" s="203">
      <c r="A531" s="208" t="n"/>
      <c r="B531" s="208" t="n"/>
      <c r="C531" s="208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</row>
    <row r="532" ht="12.75" customHeight="1" s="203">
      <c r="A532" s="208" t="n"/>
      <c r="B532" s="208" t="n"/>
      <c r="C532" s="208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</row>
    <row r="533" ht="12.75" customHeight="1" s="203">
      <c r="A533" s="208" t="n"/>
      <c r="B533" s="208" t="n"/>
      <c r="C533" s="208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</row>
    <row r="534" ht="12.75" customHeight="1" s="203">
      <c r="A534" s="208" t="n"/>
      <c r="B534" s="208" t="n"/>
      <c r="C534" s="208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</row>
    <row r="535" ht="12.75" customHeight="1" s="203">
      <c r="A535" s="208" t="n"/>
      <c r="B535" s="208" t="n"/>
      <c r="C535" s="208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</row>
    <row r="536" ht="12.75" customHeight="1" s="203">
      <c r="A536" s="208" t="n"/>
      <c r="B536" s="208" t="n"/>
      <c r="C536" s="208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</row>
    <row r="537" ht="12.75" customHeight="1" s="203">
      <c r="A537" s="208" t="n"/>
      <c r="B537" s="208" t="n"/>
      <c r="C537" s="208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</row>
    <row r="538" ht="12.75" customHeight="1" s="203">
      <c r="A538" s="208" t="n"/>
      <c r="B538" s="208" t="n"/>
      <c r="C538" s="208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</row>
    <row r="539" ht="12.75" customHeight="1" s="203">
      <c r="A539" s="208" t="n"/>
      <c r="B539" s="208" t="n"/>
      <c r="C539" s="208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</row>
    <row r="540" ht="12.75" customHeight="1" s="203">
      <c r="A540" s="208" t="n"/>
      <c r="B540" s="208" t="n"/>
      <c r="C540" s="208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</row>
    <row r="541" ht="12.75" customHeight="1" s="203">
      <c r="A541" s="208" t="n"/>
      <c r="B541" s="208" t="n"/>
      <c r="C541" s="208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</row>
    <row r="542" ht="12.75" customHeight="1" s="203">
      <c r="A542" s="208" t="n"/>
      <c r="B542" s="208" t="n"/>
      <c r="C542" s="208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</row>
    <row r="543" ht="12.75" customHeight="1" s="203">
      <c r="A543" s="208" t="n"/>
      <c r="B543" s="208" t="n"/>
      <c r="C543" s="208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</row>
    <row r="544" ht="12.75" customHeight="1" s="203">
      <c r="A544" s="208" t="n"/>
      <c r="B544" s="208" t="n"/>
      <c r="C544" s="208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</row>
    <row r="545" ht="12.75" customHeight="1" s="203">
      <c r="A545" s="208" t="n"/>
      <c r="B545" s="208" t="n"/>
      <c r="C545" s="208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</row>
    <row r="546" ht="12.75" customHeight="1" s="203">
      <c r="A546" s="208" t="n"/>
      <c r="B546" s="208" t="n"/>
      <c r="C546" s="208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</row>
    <row r="547" ht="12.75" customHeight="1" s="203">
      <c r="A547" s="208" t="n"/>
      <c r="B547" s="208" t="n"/>
      <c r="C547" s="208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</row>
    <row r="548" ht="12.75" customHeight="1" s="203">
      <c r="A548" s="208" t="n"/>
      <c r="B548" s="208" t="n"/>
      <c r="C548" s="208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</row>
    <row r="549" ht="12.75" customHeight="1" s="203">
      <c r="A549" s="208" t="n"/>
      <c r="B549" s="208" t="n"/>
      <c r="C549" s="208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</row>
    <row r="550" ht="12.75" customHeight="1" s="203">
      <c r="A550" s="208" t="n"/>
      <c r="B550" s="208" t="n"/>
      <c r="C550" s="208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</row>
    <row r="551" ht="12.75" customHeight="1" s="203">
      <c r="A551" s="208" t="n"/>
      <c r="B551" s="208" t="n"/>
      <c r="C551" s="208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</row>
    <row r="552" ht="12.75" customHeight="1" s="203">
      <c r="A552" s="208" t="n"/>
      <c r="B552" s="208" t="n"/>
      <c r="C552" s="208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</row>
    <row r="553" ht="12.75" customHeight="1" s="203">
      <c r="A553" s="208" t="n"/>
      <c r="B553" s="208" t="n"/>
      <c r="C553" s="208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</row>
    <row r="554" ht="12.75" customHeight="1" s="203">
      <c r="A554" s="208" t="n"/>
      <c r="B554" s="208" t="n"/>
      <c r="C554" s="208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</row>
    <row r="555" ht="12.75" customHeight="1" s="203">
      <c r="A555" s="208" t="n"/>
      <c r="B555" s="208" t="n"/>
      <c r="C555" s="208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</row>
    <row r="556" ht="12.75" customHeight="1" s="203">
      <c r="A556" s="208" t="n"/>
      <c r="B556" s="208" t="n"/>
      <c r="C556" s="208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</row>
    <row r="557" ht="12.75" customHeight="1" s="203">
      <c r="A557" s="208" t="n"/>
      <c r="B557" s="208" t="n"/>
      <c r="C557" s="208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</row>
    <row r="558" ht="12.75" customHeight="1" s="203">
      <c r="A558" s="208" t="n"/>
      <c r="B558" s="208" t="n"/>
      <c r="C558" s="208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</row>
    <row r="559" ht="12.75" customHeight="1" s="203">
      <c r="A559" s="208" t="n"/>
      <c r="B559" s="208" t="n"/>
      <c r="C559" s="208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</row>
    <row r="560" ht="12.75" customHeight="1" s="203">
      <c r="A560" s="208" t="n"/>
      <c r="B560" s="208" t="n"/>
      <c r="C560" s="208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</row>
    <row r="561" ht="12.75" customHeight="1" s="203">
      <c r="A561" s="208" t="n"/>
      <c r="B561" s="208" t="n"/>
      <c r="C561" s="208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</row>
    <row r="562" ht="12.75" customHeight="1" s="203">
      <c r="A562" s="208" t="n"/>
      <c r="B562" s="208" t="n"/>
      <c r="C562" s="208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</row>
    <row r="563" ht="12.75" customHeight="1" s="203">
      <c r="A563" s="208" t="n"/>
      <c r="B563" s="208" t="n"/>
      <c r="C563" s="208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</row>
    <row r="564" ht="12.75" customHeight="1" s="203">
      <c r="A564" s="208" t="n"/>
      <c r="B564" s="208" t="n"/>
      <c r="C564" s="208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</row>
    <row r="565" ht="12.75" customHeight="1" s="203">
      <c r="A565" s="208" t="n"/>
      <c r="B565" s="208" t="n"/>
      <c r="C565" s="208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</row>
    <row r="566" ht="12.75" customHeight="1" s="203">
      <c r="A566" s="208" t="n"/>
      <c r="B566" s="208" t="n"/>
      <c r="C566" s="208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</row>
    <row r="567" ht="12.75" customHeight="1" s="203">
      <c r="A567" s="208" t="n"/>
      <c r="B567" s="208" t="n"/>
      <c r="C567" s="208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</row>
    <row r="568" ht="12.75" customHeight="1" s="203">
      <c r="A568" s="208" t="n"/>
      <c r="B568" s="208" t="n"/>
      <c r="C568" s="208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</row>
    <row r="569" ht="12.75" customHeight="1" s="203">
      <c r="A569" s="208" t="n"/>
      <c r="B569" s="208" t="n"/>
      <c r="C569" s="208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</row>
    <row r="570" ht="12.75" customHeight="1" s="203">
      <c r="A570" s="208" t="n"/>
      <c r="B570" s="208" t="n"/>
      <c r="C570" s="208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</row>
    <row r="571" ht="12.75" customHeight="1" s="203">
      <c r="A571" s="208" t="n"/>
      <c r="B571" s="208" t="n"/>
      <c r="C571" s="208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</row>
    <row r="572" ht="12.75" customHeight="1" s="203">
      <c r="A572" s="208" t="n"/>
      <c r="B572" s="208" t="n"/>
      <c r="C572" s="208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</row>
    <row r="573" ht="12.75" customHeight="1" s="203">
      <c r="A573" s="208" t="n"/>
      <c r="B573" s="208" t="n"/>
      <c r="C573" s="208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</row>
    <row r="574" ht="12.75" customHeight="1" s="203">
      <c r="A574" s="208" t="n"/>
      <c r="B574" s="208" t="n"/>
      <c r="C574" s="208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</row>
    <row r="575" ht="12.75" customHeight="1" s="203">
      <c r="A575" s="208" t="n"/>
      <c r="B575" s="208" t="n"/>
      <c r="C575" s="208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</row>
    <row r="576" ht="12.75" customHeight="1" s="203">
      <c r="A576" s="208" t="n"/>
      <c r="B576" s="208" t="n"/>
      <c r="C576" s="208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</row>
    <row r="577" ht="12.75" customHeight="1" s="203">
      <c r="A577" s="208" t="n"/>
      <c r="B577" s="208" t="n"/>
      <c r="C577" s="208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</row>
    <row r="578" ht="12.75" customHeight="1" s="203">
      <c r="A578" s="208" t="n"/>
      <c r="B578" s="208" t="n"/>
      <c r="C578" s="208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</row>
    <row r="579" ht="12.75" customHeight="1" s="203">
      <c r="A579" s="208" t="n"/>
      <c r="B579" s="208" t="n"/>
      <c r="C579" s="208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</row>
    <row r="580" ht="12.75" customHeight="1" s="203">
      <c r="A580" s="208" t="n"/>
      <c r="B580" s="208" t="n"/>
      <c r="C580" s="208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</row>
    <row r="581" ht="12.75" customHeight="1" s="203">
      <c r="A581" s="208" t="n"/>
      <c r="B581" s="208" t="n"/>
      <c r="C581" s="208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</row>
    <row r="582" ht="12.75" customHeight="1" s="203">
      <c r="A582" s="208" t="n"/>
      <c r="B582" s="208" t="n"/>
      <c r="C582" s="208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</row>
    <row r="583" ht="12.75" customHeight="1" s="203">
      <c r="A583" s="208" t="n"/>
      <c r="B583" s="208" t="n"/>
      <c r="C583" s="208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</row>
    <row r="584" ht="12.75" customHeight="1" s="203">
      <c r="A584" s="208" t="n"/>
      <c r="B584" s="208" t="n"/>
      <c r="C584" s="208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</row>
    <row r="585" ht="12.75" customHeight="1" s="203">
      <c r="A585" s="208" t="n"/>
      <c r="B585" s="208" t="n"/>
      <c r="C585" s="208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</row>
    <row r="586" ht="12.75" customHeight="1" s="203">
      <c r="A586" s="208" t="n"/>
      <c r="B586" s="208" t="n"/>
      <c r="C586" s="208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</row>
    <row r="587" ht="12.75" customHeight="1" s="203">
      <c r="A587" s="208" t="n"/>
      <c r="B587" s="208" t="n"/>
      <c r="C587" s="208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</row>
    <row r="588" ht="12.75" customHeight="1" s="203">
      <c r="A588" s="208" t="n"/>
      <c r="B588" s="208" t="n"/>
      <c r="C588" s="208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</row>
    <row r="589" ht="12.75" customHeight="1" s="203">
      <c r="A589" s="208" t="n"/>
      <c r="B589" s="208" t="n"/>
      <c r="C589" s="208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</row>
    <row r="590" ht="12.75" customHeight="1" s="203">
      <c r="A590" s="208" t="n"/>
      <c r="B590" s="208" t="n"/>
      <c r="C590" s="208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</row>
    <row r="591" ht="12.75" customHeight="1" s="203">
      <c r="A591" s="208" t="n"/>
      <c r="B591" s="208" t="n"/>
      <c r="C591" s="208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</row>
    <row r="592" ht="12.75" customHeight="1" s="203">
      <c r="A592" s="208" t="n"/>
      <c r="B592" s="208" t="n"/>
      <c r="C592" s="208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</row>
    <row r="593" ht="12.75" customHeight="1" s="203">
      <c r="A593" s="208" t="n"/>
      <c r="B593" s="208" t="n"/>
      <c r="C593" s="208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</row>
    <row r="594" ht="12.75" customHeight="1" s="203">
      <c r="A594" s="208" t="n"/>
      <c r="B594" s="208" t="n"/>
      <c r="C594" s="208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</row>
    <row r="595" ht="12.75" customHeight="1" s="203">
      <c r="A595" s="208" t="n"/>
      <c r="B595" s="208" t="n"/>
      <c r="C595" s="208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</row>
    <row r="596" ht="12.75" customHeight="1" s="203">
      <c r="A596" s="208" t="n"/>
      <c r="B596" s="208" t="n"/>
      <c r="C596" s="208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</row>
    <row r="597" ht="12.75" customHeight="1" s="203">
      <c r="A597" s="208" t="n"/>
      <c r="B597" s="208" t="n"/>
      <c r="C597" s="208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</row>
    <row r="598" ht="12.75" customHeight="1" s="203">
      <c r="A598" s="208" t="n"/>
      <c r="B598" s="208" t="n"/>
      <c r="C598" s="208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</row>
    <row r="599" ht="12.75" customHeight="1" s="203">
      <c r="A599" s="208" t="n"/>
      <c r="B599" s="208" t="n"/>
      <c r="C599" s="208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</row>
    <row r="600" ht="12.75" customHeight="1" s="203">
      <c r="A600" s="208" t="n"/>
      <c r="B600" s="208" t="n"/>
      <c r="C600" s="208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</row>
    <row r="601" ht="12.75" customHeight="1" s="203">
      <c r="A601" s="208" t="n"/>
      <c r="B601" s="208" t="n"/>
      <c r="C601" s="208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</row>
    <row r="602" ht="12.75" customHeight="1" s="203">
      <c r="A602" s="208" t="n"/>
      <c r="B602" s="208" t="n"/>
      <c r="C602" s="208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</row>
    <row r="603" ht="12.75" customHeight="1" s="203">
      <c r="A603" s="208" t="n"/>
      <c r="B603" s="208" t="n"/>
      <c r="C603" s="208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</row>
    <row r="604" ht="12.75" customHeight="1" s="203">
      <c r="A604" s="208" t="n"/>
      <c r="B604" s="208" t="n"/>
      <c r="C604" s="208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</row>
    <row r="605" ht="12.75" customHeight="1" s="203">
      <c r="A605" s="208" t="n"/>
      <c r="B605" s="208" t="n"/>
      <c r="C605" s="208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</row>
    <row r="606" ht="12.75" customHeight="1" s="203">
      <c r="A606" s="208" t="n"/>
      <c r="B606" s="208" t="n"/>
      <c r="C606" s="208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</row>
    <row r="607" ht="12.75" customHeight="1" s="203">
      <c r="A607" s="208" t="n"/>
      <c r="B607" s="208" t="n"/>
      <c r="C607" s="208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</row>
    <row r="608" ht="12.75" customHeight="1" s="203">
      <c r="A608" s="208" t="n"/>
      <c r="B608" s="208" t="n"/>
      <c r="C608" s="208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</row>
    <row r="609" ht="12.75" customHeight="1" s="203">
      <c r="A609" s="208" t="n"/>
      <c r="B609" s="208" t="n"/>
      <c r="C609" s="208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</row>
    <row r="610" ht="12.75" customHeight="1" s="203">
      <c r="A610" s="208" t="n"/>
      <c r="B610" s="208" t="n"/>
      <c r="C610" s="208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</row>
    <row r="611" ht="12.75" customHeight="1" s="203">
      <c r="A611" s="208" t="n"/>
      <c r="B611" s="208" t="n"/>
      <c r="C611" s="208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</row>
    <row r="612" ht="12.75" customHeight="1" s="203">
      <c r="A612" s="208" t="n"/>
      <c r="B612" s="208" t="n"/>
      <c r="C612" s="208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</row>
    <row r="613" ht="12.75" customHeight="1" s="203">
      <c r="A613" s="208" t="n"/>
      <c r="B613" s="208" t="n"/>
      <c r="C613" s="208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</row>
    <row r="614" ht="12.75" customHeight="1" s="203">
      <c r="A614" s="208" t="n"/>
      <c r="B614" s="208" t="n"/>
      <c r="C614" s="208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</row>
    <row r="615" ht="12.75" customHeight="1" s="203">
      <c r="A615" s="208" t="n"/>
      <c r="B615" s="208" t="n"/>
      <c r="C615" s="208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</row>
    <row r="616" ht="12.75" customHeight="1" s="203">
      <c r="A616" s="208" t="n"/>
      <c r="B616" s="208" t="n"/>
      <c r="C616" s="208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</row>
    <row r="617" ht="12.75" customHeight="1" s="203">
      <c r="A617" s="208" t="n"/>
      <c r="B617" s="208" t="n"/>
      <c r="C617" s="208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</row>
    <row r="618" ht="12.75" customHeight="1" s="203">
      <c r="A618" s="208" t="n"/>
      <c r="B618" s="208" t="n"/>
      <c r="C618" s="208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</row>
    <row r="619" ht="12.75" customHeight="1" s="203">
      <c r="A619" s="208" t="n"/>
      <c r="B619" s="208" t="n"/>
      <c r="C619" s="208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</row>
    <row r="620" ht="12.75" customHeight="1" s="203">
      <c r="A620" s="208" t="n"/>
      <c r="B620" s="208" t="n"/>
      <c r="C620" s="208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</row>
    <row r="621" ht="12.75" customHeight="1" s="203">
      <c r="A621" s="208" t="n"/>
      <c r="B621" s="208" t="n"/>
      <c r="C621" s="208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</row>
    <row r="622" ht="12.75" customHeight="1" s="203">
      <c r="A622" s="208" t="n"/>
      <c r="B622" s="208" t="n"/>
      <c r="C622" s="208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</row>
    <row r="623" ht="12.75" customHeight="1" s="203">
      <c r="A623" s="208" t="n"/>
      <c r="B623" s="208" t="n"/>
      <c r="C623" s="208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</row>
    <row r="624" ht="12.75" customHeight="1" s="203">
      <c r="A624" s="208" t="n"/>
      <c r="B624" s="208" t="n"/>
      <c r="C624" s="208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</row>
    <row r="625" ht="12.75" customHeight="1" s="203">
      <c r="A625" s="208" t="n"/>
      <c r="B625" s="208" t="n"/>
      <c r="C625" s="208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</row>
    <row r="626" ht="12.75" customHeight="1" s="203">
      <c r="A626" s="208" t="n"/>
      <c r="B626" s="208" t="n"/>
      <c r="C626" s="208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</row>
    <row r="627" ht="12.75" customHeight="1" s="203">
      <c r="A627" s="208" t="n"/>
      <c r="B627" s="208" t="n"/>
      <c r="C627" s="208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</row>
    <row r="628" ht="12.75" customHeight="1" s="203">
      <c r="A628" s="208" t="n"/>
      <c r="B628" s="208" t="n"/>
      <c r="C628" s="208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</row>
    <row r="629" ht="12.75" customHeight="1" s="203">
      <c r="A629" s="208" t="n"/>
      <c r="B629" s="208" t="n"/>
      <c r="C629" s="208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</row>
    <row r="630" ht="12.75" customHeight="1" s="203">
      <c r="A630" s="208" t="n"/>
      <c r="B630" s="208" t="n"/>
      <c r="C630" s="208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</row>
    <row r="631" ht="12.75" customHeight="1" s="203">
      <c r="A631" s="208" t="n"/>
      <c r="B631" s="208" t="n"/>
      <c r="C631" s="208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</row>
    <row r="632" ht="12.75" customHeight="1" s="203">
      <c r="A632" s="208" t="n"/>
      <c r="B632" s="208" t="n"/>
      <c r="C632" s="208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</row>
    <row r="633" ht="12.75" customHeight="1" s="203">
      <c r="A633" s="208" t="n"/>
      <c r="B633" s="208" t="n"/>
      <c r="C633" s="208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</row>
    <row r="634" ht="12.75" customHeight="1" s="203">
      <c r="A634" s="208" t="n"/>
      <c r="B634" s="208" t="n"/>
      <c r="C634" s="208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</row>
    <row r="635" ht="12.75" customHeight="1" s="203">
      <c r="A635" s="208" t="n"/>
      <c r="B635" s="208" t="n"/>
      <c r="C635" s="208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</row>
    <row r="636" ht="12.75" customHeight="1" s="203">
      <c r="A636" s="208" t="n"/>
      <c r="B636" s="208" t="n"/>
      <c r="C636" s="208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</row>
    <row r="637" ht="12.75" customHeight="1" s="203">
      <c r="A637" s="208" t="n"/>
      <c r="B637" s="208" t="n"/>
      <c r="C637" s="208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</row>
    <row r="638" ht="12.75" customHeight="1" s="203">
      <c r="A638" s="208" t="n"/>
      <c r="B638" s="208" t="n"/>
      <c r="C638" s="208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</row>
    <row r="639" ht="12.75" customHeight="1" s="203">
      <c r="A639" s="208" t="n"/>
      <c r="B639" s="208" t="n"/>
      <c r="C639" s="208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</row>
    <row r="640" ht="12.75" customHeight="1" s="203">
      <c r="A640" s="208" t="n"/>
      <c r="B640" s="208" t="n"/>
      <c r="C640" s="208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</row>
    <row r="641" ht="12.75" customHeight="1" s="203">
      <c r="A641" s="208" t="n"/>
      <c r="B641" s="208" t="n"/>
      <c r="C641" s="208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</row>
    <row r="642" ht="12.75" customHeight="1" s="203">
      <c r="A642" s="208" t="n"/>
      <c r="B642" s="208" t="n"/>
      <c r="C642" s="208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</row>
    <row r="643" ht="12.75" customHeight="1" s="203">
      <c r="A643" s="208" t="n"/>
      <c r="B643" s="208" t="n"/>
      <c r="C643" s="208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</row>
    <row r="644" ht="12.75" customHeight="1" s="203">
      <c r="A644" s="208" t="n"/>
      <c r="B644" s="208" t="n"/>
      <c r="C644" s="208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</row>
    <row r="645" ht="12.75" customHeight="1" s="203">
      <c r="A645" s="208" t="n"/>
      <c r="B645" s="208" t="n"/>
      <c r="C645" s="208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</row>
    <row r="646" ht="12.75" customHeight="1" s="203">
      <c r="A646" s="208" t="n"/>
      <c r="B646" s="208" t="n"/>
      <c r="C646" s="208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</row>
    <row r="647" ht="12.75" customHeight="1" s="203">
      <c r="A647" s="208" t="n"/>
      <c r="B647" s="208" t="n"/>
      <c r="C647" s="208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</row>
    <row r="648" ht="12.75" customHeight="1" s="203">
      <c r="A648" s="208" t="n"/>
      <c r="B648" s="208" t="n"/>
      <c r="C648" s="208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</row>
    <row r="649" ht="12.75" customHeight="1" s="203">
      <c r="A649" s="208" t="n"/>
      <c r="B649" s="208" t="n"/>
      <c r="C649" s="208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</row>
    <row r="650" ht="12.75" customHeight="1" s="203">
      <c r="A650" s="208" t="n"/>
      <c r="B650" s="208" t="n"/>
      <c r="C650" s="208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</row>
    <row r="651" ht="12.75" customHeight="1" s="203">
      <c r="A651" s="208" t="n"/>
      <c r="B651" s="208" t="n"/>
      <c r="C651" s="208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</row>
    <row r="652" ht="12.75" customHeight="1" s="203">
      <c r="A652" s="208" t="n"/>
      <c r="B652" s="208" t="n"/>
      <c r="C652" s="208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</row>
    <row r="653" ht="12.75" customHeight="1" s="203">
      <c r="A653" s="208" t="n"/>
      <c r="B653" s="208" t="n"/>
      <c r="C653" s="208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</row>
    <row r="654" ht="12.75" customHeight="1" s="203">
      <c r="A654" s="208" t="n"/>
      <c r="B654" s="208" t="n"/>
      <c r="C654" s="208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</row>
    <row r="655" ht="12.75" customHeight="1" s="203">
      <c r="A655" s="208" t="n"/>
      <c r="B655" s="208" t="n"/>
      <c r="C655" s="208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</row>
    <row r="656" ht="12.75" customHeight="1" s="203">
      <c r="A656" s="208" t="n"/>
      <c r="B656" s="208" t="n"/>
      <c r="C656" s="208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</row>
    <row r="657" ht="12.75" customHeight="1" s="203">
      <c r="A657" s="208" t="n"/>
      <c r="B657" s="208" t="n"/>
      <c r="C657" s="208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</row>
    <row r="658" ht="12.75" customHeight="1" s="203">
      <c r="A658" s="208" t="n"/>
      <c r="B658" s="208" t="n"/>
      <c r="C658" s="208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</row>
    <row r="659" ht="12.75" customHeight="1" s="203">
      <c r="A659" s="208" t="n"/>
      <c r="B659" s="208" t="n"/>
      <c r="C659" s="208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</row>
    <row r="660" ht="12.75" customHeight="1" s="203">
      <c r="A660" s="208" t="n"/>
      <c r="B660" s="208" t="n"/>
      <c r="C660" s="208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</row>
    <row r="661" ht="12.75" customHeight="1" s="203">
      <c r="A661" s="208" t="n"/>
      <c r="B661" s="208" t="n"/>
      <c r="C661" s="208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</row>
    <row r="662" ht="12.75" customHeight="1" s="203">
      <c r="A662" s="208" t="n"/>
      <c r="B662" s="208" t="n"/>
      <c r="C662" s="208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</row>
    <row r="663" ht="12.75" customHeight="1" s="203">
      <c r="A663" s="208" t="n"/>
      <c r="B663" s="208" t="n"/>
      <c r="C663" s="208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</row>
    <row r="664" ht="12.75" customHeight="1" s="203">
      <c r="A664" s="208" t="n"/>
      <c r="B664" s="208" t="n"/>
      <c r="C664" s="208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</row>
    <row r="665" ht="12.75" customHeight="1" s="203">
      <c r="A665" s="208" t="n"/>
      <c r="B665" s="208" t="n"/>
      <c r="C665" s="208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</row>
    <row r="666" ht="12.75" customHeight="1" s="203">
      <c r="A666" s="208" t="n"/>
      <c r="B666" s="208" t="n"/>
      <c r="C666" s="208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</row>
    <row r="667" ht="12.75" customHeight="1" s="203">
      <c r="A667" s="208" t="n"/>
      <c r="B667" s="208" t="n"/>
      <c r="C667" s="208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</row>
    <row r="668" ht="12.75" customHeight="1" s="203">
      <c r="A668" s="208" t="n"/>
      <c r="B668" s="208" t="n"/>
      <c r="C668" s="208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</row>
    <row r="669" ht="12.75" customHeight="1" s="203">
      <c r="A669" s="208" t="n"/>
      <c r="B669" s="208" t="n"/>
      <c r="C669" s="208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</row>
    <row r="670" ht="12.75" customHeight="1" s="203">
      <c r="A670" s="208" t="n"/>
      <c r="B670" s="208" t="n"/>
      <c r="C670" s="208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</row>
    <row r="671" ht="12.75" customHeight="1" s="203">
      <c r="A671" s="208" t="n"/>
      <c r="B671" s="208" t="n"/>
      <c r="C671" s="208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</row>
    <row r="672" ht="12.75" customHeight="1" s="203">
      <c r="A672" s="208" t="n"/>
      <c r="B672" s="208" t="n"/>
      <c r="C672" s="208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</row>
    <row r="673" ht="12.75" customHeight="1" s="203">
      <c r="A673" s="208" t="n"/>
      <c r="B673" s="208" t="n"/>
      <c r="C673" s="208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</row>
    <row r="674" ht="12.75" customHeight="1" s="203">
      <c r="A674" s="208" t="n"/>
      <c r="B674" s="208" t="n"/>
      <c r="C674" s="208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</row>
    <row r="675" ht="12.75" customHeight="1" s="203">
      <c r="A675" s="208" t="n"/>
      <c r="B675" s="208" t="n"/>
      <c r="C675" s="208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</row>
    <row r="676" ht="12.75" customHeight="1" s="203">
      <c r="A676" s="208" t="n"/>
      <c r="B676" s="208" t="n"/>
      <c r="C676" s="208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</row>
    <row r="677" ht="12.75" customHeight="1" s="203">
      <c r="A677" s="208" t="n"/>
      <c r="B677" s="208" t="n"/>
      <c r="C677" s="208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</row>
    <row r="678" ht="12.75" customHeight="1" s="203">
      <c r="A678" s="208" t="n"/>
      <c r="B678" s="208" t="n"/>
      <c r="C678" s="208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</row>
    <row r="679" ht="12.75" customHeight="1" s="203">
      <c r="A679" s="208" t="n"/>
      <c r="B679" s="208" t="n"/>
      <c r="C679" s="208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</row>
    <row r="680" ht="12.75" customHeight="1" s="203">
      <c r="A680" s="208" t="n"/>
      <c r="B680" s="208" t="n"/>
      <c r="C680" s="208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</row>
    <row r="681" ht="12.75" customHeight="1" s="203">
      <c r="A681" s="208" t="n"/>
      <c r="B681" s="208" t="n"/>
      <c r="C681" s="208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</row>
    <row r="682" ht="12.75" customHeight="1" s="203">
      <c r="A682" s="208" t="n"/>
      <c r="B682" s="208" t="n"/>
      <c r="C682" s="208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</row>
    <row r="683" ht="12.75" customHeight="1" s="203">
      <c r="A683" s="208" t="n"/>
      <c r="B683" s="208" t="n"/>
      <c r="C683" s="208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</row>
    <row r="684" ht="12.75" customHeight="1" s="203">
      <c r="A684" s="208" t="n"/>
      <c r="B684" s="208" t="n"/>
      <c r="C684" s="208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</row>
    <row r="685" ht="12.75" customHeight="1" s="203">
      <c r="A685" s="208" t="n"/>
      <c r="B685" s="208" t="n"/>
      <c r="C685" s="208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</row>
    <row r="686" ht="12.75" customHeight="1" s="203">
      <c r="A686" s="208" t="n"/>
      <c r="B686" s="208" t="n"/>
      <c r="C686" s="208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</row>
    <row r="687" ht="12.75" customHeight="1" s="203">
      <c r="A687" s="208" t="n"/>
      <c r="B687" s="208" t="n"/>
      <c r="C687" s="208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</row>
    <row r="688" ht="12.75" customHeight="1" s="203">
      <c r="A688" s="208" t="n"/>
      <c r="B688" s="208" t="n"/>
      <c r="C688" s="208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</row>
    <row r="689" ht="12.75" customHeight="1" s="203">
      <c r="A689" s="208" t="n"/>
      <c r="B689" s="208" t="n"/>
      <c r="C689" s="208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</row>
    <row r="690" ht="12.75" customHeight="1" s="203">
      <c r="A690" s="208" t="n"/>
      <c r="B690" s="208" t="n"/>
      <c r="C690" s="208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</row>
    <row r="691" ht="12.75" customHeight="1" s="203">
      <c r="A691" s="208" t="n"/>
      <c r="B691" s="208" t="n"/>
      <c r="C691" s="208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</row>
    <row r="692" ht="12.75" customHeight="1" s="203">
      <c r="A692" s="208" t="n"/>
      <c r="B692" s="208" t="n"/>
      <c r="C692" s="208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</row>
    <row r="693" ht="12.75" customHeight="1" s="203">
      <c r="A693" s="208" t="n"/>
      <c r="B693" s="208" t="n"/>
      <c r="C693" s="208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</row>
    <row r="694" ht="12.75" customHeight="1" s="203">
      <c r="A694" s="208" t="n"/>
      <c r="B694" s="208" t="n"/>
      <c r="C694" s="208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</row>
    <row r="695" ht="12.75" customHeight="1" s="203">
      <c r="A695" s="208" t="n"/>
      <c r="B695" s="208" t="n"/>
      <c r="C695" s="208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</row>
    <row r="696" ht="12.75" customHeight="1" s="203">
      <c r="A696" s="208" t="n"/>
      <c r="B696" s="208" t="n"/>
      <c r="C696" s="208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</row>
    <row r="697" ht="12.75" customHeight="1" s="203">
      <c r="A697" s="208" t="n"/>
      <c r="B697" s="208" t="n"/>
      <c r="C697" s="208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</row>
    <row r="698" ht="12.75" customHeight="1" s="203">
      <c r="A698" s="208" t="n"/>
      <c r="B698" s="208" t="n"/>
      <c r="C698" s="208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</row>
    <row r="699" ht="12.75" customHeight="1" s="203">
      <c r="A699" s="208" t="n"/>
      <c r="B699" s="208" t="n"/>
      <c r="C699" s="208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</row>
    <row r="700" ht="12.75" customHeight="1" s="203">
      <c r="A700" s="208" t="n"/>
      <c r="B700" s="208" t="n"/>
      <c r="C700" s="208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</row>
    <row r="701" ht="12.75" customHeight="1" s="203">
      <c r="A701" s="208" t="n"/>
      <c r="B701" s="208" t="n"/>
      <c r="C701" s="208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</row>
    <row r="702" ht="12.75" customHeight="1" s="203">
      <c r="A702" s="208" t="n"/>
      <c r="B702" s="208" t="n"/>
      <c r="C702" s="208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</row>
    <row r="703" ht="12.75" customHeight="1" s="203">
      <c r="A703" s="208" t="n"/>
      <c r="B703" s="208" t="n"/>
      <c r="C703" s="208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</row>
    <row r="704" ht="12.75" customHeight="1" s="203">
      <c r="A704" s="208" t="n"/>
      <c r="B704" s="208" t="n"/>
      <c r="C704" s="208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</row>
    <row r="705" ht="12.75" customHeight="1" s="203">
      <c r="A705" s="208" t="n"/>
      <c r="B705" s="208" t="n"/>
      <c r="C705" s="208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</row>
    <row r="706" ht="12.75" customHeight="1" s="203">
      <c r="A706" s="208" t="n"/>
      <c r="B706" s="208" t="n"/>
      <c r="C706" s="208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</row>
    <row r="707" ht="12.75" customHeight="1" s="203">
      <c r="A707" s="208" t="n"/>
      <c r="B707" s="208" t="n"/>
      <c r="C707" s="208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</row>
    <row r="708" ht="12.75" customHeight="1" s="203">
      <c r="A708" s="208" t="n"/>
      <c r="B708" s="208" t="n"/>
      <c r="C708" s="208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</row>
    <row r="709" ht="12.75" customHeight="1" s="203">
      <c r="A709" s="208" t="n"/>
      <c r="B709" s="208" t="n"/>
      <c r="C709" s="208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</row>
    <row r="710" ht="12.75" customHeight="1" s="203">
      <c r="A710" s="208" t="n"/>
      <c r="B710" s="208" t="n"/>
      <c r="C710" s="208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</row>
    <row r="711" ht="12.75" customHeight="1" s="203">
      <c r="A711" s="208" t="n"/>
      <c r="B711" s="208" t="n"/>
      <c r="C711" s="208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</row>
    <row r="712" ht="12.75" customHeight="1" s="203">
      <c r="A712" s="208" t="n"/>
      <c r="B712" s="208" t="n"/>
      <c r="C712" s="208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</row>
    <row r="713" ht="12.75" customHeight="1" s="203">
      <c r="A713" s="208" t="n"/>
      <c r="B713" s="208" t="n"/>
      <c r="C713" s="208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</row>
    <row r="714" ht="12.75" customHeight="1" s="203">
      <c r="A714" s="208" t="n"/>
      <c r="B714" s="208" t="n"/>
      <c r="C714" s="208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</row>
    <row r="715" ht="12.75" customHeight="1" s="203">
      <c r="A715" s="208" t="n"/>
      <c r="B715" s="208" t="n"/>
      <c r="C715" s="208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</row>
    <row r="716" ht="12.75" customHeight="1" s="203">
      <c r="A716" s="208" t="n"/>
      <c r="B716" s="208" t="n"/>
      <c r="C716" s="208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</row>
    <row r="717" ht="12.75" customHeight="1" s="203">
      <c r="A717" s="208" t="n"/>
      <c r="B717" s="208" t="n"/>
      <c r="C717" s="208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</row>
    <row r="718" ht="12.75" customHeight="1" s="203">
      <c r="A718" s="208" t="n"/>
      <c r="B718" s="208" t="n"/>
      <c r="C718" s="208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</row>
    <row r="719" ht="12.75" customHeight="1" s="203">
      <c r="A719" s="208" t="n"/>
      <c r="B719" s="208" t="n"/>
      <c r="C719" s="208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</row>
    <row r="720" ht="12.75" customHeight="1" s="203">
      <c r="A720" s="208" t="n"/>
      <c r="B720" s="208" t="n"/>
      <c r="C720" s="208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</row>
    <row r="721" ht="12.75" customHeight="1" s="203">
      <c r="A721" s="208" t="n"/>
      <c r="B721" s="208" t="n"/>
      <c r="C721" s="208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</row>
    <row r="722" ht="12.75" customHeight="1" s="203">
      <c r="A722" s="208" t="n"/>
      <c r="B722" s="208" t="n"/>
      <c r="C722" s="208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</row>
    <row r="723" ht="12.75" customHeight="1" s="203">
      <c r="A723" s="208" t="n"/>
      <c r="B723" s="208" t="n"/>
      <c r="C723" s="208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</row>
    <row r="724" ht="12.75" customHeight="1" s="203">
      <c r="A724" s="208" t="n"/>
      <c r="B724" s="208" t="n"/>
      <c r="C724" s="208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</row>
    <row r="725" ht="12.75" customHeight="1" s="203">
      <c r="A725" s="208" t="n"/>
      <c r="B725" s="208" t="n"/>
      <c r="C725" s="208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</row>
    <row r="726" ht="12.75" customHeight="1" s="203">
      <c r="A726" s="208" t="n"/>
      <c r="B726" s="208" t="n"/>
      <c r="C726" s="208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</row>
    <row r="727" ht="12.75" customHeight="1" s="203">
      <c r="A727" s="208" t="n"/>
      <c r="B727" s="208" t="n"/>
      <c r="C727" s="208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</row>
    <row r="728" ht="12.75" customHeight="1" s="203">
      <c r="A728" s="208" t="n"/>
      <c r="B728" s="208" t="n"/>
      <c r="C728" s="208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</row>
    <row r="729" ht="12.75" customHeight="1" s="203">
      <c r="A729" s="208" t="n"/>
      <c r="B729" s="208" t="n"/>
      <c r="C729" s="208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</row>
    <row r="730" ht="12.75" customHeight="1" s="203">
      <c r="A730" s="208" t="n"/>
      <c r="B730" s="208" t="n"/>
      <c r="C730" s="208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</row>
    <row r="731" ht="12.75" customHeight="1" s="203">
      <c r="A731" s="208" t="n"/>
      <c r="B731" s="208" t="n"/>
      <c r="C731" s="208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</row>
    <row r="732" ht="12.75" customHeight="1" s="203">
      <c r="A732" s="208" t="n"/>
      <c r="B732" s="208" t="n"/>
      <c r="C732" s="208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</row>
    <row r="733" ht="12.75" customHeight="1" s="203">
      <c r="A733" s="208" t="n"/>
      <c r="B733" s="208" t="n"/>
      <c r="C733" s="208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</row>
    <row r="734" ht="12.75" customHeight="1" s="203">
      <c r="A734" s="208" t="n"/>
      <c r="B734" s="208" t="n"/>
      <c r="C734" s="208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</row>
    <row r="735" ht="12.75" customHeight="1" s="203">
      <c r="A735" s="208" t="n"/>
      <c r="B735" s="208" t="n"/>
      <c r="C735" s="208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</row>
    <row r="736" ht="12.75" customHeight="1" s="203">
      <c r="A736" s="208" t="n"/>
      <c r="B736" s="208" t="n"/>
      <c r="C736" s="208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</row>
    <row r="737" ht="12.75" customHeight="1" s="203">
      <c r="A737" s="208" t="n"/>
      <c r="B737" s="208" t="n"/>
      <c r="C737" s="208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</row>
    <row r="738" ht="12.75" customHeight="1" s="203">
      <c r="A738" s="208" t="n"/>
      <c r="B738" s="208" t="n"/>
      <c r="C738" s="208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</row>
    <row r="739" ht="12.75" customHeight="1" s="203">
      <c r="A739" s="208" t="n"/>
      <c r="B739" s="208" t="n"/>
      <c r="C739" s="208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</row>
    <row r="740" ht="12.75" customHeight="1" s="203">
      <c r="A740" s="208" t="n"/>
      <c r="B740" s="208" t="n"/>
      <c r="C740" s="208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</row>
    <row r="741" ht="12.75" customHeight="1" s="203">
      <c r="A741" s="208" t="n"/>
      <c r="B741" s="208" t="n"/>
      <c r="C741" s="208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</row>
    <row r="742" ht="12.75" customHeight="1" s="203">
      <c r="A742" s="208" t="n"/>
      <c r="B742" s="208" t="n"/>
      <c r="C742" s="208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</row>
    <row r="743" ht="12.75" customHeight="1" s="203">
      <c r="A743" s="208" t="n"/>
      <c r="B743" s="208" t="n"/>
      <c r="C743" s="208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</row>
    <row r="744" ht="12.75" customHeight="1" s="203">
      <c r="A744" s="208" t="n"/>
      <c r="B744" s="208" t="n"/>
      <c r="C744" s="208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</row>
    <row r="745" ht="12.75" customHeight="1" s="203">
      <c r="A745" s="208" t="n"/>
      <c r="B745" s="208" t="n"/>
      <c r="C745" s="208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</row>
    <row r="746" ht="12.75" customHeight="1" s="203">
      <c r="A746" s="208" t="n"/>
      <c r="B746" s="208" t="n"/>
      <c r="C746" s="208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</row>
    <row r="747" ht="12.75" customHeight="1" s="203">
      <c r="A747" s="208" t="n"/>
      <c r="B747" s="208" t="n"/>
      <c r="C747" s="208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</row>
    <row r="748" ht="12.75" customHeight="1" s="203">
      <c r="A748" s="208" t="n"/>
      <c r="B748" s="208" t="n"/>
      <c r="C748" s="208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</row>
    <row r="749" ht="12.75" customHeight="1" s="203">
      <c r="A749" s="208" t="n"/>
      <c r="B749" s="208" t="n"/>
      <c r="C749" s="208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</row>
    <row r="750" ht="12.75" customHeight="1" s="203">
      <c r="A750" s="208" t="n"/>
      <c r="B750" s="208" t="n"/>
      <c r="C750" s="208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</row>
    <row r="751" ht="12.75" customHeight="1" s="203">
      <c r="A751" s="208" t="n"/>
      <c r="B751" s="208" t="n"/>
      <c r="C751" s="208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</row>
    <row r="752" ht="12.75" customHeight="1" s="203">
      <c r="A752" s="208" t="n"/>
      <c r="B752" s="208" t="n"/>
      <c r="C752" s="208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</row>
    <row r="753" ht="12.75" customHeight="1" s="203">
      <c r="A753" s="208" t="n"/>
      <c r="B753" s="208" t="n"/>
      <c r="C753" s="208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</row>
    <row r="754" ht="12.75" customHeight="1" s="203">
      <c r="A754" s="208" t="n"/>
      <c r="B754" s="208" t="n"/>
      <c r="C754" s="208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</row>
    <row r="755" ht="12.75" customHeight="1" s="203">
      <c r="A755" s="208" t="n"/>
      <c r="B755" s="208" t="n"/>
      <c r="C755" s="208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</row>
    <row r="756" ht="12.75" customHeight="1" s="203">
      <c r="A756" s="208" t="n"/>
      <c r="B756" s="208" t="n"/>
      <c r="C756" s="208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</row>
    <row r="757" ht="12.75" customHeight="1" s="203">
      <c r="A757" s="208" t="n"/>
      <c r="B757" s="208" t="n"/>
      <c r="C757" s="208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</row>
    <row r="758" ht="12.75" customHeight="1" s="203">
      <c r="A758" s="208" t="n"/>
      <c r="B758" s="208" t="n"/>
      <c r="C758" s="208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</row>
    <row r="759" ht="12.75" customHeight="1" s="203">
      <c r="A759" s="208" t="n"/>
      <c r="B759" s="208" t="n"/>
      <c r="C759" s="208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</row>
    <row r="760" ht="12.75" customHeight="1" s="203">
      <c r="A760" s="208" t="n"/>
      <c r="B760" s="208" t="n"/>
      <c r="C760" s="208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</row>
    <row r="761" ht="12.75" customHeight="1" s="203">
      <c r="A761" s="208" t="n"/>
      <c r="B761" s="208" t="n"/>
      <c r="C761" s="208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</row>
    <row r="762" ht="12.75" customHeight="1" s="203">
      <c r="A762" s="208" t="n"/>
      <c r="B762" s="208" t="n"/>
      <c r="C762" s="208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</row>
    <row r="763" ht="12.75" customHeight="1" s="203">
      <c r="A763" s="208" t="n"/>
      <c r="B763" s="208" t="n"/>
      <c r="C763" s="208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</row>
    <row r="764" ht="12.75" customHeight="1" s="203">
      <c r="A764" s="208" t="n"/>
      <c r="B764" s="208" t="n"/>
      <c r="C764" s="208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</row>
    <row r="765" ht="12.75" customHeight="1" s="203">
      <c r="A765" s="208" t="n"/>
      <c r="B765" s="208" t="n"/>
      <c r="C765" s="208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</row>
    <row r="766" ht="12.75" customHeight="1" s="203">
      <c r="A766" s="208" t="n"/>
      <c r="B766" s="208" t="n"/>
      <c r="C766" s="208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</row>
    <row r="767" ht="12.75" customHeight="1" s="203">
      <c r="A767" s="208" t="n"/>
      <c r="B767" s="208" t="n"/>
      <c r="C767" s="208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</row>
    <row r="768" ht="12.75" customHeight="1" s="203">
      <c r="A768" s="208" t="n"/>
      <c r="B768" s="208" t="n"/>
      <c r="C768" s="208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</row>
    <row r="769" ht="12.75" customHeight="1" s="203">
      <c r="A769" s="208" t="n"/>
      <c r="B769" s="208" t="n"/>
      <c r="C769" s="208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</row>
    <row r="770" ht="12.75" customHeight="1" s="203">
      <c r="A770" s="208" t="n"/>
      <c r="B770" s="208" t="n"/>
      <c r="C770" s="208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</row>
    <row r="771" ht="12.75" customHeight="1" s="203">
      <c r="A771" s="208" t="n"/>
      <c r="B771" s="208" t="n"/>
      <c r="C771" s="208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</row>
    <row r="772" ht="12.75" customHeight="1" s="203">
      <c r="A772" s="208" t="n"/>
      <c r="B772" s="208" t="n"/>
      <c r="C772" s="208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</row>
    <row r="773" ht="12.75" customHeight="1" s="203">
      <c r="A773" s="208" t="n"/>
      <c r="B773" s="208" t="n"/>
      <c r="C773" s="208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</row>
    <row r="774" ht="12.75" customHeight="1" s="203">
      <c r="A774" s="208" t="n"/>
      <c r="B774" s="208" t="n"/>
      <c r="C774" s="208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</row>
    <row r="775" ht="12.75" customHeight="1" s="203">
      <c r="A775" s="208" t="n"/>
      <c r="B775" s="208" t="n"/>
      <c r="C775" s="208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</row>
    <row r="776" ht="12.75" customHeight="1" s="203">
      <c r="A776" s="208" t="n"/>
      <c r="B776" s="208" t="n"/>
      <c r="C776" s="208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</row>
    <row r="777" ht="12.75" customHeight="1" s="203">
      <c r="A777" s="208" t="n"/>
      <c r="B777" s="208" t="n"/>
      <c r="C777" s="208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</row>
    <row r="778" ht="12.75" customHeight="1" s="203">
      <c r="A778" s="208" t="n"/>
      <c r="B778" s="208" t="n"/>
      <c r="C778" s="208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</row>
    <row r="779" ht="12.75" customHeight="1" s="203">
      <c r="A779" s="208" t="n"/>
      <c r="B779" s="208" t="n"/>
      <c r="C779" s="208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</row>
    <row r="780" ht="12.75" customHeight="1" s="203">
      <c r="A780" s="208" t="n"/>
      <c r="B780" s="208" t="n"/>
      <c r="C780" s="208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</row>
    <row r="781" ht="12.75" customHeight="1" s="203">
      <c r="A781" s="208" t="n"/>
      <c r="B781" s="208" t="n"/>
      <c r="C781" s="208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</row>
    <row r="782" ht="12.75" customHeight="1" s="203">
      <c r="A782" s="208" t="n"/>
      <c r="B782" s="208" t="n"/>
      <c r="C782" s="208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</row>
    <row r="783" ht="12.75" customHeight="1" s="203">
      <c r="A783" s="208" t="n"/>
      <c r="B783" s="208" t="n"/>
      <c r="C783" s="208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</row>
    <row r="784" ht="12.75" customHeight="1" s="203">
      <c r="A784" s="208" t="n"/>
      <c r="B784" s="208" t="n"/>
      <c r="C784" s="208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</row>
    <row r="785" ht="12.75" customHeight="1" s="203">
      <c r="A785" s="208" t="n"/>
      <c r="B785" s="208" t="n"/>
      <c r="C785" s="208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</row>
    <row r="786" ht="12.75" customHeight="1" s="203">
      <c r="A786" s="208" t="n"/>
      <c r="B786" s="208" t="n"/>
      <c r="C786" s="208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</row>
    <row r="787" ht="12.75" customHeight="1" s="203">
      <c r="A787" s="208" t="n"/>
      <c r="B787" s="208" t="n"/>
      <c r="C787" s="208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</row>
    <row r="788" ht="12.75" customHeight="1" s="203">
      <c r="A788" s="208" t="n"/>
      <c r="B788" s="208" t="n"/>
      <c r="C788" s="208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</row>
    <row r="789" ht="12.75" customHeight="1" s="203">
      <c r="A789" s="208" t="n"/>
      <c r="B789" s="208" t="n"/>
      <c r="C789" s="208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</row>
    <row r="790" ht="12.75" customHeight="1" s="203">
      <c r="A790" s="208" t="n"/>
      <c r="B790" s="208" t="n"/>
      <c r="C790" s="208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</row>
    <row r="791" ht="12.75" customHeight="1" s="203">
      <c r="A791" s="208" t="n"/>
      <c r="B791" s="208" t="n"/>
      <c r="C791" s="208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</row>
    <row r="792" ht="12.75" customHeight="1" s="203">
      <c r="A792" s="208" t="n"/>
      <c r="B792" s="208" t="n"/>
      <c r="C792" s="208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</row>
    <row r="793" ht="12.75" customHeight="1" s="203">
      <c r="A793" s="208" t="n"/>
      <c r="B793" s="208" t="n"/>
      <c r="C793" s="208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</row>
    <row r="794" ht="12.75" customHeight="1" s="203">
      <c r="A794" s="208" t="n"/>
      <c r="B794" s="208" t="n"/>
      <c r="C794" s="208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</row>
    <row r="795" ht="12.75" customHeight="1" s="203">
      <c r="A795" s="208" t="n"/>
      <c r="B795" s="208" t="n"/>
      <c r="C795" s="208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</row>
    <row r="796" ht="12.75" customHeight="1" s="203">
      <c r="A796" s="208" t="n"/>
      <c r="B796" s="208" t="n"/>
      <c r="C796" s="208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</row>
    <row r="797" ht="12.75" customHeight="1" s="203">
      <c r="A797" s="208" t="n"/>
      <c r="B797" s="208" t="n"/>
      <c r="C797" s="208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</row>
    <row r="798" ht="12.75" customHeight="1" s="203">
      <c r="A798" s="208" t="n"/>
      <c r="B798" s="208" t="n"/>
      <c r="C798" s="208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</row>
    <row r="799" ht="12.75" customHeight="1" s="203">
      <c r="A799" s="208" t="n"/>
      <c r="B799" s="208" t="n"/>
      <c r="C799" s="208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</row>
    <row r="800" ht="12.75" customHeight="1" s="203">
      <c r="A800" s="208" t="n"/>
      <c r="B800" s="208" t="n"/>
      <c r="C800" s="208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</row>
    <row r="801" ht="12.75" customHeight="1" s="203">
      <c r="A801" s="208" t="n"/>
      <c r="B801" s="208" t="n"/>
      <c r="C801" s="208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</row>
    <row r="802" ht="12.75" customHeight="1" s="203">
      <c r="A802" s="208" t="n"/>
      <c r="B802" s="208" t="n"/>
      <c r="C802" s="208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</row>
    <row r="803" ht="12.75" customHeight="1" s="203">
      <c r="A803" s="208" t="n"/>
      <c r="B803" s="208" t="n"/>
      <c r="C803" s="208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</row>
    <row r="804" ht="12.75" customHeight="1" s="203">
      <c r="A804" s="208" t="n"/>
      <c r="B804" s="208" t="n"/>
      <c r="C804" s="208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</row>
    <row r="805" ht="12.75" customHeight="1" s="203">
      <c r="A805" s="208" t="n"/>
      <c r="B805" s="208" t="n"/>
      <c r="C805" s="208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</row>
    <row r="806" ht="12.75" customHeight="1" s="203">
      <c r="A806" s="208" t="n"/>
      <c r="B806" s="208" t="n"/>
      <c r="C806" s="208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</row>
    <row r="807" ht="12.75" customHeight="1" s="203">
      <c r="A807" s="208" t="n"/>
      <c r="B807" s="208" t="n"/>
      <c r="C807" s="208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</row>
    <row r="808" ht="12.75" customHeight="1" s="203">
      <c r="A808" s="208" t="n"/>
      <c r="B808" s="208" t="n"/>
      <c r="C808" s="208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</row>
    <row r="809" ht="12.75" customHeight="1" s="203">
      <c r="A809" s="208" t="n"/>
      <c r="B809" s="208" t="n"/>
      <c r="C809" s="208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</row>
    <row r="810" ht="12.75" customHeight="1" s="203">
      <c r="A810" s="208" t="n"/>
      <c r="B810" s="208" t="n"/>
      <c r="C810" s="208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</row>
    <row r="811" ht="12.75" customHeight="1" s="203">
      <c r="A811" s="208" t="n"/>
      <c r="B811" s="208" t="n"/>
      <c r="C811" s="208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</row>
    <row r="812" ht="12.75" customHeight="1" s="203">
      <c r="A812" s="208" t="n"/>
      <c r="B812" s="208" t="n"/>
      <c r="C812" s="208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</row>
    <row r="813" ht="12.75" customHeight="1" s="203">
      <c r="A813" s="208" t="n"/>
      <c r="B813" s="208" t="n"/>
      <c r="C813" s="208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</row>
    <row r="814" ht="12.75" customHeight="1" s="203">
      <c r="A814" s="208" t="n"/>
      <c r="B814" s="208" t="n"/>
      <c r="C814" s="208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</row>
    <row r="815" ht="12.75" customHeight="1" s="203">
      <c r="A815" s="208" t="n"/>
      <c r="B815" s="208" t="n"/>
      <c r="C815" s="208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</row>
    <row r="816" ht="12.75" customHeight="1" s="203">
      <c r="A816" s="208" t="n"/>
      <c r="B816" s="208" t="n"/>
      <c r="C816" s="208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</row>
    <row r="817" ht="12.75" customHeight="1" s="203">
      <c r="A817" s="208" t="n"/>
      <c r="B817" s="208" t="n"/>
      <c r="C817" s="208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</row>
    <row r="818" ht="12.75" customHeight="1" s="203">
      <c r="A818" s="208" t="n"/>
      <c r="B818" s="208" t="n"/>
      <c r="C818" s="208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</row>
    <row r="819" ht="12.75" customHeight="1" s="203">
      <c r="A819" s="208" t="n"/>
      <c r="B819" s="208" t="n"/>
      <c r="C819" s="208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</row>
    <row r="820" ht="12.75" customHeight="1" s="203">
      <c r="A820" s="208" t="n"/>
      <c r="B820" s="208" t="n"/>
      <c r="C820" s="208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</row>
    <row r="821" ht="12.75" customHeight="1" s="203">
      <c r="A821" s="208" t="n"/>
      <c r="B821" s="208" t="n"/>
      <c r="C821" s="208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</row>
    <row r="822" ht="12.75" customHeight="1" s="203">
      <c r="A822" s="208" t="n"/>
      <c r="B822" s="208" t="n"/>
      <c r="C822" s="208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</row>
    <row r="823" ht="12.75" customHeight="1" s="203">
      <c r="A823" s="208" t="n"/>
      <c r="B823" s="208" t="n"/>
      <c r="C823" s="208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</row>
    <row r="824" ht="12.75" customHeight="1" s="203">
      <c r="A824" s="208" t="n"/>
      <c r="B824" s="208" t="n"/>
      <c r="C824" s="208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</row>
    <row r="825" ht="12.75" customHeight="1" s="203">
      <c r="A825" s="208" t="n"/>
      <c r="B825" s="208" t="n"/>
      <c r="C825" s="208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</row>
    <row r="826" ht="12.75" customHeight="1" s="203">
      <c r="A826" s="208" t="n"/>
      <c r="B826" s="208" t="n"/>
      <c r="C826" s="208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</row>
    <row r="827" ht="12.75" customHeight="1" s="203">
      <c r="A827" s="208" t="n"/>
      <c r="B827" s="208" t="n"/>
      <c r="C827" s="208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</row>
    <row r="828" ht="12.75" customHeight="1" s="203">
      <c r="A828" s="208" t="n"/>
      <c r="B828" s="208" t="n"/>
      <c r="C828" s="208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</row>
    <row r="829" ht="12.75" customHeight="1" s="203">
      <c r="A829" s="208" t="n"/>
      <c r="B829" s="208" t="n"/>
      <c r="C829" s="208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</row>
    <row r="830" ht="12.75" customHeight="1" s="203">
      <c r="A830" s="208" t="n"/>
      <c r="B830" s="208" t="n"/>
      <c r="C830" s="208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</row>
    <row r="831" ht="12.75" customHeight="1" s="203">
      <c r="A831" s="208" t="n"/>
      <c r="B831" s="208" t="n"/>
      <c r="C831" s="208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</row>
    <row r="832" ht="12.75" customHeight="1" s="203">
      <c r="A832" s="208" t="n"/>
      <c r="B832" s="208" t="n"/>
      <c r="C832" s="208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</row>
    <row r="833" ht="12.75" customHeight="1" s="203">
      <c r="A833" s="208" t="n"/>
      <c r="B833" s="208" t="n"/>
      <c r="C833" s="208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</row>
    <row r="834" ht="12.75" customHeight="1" s="203">
      <c r="A834" s="208" t="n"/>
      <c r="B834" s="208" t="n"/>
      <c r="C834" s="208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</row>
    <row r="835" ht="12.75" customHeight="1" s="203">
      <c r="A835" s="208" t="n"/>
      <c r="B835" s="208" t="n"/>
      <c r="C835" s="208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</row>
    <row r="836" ht="12.75" customHeight="1" s="203">
      <c r="A836" s="208" t="n"/>
      <c r="B836" s="208" t="n"/>
      <c r="C836" s="208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</row>
    <row r="837" ht="12.75" customHeight="1" s="203">
      <c r="A837" s="208" t="n"/>
      <c r="B837" s="208" t="n"/>
      <c r="C837" s="208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</row>
    <row r="838" ht="12.75" customHeight="1" s="203">
      <c r="A838" s="208" t="n"/>
      <c r="B838" s="208" t="n"/>
      <c r="C838" s="208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</row>
    <row r="839" ht="12.75" customHeight="1" s="203">
      <c r="A839" s="208" t="n"/>
      <c r="B839" s="208" t="n"/>
      <c r="C839" s="208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</row>
    <row r="840" ht="12.75" customHeight="1" s="203">
      <c r="A840" s="208" t="n"/>
      <c r="B840" s="208" t="n"/>
      <c r="C840" s="208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</row>
    <row r="841" ht="12.75" customHeight="1" s="203">
      <c r="A841" s="208" t="n"/>
      <c r="B841" s="208" t="n"/>
      <c r="C841" s="208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</row>
    <row r="842" ht="12.75" customHeight="1" s="203">
      <c r="A842" s="208" t="n"/>
      <c r="B842" s="208" t="n"/>
      <c r="C842" s="208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</row>
    <row r="843" ht="12.75" customHeight="1" s="203">
      <c r="A843" s="208" t="n"/>
      <c r="B843" s="208" t="n"/>
      <c r="C843" s="208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</row>
    <row r="844" ht="12.75" customHeight="1" s="203">
      <c r="A844" s="208" t="n"/>
      <c r="B844" s="208" t="n"/>
      <c r="C844" s="208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</row>
    <row r="845" ht="12.75" customHeight="1" s="203">
      <c r="A845" s="208" t="n"/>
      <c r="B845" s="208" t="n"/>
      <c r="C845" s="208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</row>
    <row r="846" ht="12.75" customHeight="1" s="203">
      <c r="A846" s="208" t="n"/>
      <c r="B846" s="208" t="n"/>
      <c r="C846" s="208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</row>
    <row r="847" ht="12.75" customHeight="1" s="203">
      <c r="A847" s="208" t="n"/>
      <c r="B847" s="208" t="n"/>
      <c r="C847" s="208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</row>
    <row r="848" ht="12.75" customHeight="1" s="203">
      <c r="A848" s="208" t="n"/>
      <c r="B848" s="208" t="n"/>
      <c r="C848" s="208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</row>
    <row r="849" ht="12.75" customHeight="1" s="203">
      <c r="A849" s="208" t="n"/>
      <c r="B849" s="208" t="n"/>
      <c r="C849" s="208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</row>
    <row r="850" ht="12.75" customHeight="1" s="203">
      <c r="A850" s="208" t="n"/>
      <c r="B850" s="208" t="n"/>
      <c r="C850" s="208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</row>
    <row r="851" ht="12.75" customHeight="1" s="203">
      <c r="A851" s="208" t="n"/>
      <c r="B851" s="208" t="n"/>
      <c r="C851" s="208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</row>
    <row r="852" ht="12.75" customHeight="1" s="203">
      <c r="A852" s="208" t="n"/>
      <c r="B852" s="208" t="n"/>
      <c r="C852" s="208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</row>
    <row r="853" ht="12.75" customHeight="1" s="203">
      <c r="A853" s="208" t="n"/>
      <c r="B853" s="208" t="n"/>
      <c r="C853" s="208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</row>
    <row r="854" ht="12.75" customHeight="1" s="203">
      <c r="A854" s="208" t="n"/>
      <c r="B854" s="208" t="n"/>
      <c r="C854" s="208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</row>
    <row r="855" ht="12.75" customHeight="1" s="203">
      <c r="A855" s="208" t="n"/>
      <c r="B855" s="208" t="n"/>
      <c r="C855" s="208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</row>
    <row r="856" ht="12.75" customHeight="1" s="203">
      <c r="A856" s="208" t="n"/>
      <c r="B856" s="208" t="n"/>
      <c r="C856" s="208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</row>
    <row r="857" ht="12.75" customHeight="1" s="203">
      <c r="A857" s="208" t="n"/>
      <c r="B857" s="208" t="n"/>
      <c r="C857" s="208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</row>
    <row r="858" ht="12.75" customHeight="1" s="203">
      <c r="A858" s="208" t="n"/>
      <c r="B858" s="208" t="n"/>
      <c r="C858" s="208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</row>
    <row r="859" ht="12.75" customHeight="1" s="203">
      <c r="A859" s="208" t="n"/>
      <c r="B859" s="208" t="n"/>
      <c r="C859" s="208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</row>
    <row r="860" ht="12.75" customHeight="1" s="203">
      <c r="A860" s="208" t="n"/>
      <c r="B860" s="208" t="n"/>
      <c r="C860" s="208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</row>
    <row r="861" ht="12.75" customHeight="1" s="203">
      <c r="A861" s="208" t="n"/>
      <c r="B861" s="208" t="n"/>
      <c r="C861" s="208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</row>
    <row r="862" ht="12.75" customHeight="1" s="203">
      <c r="A862" s="208" t="n"/>
      <c r="B862" s="208" t="n"/>
      <c r="C862" s="208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</row>
    <row r="863" ht="12.75" customHeight="1" s="203">
      <c r="A863" s="208" t="n"/>
      <c r="B863" s="208" t="n"/>
      <c r="C863" s="208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</row>
    <row r="864" ht="12.75" customHeight="1" s="203">
      <c r="A864" s="208" t="n"/>
      <c r="B864" s="208" t="n"/>
      <c r="C864" s="208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</row>
    <row r="865" ht="12.75" customHeight="1" s="203">
      <c r="A865" s="208" t="n"/>
      <c r="B865" s="208" t="n"/>
      <c r="C865" s="208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</row>
    <row r="866" ht="12.75" customHeight="1" s="203">
      <c r="A866" s="208" t="n"/>
      <c r="B866" s="208" t="n"/>
      <c r="C866" s="208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</row>
    <row r="867" ht="12.75" customHeight="1" s="203">
      <c r="A867" s="208" t="n"/>
      <c r="B867" s="208" t="n"/>
      <c r="C867" s="208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</row>
    <row r="868" ht="12.75" customHeight="1" s="203">
      <c r="A868" s="208" t="n"/>
      <c r="B868" s="208" t="n"/>
      <c r="C868" s="208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</row>
    <row r="869" ht="12.75" customHeight="1" s="203">
      <c r="A869" s="208" t="n"/>
      <c r="B869" s="208" t="n"/>
      <c r="C869" s="208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</row>
    <row r="870" ht="12.75" customHeight="1" s="203">
      <c r="A870" s="208" t="n"/>
      <c r="B870" s="208" t="n"/>
      <c r="C870" s="208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</row>
    <row r="871" ht="12.75" customHeight="1" s="203">
      <c r="A871" s="208" t="n"/>
      <c r="B871" s="208" t="n"/>
      <c r="C871" s="208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</row>
    <row r="872" ht="12.75" customHeight="1" s="203">
      <c r="A872" s="208" t="n"/>
      <c r="B872" s="208" t="n"/>
      <c r="C872" s="208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</row>
    <row r="873" ht="12.75" customHeight="1" s="203">
      <c r="A873" s="208" t="n"/>
      <c r="B873" s="208" t="n"/>
      <c r="C873" s="208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</row>
    <row r="874" ht="12.75" customHeight="1" s="203">
      <c r="A874" s="208" t="n"/>
      <c r="B874" s="208" t="n"/>
      <c r="C874" s="208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</row>
    <row r="875" ht="12.75" customHeight="1" s="203">
      <c r="A875" s="208" t="n"/>
      <c r="B875" s="208" t="n"/>
      <c r="C875" s="208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</row>
    <row r="876" ht="12.75" customHeight="1" s="203">
      <c r="A876" s="208" t="n"/>
      <c r="B876" s="208" t="n"/>
      <c r="C876" s="208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</row>
    <row r="877" ht="12.75" customHeight="1" s="203">
      <c r="A877" s="208" t="n"/>
      <c r="B877" s="208" t="n"/>
      <c r="C877" s="208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</row>
    <row r="878" ht="12.75" customHeight="1" s="203">
      <c r="A878" s="208" t="n"/>
      <c r="B878" s="208" t="n"/>
      <c r="C878" s="208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</row>
    <row r="879" ht="12.75" customHeight="1" s="203">
      <c r="A879" s="208" t="n"/>
      <c r="B879" s="208" t="n"/>
      <c r="C879" s="208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</row>
    <row r="880" ht="12.75" customHeight="1" s="203">
      <c r="A880" s="208" t="n"/>
      <c r="B880" s="208" t="n"/>
      <c r="C880" s="208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</row>
    <row r="881" ht="12.75" customHeight="1" s="203">
      <c r="A881" s="208" t="n"/>
      <c r="B881" s="208" t="n"/>
      <c r="C881" s="208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</row>
    <row r="882" ht="12.75" customHeight="1" s="203">
      <c r="A882" s="208" t="n"/>
      <c r="B882" s="208" t="n"/>
      <c r="C882" s="208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</row>
    <row r="883" ht="12.75" customHeight="1" s="203">
      <c r="A883" s="208" t="n"/>
      <c r="B883" s="208" t="n"/>
      <c r="C883" s="208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</row>
    <row r="884" ht="12.75" customHeight="1" s="203">
      <c r="A884" s="208" t="n"/>
      <c r="B884" s="208" t="n"/>
      <c r="C884" s="208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</row>
    <row r="885" ht="12.75" customHeight="1" s="203">
      <c r="A885" s="208" t="n"/>
      <c r="B885" s="208" t="n"/>
      <c r="C885" s="208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</row>
    <row r="886" ht="12.75" customHeight="1" s="203">
      <c r="A886" s="208" t="n"/>
      <c r="B886" s="208" t="n"/>
      <c r="C886" s="208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</row>
    <row r="887" ht="12.75" customHeight="1" s="203">
      <c r="A887" s="208" t="n"/>
      <c r="B887" s="208" t="n"/>
      <c r="C887" s="208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</row>
    <row r="888" ht="12.75" customHeight="1" s="203">
      <c r="A888" s="208" t="n"/>
      <c r="B888" s="208" t="n"/>
      <c r="C888" s="208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</row>
    <row r="889" ht="12.75" customHeight="1" s="203">
      <c r="A889" s="208" t="n"/>
      <c r="B889" s="208" t="n"/>
      <c r="C889" s="208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</row>
    <row r="890" ht="12.75" customHeight="1" s="203">
      <c r="A890" s="208" t="n"/>
      <c r="B890" s="208" t="n"/>
      <c r="C890" s="208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</row>
    <row r="891" ht="12.75" customHeight="1" s="203">
      <c r="A891" s="208" t="n"/>
      <c r="B891" s="208" t="n"/>
      <c r="C891" s="208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</row>
    <row r="892" ht="12.75" customHeight="1" s="203">
      <c r="A892" s="208" t="n"/>
      <c r="B892" s="208" t="n"/>
      <c r="C892" s="208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</row>
    <row r="893" ht="12.75" customHeight="1" s="203">
      <c r="A893" s="208" t="n"/>
      <c r="B893" s="208" t="n"/>
      <c r="C893" s="208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</row>
    <row r="894" ht="12.75" customHeight="1" s="203">
      <c r="A894" s="208" t="n"/>
      <c r="B894" s="208" t="n"/>
      <c r="C894" s="208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</row>
    <row r="895" ht="12.75" customHeight="1" s="203">
      <c r="A895" s="208" t="n"/>
      <c r="B895" s="208" t="n"/>
      <c r="C895" s="208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</row>
    <row r="896" ht="12.75" customHeight="1" s="203">
      <c r="A896" s="208" t="n"/>
      <c r="B896" s="208" t="n"/>
      <c r="C896" s="208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</row>
    <row r="897" ht="12.75" customHeight="1" s="203">
      <c r="A897" s="208" t="n"/>
      <c r="B897" s="208" t="n"/>
      <c r="C897" s="208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</row>
    <row r="898" ht="12.75" customHeight="1" s="203">
      <c r="A898" s="208" t="n"/>
      <c r="B898" s="208" t="n"/>
      <c r="C898" s="208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</row>
    <row r="899" ht="12.75" customHeight="1" s="203">
      <c r="A899" s="208" t="n"/>
      <c r="B899" s="208" t="n"/>
      <c r="C899" s="208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</row>
    <row r="900" ht="12.75" customHeight="1" s="203">
      <c r="A900" s="208" t="n"/>
      <c r="B900" s="208" t="n"/>
      <c r="C900" s="208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</row>
    <row r="901" ht="12.75" customHeight="1" s="203">
      <c r="A901" s="208" t="n"/>
      <c r="B901" s="208" t="n"/>
      <c r="C901" s="208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</row>
    <row r="902" ht="12.75" customHeight="1" s="203">
      <c r="A902" s="208" t="n"/>
      <c r="B902" s="208" t="n"/>
      <c r="C902" s="208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</row>
    <row r="903" ht="12.75" customHeight="1" s="203">
      <c r="A903" s="208" t="n"/>
      <c r="B903" s="208" t="n"/>
      <c r="C903" s="208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</row>
    <row r="904" ht="12.75" customHeight="1" s="203">
      <c r="A904" s="208" t="n"/>
      <c r="B904" s="208" t="n"/>
      <c r="C904" s="208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</row>
    <row r="905" ht="12.75" customHeight="1" s="203">
      <c r="A905" s="208" t="n"/>
      <c r="B905" s="208" t="n"/>
      <c r="C905" s="208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</row>
    <row r="906" ht="12.75" customHeight="1" s="203">
      <c r="A906" s="208" t="n"/>
      <c r="B906" s="208" t="n"/>
      <c r="C906" s="208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</row>
    <row r="907" ht="12.75" customHeight="1" s="203">
      <c r="A907" s="208" t="n"/>
      <c r="B907" s="208" t="n"/>
      <c r="C907" s="208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</row>
    <row r="908" ht="12.75" customHeight="1" s="203">
      <c r="A908" s="208" t="n"/>
      <c r="B908" s="208" t="n"/>
      <c r="C908" s="208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</row>
    <row r="909" ht="12.75" customHeight="1" s="203">
      <c r="A909" s="208" t="n"/>
      <c r="B909" s="208" t="n"/>
      <c r="C909" s="208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</row>
    <row r="910" ht="12.75" customHeight="1" s="203">
      <c r="A910" s="208" t="n"/>
      <c r="B910" s="208" t="n"/>
      <c r="C910" s="208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</row>
    <row r="911" ht="12.75" customHeight="1" s="203">
      <c r="A911" s="208" t="n"/>
      <c r="B911" s="208" t="n"/>
      <c r="C911" s="208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</row>
    <row r="912" ht="12.75" customHeight="1" s="203">
      <c r="A912" s="208" t="n"/>
      <c r="B912" s="208" t="n"/>
      <c r="C912" s="208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</row>
    <row r="913" ht="12.75" customHeight="1" s="203">
      <c r="A913" s="208" t="n"/>
      <c r="B913" s="208" t="n"/>
      <c r="C913" s="208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</row>
    <row r="914" ht="12.75" customHeight="1" s="203">
      <c r="A914" s="208" t="n"/>
      <c r="B914" s="208" t="n"/>
      <c r="C914" s="208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</row>
    <row r="915" ht="12.75" customHeight="1" s="203">
      <c r="A915" s="208" t="n"/>
      <c r="B915" s="208" t="n"/>
      <c r="C915" s="208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</row>
    <row r="916" ht="12.75" customHeight="1" s="203">
      <c r="A916" s="208" t="n"/>
      <c r="B916" s="208" t="n"/>
      <c r="C916" s="208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</row>
    <row r="917" ht="12.75" customHeight="1" s="203">
      <c r="A917" s="208" t="n"/>
      <c r="B917" s="208" t="n"/>
      <c r="C917" s="208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</row>
    <row r="918" ht="12.75" customHeight="1" s="203">
      <c r="A918" s="208" t="n"/>
      <c r="B918" s="208" t="n"/>
      <c r="C918" s="208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</row>
    <row r="919" ht="12.75" customHeight="1" s="203">
      <c r="A919" s="208" t="n"/>
      <c r="B919" s="208" t="n"/>
      <c r="C919" s="208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</row>
    <row r="920" ht="12.75" customHeight="1" s="203">
      <c r="A920" s="208" t="n"/>
      <c r="B920" s="208" t="n"/>
      <c r="C920" s="208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</row>
    <row r="921" ht="12.75" customHeight="1" s="203">
      <c r="A921" s="208" t="n"/>
      <c r="B921" s="208" t="n"/>
      <c r="C921" s="208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</row>
    <row r="922" ht="12.75" customHeight="1" s="203">
      <c r="A922" s="208" t="n"/>
      <c r="B922" s="208" t="n"/>
      <c r="C922" s="208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</row>
    <row r="923" ht="12.75" customHeight="1" s="203">
      <c r="A923" s="208" t="n"/>
      <c r="B923" s="208" t="n"/>
      <c r="C923" s="208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</row>
    <row r="924" ht="12.75" customHeight="1" s="203">
      <c r="A924" s="208" t="n"/>
      <c r="B924" s="208" t="n"/>
      <c r="C924" s="208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</row>
    <row r="925" ht="12.75" customHeight="1" s="203">
      <c r="A925" s="208" t="n"/>
      <c r="B925" s="208" t="n"/>
      <c r="C925" s="208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</row>
    <row r="926" ht="12.75" customHeight="1" s="203">
      <c r="A926" s="208" t="n"/>
      <c r="B926" s="208" t="n"/>
      <c r="C926" s="208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</row>
    <row r="927" ht="12.75" customHeight="1" s="203">
      <c r="A927" s="208" t="n"/>
      <c r="B927" s="208" t="n"/>
      <c r="C927" s="208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</row>
    <row r="928" ht="12.75" customHeight="1" s="203">
      <c r="A928" s="208" t="n"/>
      <c r="B928" s="208" t="n"/>
      <c r="C928" s="208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</row>
    <row r="929" ht="12.75" customHeight="1" s="203">
      <c r="A929" s="208" t="n"/>
      <c r="B929" s="208" t="n"/>
      <c r="C929" s="208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</row>
    <row r="930" ht="12.75" customHeight="1" s="203">
      <c r="A930" s="208" t="n"/>
      <c r="B930" s="208" t="n"/>
      <c r="C930" s="208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</row>
    <row r="931" ht="12.75" customHeight="1" s="203">
      <c r="A931" s="208" t="n"/>
      <c r="B931" s="208" t="n"/>
      <c r="C931" s="208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</row>
    <row r="932" ht="12.75" customHeight="1" s="203">
      <c r="A932" s="208" t="n"/>
      <c r="B932" s="208" t="n"/>
      <c r="C932" s="208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</row>
    <row r="933" ht="12.75" customHeight="1" s="203">
      <c r="A933" s="208" t="n"/>
      <c r="B933" s="208" t="n"/>
      <c r="C933" s="208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8" t="n"/>
    </row>
    <row r="934" ht="12.75" customHeight="1" s="203">
      <c r="A934" s="208" t="n"/>
      <c r="B934" s="208" t="n"/>
      <c r="C934" s="208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8" t="n"/>
    </row>
    <row r="935" ht="12.75" customHeight="1" s="203">
      <c r="A935" s="208" t="n"/>
      <c r="B935" s="208" t="n"/>
      <c r="C935" s="208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8" t="n"/>
    </row>
    <row r="936" ht="12.75" customHeight="1" s="203">
      <c r="A936" s="208" t="n"/>
      <c r="B936" s="208" t="n"/>
      <c r="C936" s="208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8" t="n"/>
    </row>
    <row r="937" ht="12.75" customHeight="1" s="203">
      <c r="A937" s="208" t="n"/>
      <c r="B937" s="208" t="n"/>
      <c r="C937" s="208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8" t="n"/>
    </row>
    <row r="938" ht="12.75" customHeight="1" s="203">
      <c r="A938" s="208" t="n"/>
      <c r="B938" s="208" t="n"/>
      <c r="C938" s="208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8" t="n"/>
    </row>
    <row r="939" ht="12.75" customHeight="1" s="203">
      <c r="A939" s="208" t="n"/>
      <c r="B939" s="208" t="n"/>
      <c r="C939" s="208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8" t="n"/>
    </row>
    <row r="940" ht="12.75" customHeight="1" s="203">
      <c r="A940" s="208" t="n"/>
      <c r="B940" s="208" t="n"/>
      <c r="C940" s="208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8" t="n"/>
    </row>
    <row r="941" ht="12.75" customHeight="1" s="203">
      <c r="A941" s="208" t="n"/>
      <c r="B941" s="208" t="n"/>
      <c r="C941" s="208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8" t="n"/>
    </row>
    <row r="942" ht="12.75" customHeight="1" s="203">
      <c r="A942" s="208" t="n"/>
      <c r="B942" s="208" t="n"/>
      <c r="C942" s="208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8" t="n"/>
    </row>
    <row r="943" ht="12.75" customHeight="1" s="203">
      <c r="A943" s="208" t="n"/>
      <c r="B943" s="208" t="n"/>
      <c r="C943" s="208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8" t="n"/>
    </row>
    <row r="944" ht="12.75" customHeight="1" s="203">
      <c r="A944" s="208" t="n"/>
      <c r="B944" s="208" t="n"/>
      <c r="C944" s="208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8" t="n"/>
    </row>
    <row r="945" ht="12.75" customHeight="1" s="203">
      <c r="A945" s="208" t="n"/>
      <c r="B945" s="208" t="n"/>
      <c r="C945" s="208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8" t="n"/>
    </row>
    <row r="946" ht="12.75" customHeight="1" s="203">
      <c r="A946" s="208" t="n"/>
      <c r="B946" s="208" t="n"/>
      <c r="C946" s="208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8" t="n"/>
    </row>
    <row r="947" ht="12.75" customHeight="1" s="203">
      <c r="A947" s="208" t="n"/>
      <c r="B947" s="208" t="n"/>
      <c r="C947" s="208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8" t="n"/>
    </row>
    <row r="948" ht="12.75" customHeight="1" s="203">
      <c r="A948" s="208" t="n"/>
      <c r="B948" s="208" t="n"/>
      <c r="C948" s="208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8" t="n"/>
    </row>
    <row r="949" ht="12.75" customHeight="1" s="203">
      <c r="A949" s="208" t="n"/>
      <c r="B949" s="208" t="n"/>
      <c r="C949" s="208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8" t="n"/>
    </row>
    <row r="950" ht="12.75" customHeight="1" s="203">
      <c r="A950" s="208" t="n"/>
      <c r="B950" s="208" t="n"/>
      <c r="C950" s="208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8" t="n"/>
    </row>
    <row r="951" ht="12.75" customHeight="1" s="203">
      <c r="A951" s="208" t="n"/>
      <c r="B951" s="208" t="n"/>
      <c r="C951" s="208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8" t="n"/>
    </row>
    <row r="952" ht="12.75" customHeight="1" s="203">
      <c r="A952" s="208" t="n"/>
      <c r="B952" s="208" t="n"/>
      <c r="C952" s="208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8" t="n"/>
    </row>
    <row r="953" ht="12.75" customHeight="1" s="203">
      <c r="A953" s="208" t="n"/>
      <c r="B953" s="208" t="n"/>
      <c r="C953" s="208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8" t="n"/>
    </row>
    <row r="954" ht="12.75" customHeight="1" s="203">
      <c r="A954" s="208" t="n"/>
      <c r="B954" s="208" t="n"/>
      <c r="C954" s="208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8" t="n"/>
    </row>
    <row r="955" ht="12.75" customHeight="1" s="203">
      <c r="A955" s="208" t="n"/>
      <c r="B955" s="208" t="n"/>
      <c r="C955" s="208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8" t="n"/>
    </row>
    <row r="956" ht="12.75" customHeight="1" s="203">
      <c r="A956" s="208" t="n"/>
      <c r="B956" s="208" t="n"/>
      <c r="C956" s="208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8" t="n"/>
    </row>
    <row r="957" ht="12.75" customHeight="1" s="203">
      <c r="A957" s="208" t="n"/>
      <c r="B957" s="208" t="n"/>
      <c r="C957" s="208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8" t="n"/>
    </row>
    <row r="958" ht="12.75" customHeight="1" s="203">
      <c r="A958" s="208" t="n"/>
      <c r="B958" s="208" t="n"/>
      <c r="C958" s="208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8" t="n"/>
    </row>
    <row r="959" ht="12.75" customHeight="1" s="203">
      <c r="A959" s="208" t="n"/>
      <c r="B959" s="208" t="n"/>
      <c r="C959" s="208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8" t="n"/>
    </row>
    <row r="960" ht="12.75" customHeight="1" s="203">
      <c r="A960" s="208" t="n"/>
      <c r="B960" s="208" t="n"/>
      <c r="C960" s="208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8" t="n"/>
    </row>
    <row r="961" ht="12.75" customHeight="1" s="203">
      <c r="A961" s="208" t="n"/>
      <c r="B961" s="208" t="n"/>
      <c r="C961" s="208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8" t="n"/>
    </row>
    <row r="962" ht="12.75" customHeight="1" s="203">
      <c r="A962" s="208" t="n"/>
      <c r="B962" s="208" t="n"/>
      <c r="C962" s="208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8" t="n"/>
    </row>
    <row r="963" ht="12.75" customHeight="1" s="203">
      <c r="A963" s="208" t="n"/>
      <c r="B963" s="208" t="n"/>
      <c r="C963" s="208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8" t="n"/>
    </row>
    <row r="964" ht="12.75" customHeight="1" s="203">
      <c r="A964" s="208" t="n"/>
      <c r="B964" s="208" t="n"/>
      <c r="C964" s="208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8" t="n"/>
    </row>
    <row r="965" ht="12.75" customHeight="1" s="203">
      <c r="A965" s="208" t="n"/>
      <c r="B965" s="208" t="n"/>
      <c r="C965" s="208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8" t="n"/>
    </row>
    <row r="966" ht="12.75" customHeight="1" s="203">
      <c r="A966" s="208" t="n"/>
      <c r="B966" s="208" t="n"/>
      <c r="C966" s="208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8" t="n"/>
    </row>
    <row r="967" ht="12.75" customHeight="1" s="203">
      <c r="A967" s="208" t="n"/>
      <c r="B967" s="208" t="n"/>
      <c r="C967" s="208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8" t="n"/>
    </row>
    <row r="968" ht="12.75" customHeight="1" s="203">
      <c r="A968" s="208" t="n"/>
      <c r="B968" s="208" t="n"/>
      <c r="C968" s="208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8" t="n"/>
    </row>
    <row r="969" ht="12.75" customHeight="1" s="203">
      <c r="A969" s="208" t="n"/>
      <c r="B969" s="208" t="n"/>
      <c r="C969" s="208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8" t="n"/>
    </row>
    <row r="970" ht="12.75" customHeight="1" s="203">
      <c r="A970" s="208" t="n"/>
      <c r="B970" s="208" t="n"/>
      <c r="C970" s="208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8" t="n"/>
    </row>
    <row r="971" ht="12.75" customHeight="1" s="203">
      <c r="A971" s="208" t="n"/>
      <c r="B971" s="208" t="n"/>
      <c r="C971" s="208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8" t="n"/>
    </row>
    <row r="972" ht="12.75" customHeight="1" s="203">
      <c r="A972" s="208" t="n"/>
      <c r="B972" s="208" t="n"/>
      <c r="C972" s="208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8" t="n"/>
    </row>
    <row r="973" ht="12.75" customHeight="1" s="203">
      <c r="A973" s="208" t="n"/>
      <c r="B973" s="208" t="n"/>
      <c r="C973" s="208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8" t="n"/>
    </row>
    <row r="974" ht="12.75" customHeight="1" s="203">
      <c r="A974" s="208" t="n"/>
      <c r="B974" s="208" t="n"/>
      <c r="C974" s="208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8" t="n"/>
    </row>
    <row r="975" ht="12.75" customHeight="1" s="203">
      <c r="A975" s="208" t="n"/>
      <c r="B975" s="208" t="n"/>
      <c r="C975" s="208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8" t="n"/>
    </row>
    <row r="976" ht="12.75" customHeight="1" s="203">
      <c r="A976" s="208" t="n"/>
      <c r="B976" s="208" t="n"/>
      <c r="C976" s="208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8" t="n"/>
    </row>
    <row r="977" ht="12.75" customHeight="1" s="203">
      <c r="A977" s="208" t="n"/>
      <c r="B977" s="208" t="n"/>
      <c r="C977" s="208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8" t="n"/>
    </row>
    <row r="978" ht="12.75" customHeight="1" s="203">
      <c r="A978" s="208" t="n"/>
      <c r="B978" s="208" t="n"/>
      <c r="C978" s="208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8" t="n"/>
    </row>
    <row r="979" ht="12.75" customHeight="1" s="203">
      <c r="A979" s="208" t="n"/>
      <c r="B979" s="208" t="n"/>
      <c r="C979" s="208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8" t="n"/>
    </row>
    <row r="980" ht="12.75" customHeight="1" s="203">
      <c r="A980" s="208" t="n"/>
      <c r="B980" s="208" t="n"/>
      <c r="C980" s="208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8" t="n"/>
    </row>
    <row r="981" ht="12.75" customHeight="1" s="203">
      <c r="A981" s="208" t="n"/>
      <c r="B981" s="208" t="n"/>
      <c r="C981" s="208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8" t="n"/>
    </row>
    <row r="982" ht="12.75" customHeight="1" s="203">
      <c r="A982" s="208" t="n"/>
      <c r="B982" s="208" t="n"/>
      <c r="C982" s="208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8" t="n"/>
    </row>
    <row r="983" ht="12.75" customHeight="1" s="203">
      <c r="A983" s="208" t="n"/>
      <c r="B983" s="208" t="n"/>
      <c r="C983" s="208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8" t="n"/>
    </row>
    <row r="984" ht="12.75" customHeight="1" s="203">
      <c r="A984" s="208" t="n"/>
      <c r="B984" s="208" t="n"/>
      <c r="C984" s="208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8" t="n"/>
    </row>
    <row r="985" ht="12.75" customHeight="1" s="203">
      <c r="A985" s="208" t="n"/>
      <c r="B985" s="208" t="n"/>
      <c r="C985" s="208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8" t="n"/>
    </row>
    <row r="986" ht="12.75" customHeight="1" s="203">
      <c r="A986" s="208" t="n"/>
      <c r="B986" s="208" t="n"/>
      <c r="C986" s="208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8" t="n"/>
    </row>
    <row r="987" ht="12.75" customHeight="1" s="203">
      <c r="A987" s="208" t="n"/>
      <c r="B987" s="208" t="n"/>
      <c r="C987" s="208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8" t="n"/>
    </row>
    <row r="988" ht="12.75" customHeight="1" s="203">
      <c r="A988" s="208" t="n"/>
      <c r="B988" s="208" t="n"/>
      <c r="C988" s="208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8" t="n"/>
    </row>
    <row r="989" ht="12.75" customHeight="1" s="203">
      <c r="A989" s="208" t="n"/>
      <c r="B989" s="208" t="n"/>
      <c r="C989" s="208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8" t="n"/>
    </row>
    <row r="990" ht="12.75" customHeight="1" s="203">
      <c r="A990" s="208" t="n"/>
      <c r="B990" s="208" t="n"/>
      <c r="C990" s="208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8" t="n"/>
    </row>
    <row r="991" ht="12.75" customHeight="1" s="203">
      <c r="A991" s="208" t="n"/>
      <c r="B991" s="208" t="n"/>
      <c r="C991" s="208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8" t="n"/>
    </row>
    <row r="992" ht="12.75" customHeight="1" s="203">
      <c r="A992" s="208" t="n"/>
      <c r="B992" s="208" t="n"/>
      <c r="C992" s="208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8" t="n"/>
    </row>
    <row r="993" ht="12.75" customHeight="1" s="203">
      <c r="A993" s="208" t="n"/>
      <c r="B993" s="208" t="n"/>
      <c r="C993" s="208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8" t="n"/>
    </row>
    <row r="994" ht="12.75" customHeight="1" s="203">
      <c r="A994" s="208" t="n"/>
      <c r="B994" s="208" t="n"/>
      <c r="C994" s="208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8" t="n"/>
    </row>
    <row r="995" ht="12.75" customHeight="1" s="203">
      <c r="A995" s="208" t="n"/>
      <c r="B995" s="208" t="n"/>
      <c r="C995" s="208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8" t="n"/>
    </row>
    <row r="996" ht="12.75" customHeight="1" s="203">
      <c r="A996" s="208" t="n"/>
      <c r="B996" s="208" t="n"/>
      <c r="C996" s="208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8" t="n"/>
    </row>
    <row r="997" ht="12.75" customHeight="1" s="203">
      <c r="A997" s="208" t="n"/>
      <c r="B997" s="208" t="n"/>
      <c r="C997" s="208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8" t="n"/>
    </row>
    <row r="998" ht="12.75" customHeight="1" s="203">
      <c r="A998" s="208" t="n"/>
      <c r="B998" s="208" t="n"/>
      <c r="C998" s="208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8" t="n"/>
    </row>
    <row r="999" ht="12.75" customHeight="1" s="203">
      <c r="A999" s="208" t="n"/>
      <c r="B999" s="208" t="n"/>
      <c r="C999" s="208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8" t="n"/>
    </row>
    <row r="1000" ht="12.75" customHeight="1" s="203">
      <c r="A1000" s="208" t="n"/>
      <c r="B1000" s="208" t="n"/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8" t="n"/>
    </row>
    <row r="1001" ht="12.75" customHeight="1" s="203">
      <c r="A1001" s="208" t="n"/>
      <c r="B1001" s="208" t="n"/>
      <c r="C1001" s="208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8" t="n"/>
    </row>
    <row r="1002" ht="12.75" customHeight="1" s="203">
      <c r="A1002" s="208" t="n"/>
      <c r="B1002" s="208" t="n"/>
      <c r="C1002" s="208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8" t="n"/>
    </row>
    <row r="1003" ht="12.75" customHeight="1" s="203">
      <c r="A1003" s="208" t="n"/>
      <c r="B1003" s="208" t="n"/>
      <c r="C1003" s="208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8" t="n"/>
    </row>
    <row r="1004" ht="12.75" customHeight="1" s="203">
      <c r="A1004" s="208" t="n"/>
      <c r="B1004" s="208" t="n"/>
      <c r="C1004" s="208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8" t="n"/>
    </row>
    <row r="1005" ht="12.75" customHeight="1" s="203">
      <c r="A1005" s="208" t="n"/>
      <c r="B1005" s="208" t="n"/>
      <c r="C1005" s="208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8" t="n"/>
    </row>
    <row r="1006" ht="12.75" customHeight="1" s="203">
      <c r="A1006" s="208" t="n"/>
      <c r="B1006" s="208" t="n"/>
      <c r="C1006" s="208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8" t="n"/>
    </row>
    <row r="1007" ht="12.75" customHeight="1" s="203">
      <c r="A1007" s="208" t="n"/>
      <c r="B1007" s="208" t="n"/>
      <c r="C1007" s="208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8" t="n"/>
    </row>
    <row r="1008" ht="12.75" customHeight="1" s="203">
      <c r="A1008" s="208" t="n"/>
      <c r="B1008" s="208" t="n"/>
      <c r="C1008" s="208" t="n"/>
      <c r="D1008" s="208" t="n"/>
      <c r="E1008" s="208" t="n"/>
      <c r="F1008" s="208" t="n"/>
      <c r="G1008" s="208" t="n"/>
      <c r="H1008" s="208" t="n"/>
      <c r="I1008" s="208" t="n"/>
      <c r="J1008" s="208" t="n"/>
      <c r="K1008" s="208" t="n"/>
      <c r="L1008" s="208" t="n"/>
      <c r="M1008" s="208" t="n"/>
      <c r="N1008" s="208" t="n"/>
      <c r="O1008" s="208" t="n"/>
      <c r="P1008" s="208" t="n"/>
      <c r="Q1008" s="208" t="n"/>
      <c r="R1008" s="208" t="n"/>
    </row>
    <row r="1009" ht="12.75" customHeight="1" s="203">
      <c r="A1009" s="208" t="n"/>
      <c r="B1009" s="208" t="n"/>
      <c r="C1009" s="208" t="n"/>
      <c r="D1009" s="208" t="n"/>
      <c r="E1009" s="208" t="n"/>
      <c r="F1009" s="208" t="n"/>
      <c r="G1009" s="208" t="n"/>
      <c r="H1009" s="208" t="n"/>
      <c r="I1009" s="208" t="n"/>
      <c r="J1009" s="208" t="n"/>
      <c r="K1009" s="208" t="n"/>
      <c r="L1009" s="208" t="n"/>
      <c r="M1009" s="208" t="n"/>
      <c r="N1009" s="208" t="n"/>
      <c r="O1009" s="208" t="n"/>
      <c r="P1009" s="208" t="n"/>
      <c r="Q1009" s="208" t="n"/>
      <c r="R1009" s="208" t="n"/>
    </row>
    <row r="1010" ht="12.75" customHeight="1" s="203">
      <c r="A1010" s="208" t="n"/>
      <c r="B1010" s="208" t="n"/>
      <c r="C1010" s="208" t="n"/>
      <c r="D1010" s="208" t="n"/>
      <c r="E1010" s="208" t="n"/>
      <c r="F1010" s="208" t="n"/>
      <c r="G1010" s="208" t="n"/>
      <c r="H1010" s="208" t="n"/>
      <c r="I1010" s="208" t="n"/>
      <c r="J1010" s="208" t="n"/>
      <c r="K1010" s="208" t="n"/>
      <c r="L1010" s="208" t="n"/>
      <c r="M1010" s="208" t="n"/>
      <c r="N1010" s="208" t="n"/>
      <c r="O1010" s="208" t="n"/>
      <c r="P1010" s="208" t="n"/>
      <c r="Q1010" s="208" t="n"/>
      <c r="R1010" s="208" t="n"/>
    </row>
    <row r="1011" ht="12.75" customHeight="1" s="203">
      <c r="A1011" s="208" t="n"/>
      <c r="B1011" s="208" t="n"/>
      <c r="C1011" s="208" t="n"/>
      <c r="D1011" s="208" t="n"/>
      <c r="E1011" s="208" t="n"/>
      <c r="F1011" s="208" t="n"/>
      <c r="G1011" s="208" t="n"/>
      <c r="H1011" s="208" t="n"/>
      <c r="I1011" s="208" t="n"/>
      <c r="J1011" s="208" t="n"/>
      <c r="K1011" s="208" t="n"/>
      <c r="L1011" s="208" t="n"/>
      <c r="M1011" s="208" t="n"/>
      <c r="N1011" s="208" t="n"/>
      <c r="O1011" s="208" t="n"/>
      <c r="P1011" s="208" t="n"/>
      <c r="Q1011" s="208" t="n"/>
      <c r="R1011" s="208" t="n"/>
    </row>
    <row r="1012" ht="12.75" customHeight="1" s="203">
      <c r="A1012" s="208" t="n"/>
      <c r="B1012" s="208" t="n"/>
      <c r="C1012" s="208" t="n"/>
      <c r="D1012" s="208" t="n"/>
      <c r="E1012" s="208" t="n"/>
      <c r="F1012" s="208" t="n"/>
      <c r="G1012" s="208" t="n"/>
      <c r="H1012" s="208" t="n"/>
      <c r="I1012" s="208" t="n"/>
      <c r="J1012" s="208" t="n"/>
      <c r="K1012" s="208" t="n"/>
      <c r="L1012" s="208" t="n"/>
      <c r="M1012" s="208" t="n"/>
      <c r="N1012" s="208" t="n"/>
      <c r="O1012" s="208" t="n"/>
      <c r="P1012" s="208" t="n"/>
      <c r="Q1012" s="208" t="n"/>
      <c r="R1012" s="208" t="n"/>
    </row>
    <row r="1013" ht="12.75" customHeight="1" s="203">
      <c r="A1013" s="208" t="n"/>
      <c r="B1013" s="208" t="n"/>
      <c r="C1013" s="208" t="n"/>
      <c r="D1013" s="208" t="n"/>
      <c r="E1013" s="208" t="n"/>
      <c r="F1013" s="208" t="n"/>
      <c r="G1013" s="208" t="n"/>
      <c r="H1013" s="208" t="n"/>
      <c r="I1013" s="208" t="n"/>
      <c r="J1013" s="208" t="n"/>
      <c r="K1013" s="208" t="n"/>
      <c r="L1013" s="208" t="n"/>
      <c r="M1013" s="208" t="n"/>
      <c r="N1013" s="208" t="n"/>
      <c r="O1013" s="208" t="n"/>
      <c r="P1013" s="208" t="n"/>
      <c r="Q1013" s="208" t="n"/>
      <c r="R1013" s="208" t="n"/>
    </row>
    <row r="1014" ht="12.75" customHeight="1" s="203">
      <c r="A1014" s="208" t="n"/>
      <c r="B1014" s="208" t="n"/>
      <c r="C1014" s="208" t="n"/>
      <c r="D1014" s="208" t="n"/>
      <c r="E1014" s="208" t="n"/>
      <c r="F1014" s="208" t="n"/>
      <c r="G1014" s="208" t="n"/>
      <c r="H1014" s="208" t="n"/>
      <c r="I1014" s="208" t="n"/>
      <c r="J1014" s="208" t="n"/>
      <c r="K1014" s="208" t="n"/>
      <c r="L1014" s="208" t="n"/>
      <c r="M1014" s="208" t="n"/>
      <c r="N1014" s="208" t="n"/>
      <c r="O1014" s="208" t="n"/>
      <c r="P1014" s="208" t="n"/>
      <c r="Q1014" s="208" t="n"/>
      <c r="R1014" s="208" t="n"/>
    </row>
    <row r="1015" ht="12.75" customHeight="1" s="203">
      <c r="A1015" s="208" t="n"/>
      <c r="B1015" s="208" t="n"/>
      <c r="C1015" s="208" t="n"/>
      <c r="D1015" s="208" t="n"/>
      <c r="E1015" s="208" t="n"/>
      <c r="F1015" s="208" t="n"/>
      <c r="G1015" s="208" t="n"/>
      <c r="H1015" s="208" t="n"/>
      <c r="I1015" s="208" t="n"/>
      <c r="J1015" s="208" t="n"/>
      <c r="K1015" s="208" t="n"/>
      <c r="L1015" s="208" t="n"/>
      <c r="M1015" s="208" t="n"/>
      <c r="N1015" s="208" t="n"/>
      <c r="O1015" s="208" t="n"/>
      <c r="P1015" s="208" t="n"/>
      <c r="Q1015" s="208" t="n"/>
      <c r="R1015" s="208" t="n"/>
    </row>
    <row r="1016" ht="12.75" customHeight="1" s="203">
      <c r="A1016" s="208" t="n"/>
      <c r="B1016" s="208" t="n"/>
      <c r="C1016" s="208" t="n"/>
      <c r="D1016" s="208" t="n"/>
      <c r="E1016" s="208" t="n"/>
      <c r="F1016" s="208" t="n"/>
      <c r="G1016" s="208" t="n"/>
      <c r="H1016" s="208" t="n"/>
      <c r="I1016" s="208" t="n"/>
      <c r="J1016" s="208" t="n"/>
      <c r="K1016" s="208" t="n"/>
      <c r="L1016" s="208" t="n"/>
      <c r="M1016" s="208" t="n"/>
      <c r="N1016" s="208" t="n"/>
      <c r="O1016" s="208" t="n"/>
      <c r="P1016" s="208" t="n"/>
      <c r="Q1016" s="208" t="n"/>
      <c r="R1016" s="208" t="n"/>
    </row>
    <row r="1017" ht="12.75" customHeight="1" s="203">
      <c r="A1017" s="208" t="n"/>
      <c r="B1017" s="208" t="n"/>
      <c r="C1017" s="208" t="n"/>
      <c r="D1017" s="208" t="n"/>
      <c r="E1017" s="208" t="n"/>
      <c r="F1017" s="208" t="n"/>
      <c r="G1017" s="208" t="n"/>
      <c r="H1017" s="208" t="n"/>
      <c r="I1017" s="208" t="n"/>
      <c r="J1017" s="208" t="n"/>
      <c r="K1017" s="208" t="n"/>
      <c r="L1017" s="208" t="n"/>
      <c r="M1017" s="208" t="n"/>
      <c r="N1017" s="208" t="n"/>
      <c r="O1017" s="208" t="n"/>
      <c r="P1017" s="208" t="n"/>
      <c r="Q1017" s="208" t="n"/>
      <c r="R1017" s="208" t="n"/>
    </row>
    <row r="1018" ht="12.75" customHeight="1" s="203">
      <c r="A1018" s="208" t="n"/>
      <c r="B1018" s="208" t="n"/>
      <c r="C1018" s="208" t="n"/>
      <c r="D1018" s="208" t="n"/>
      <c r="E1018" s="208" t="n"/>
      <c r="F1018" s="208" t="n"/>
      <c r="G1018" s="208" t="n"/>
      <c r="H1018" s="208" t="n"/>
      <c r="I1018" s="208" t="n"/>
      <c r="J1018" s="208" t="n"/>
      <c r="K1018" s="208" t="n"/>
      <c r="L1018" s="208" t="n"/>
      <c r="M1018" s="208" t="n"/>
      <c r="N1018" s="208" t="n"/>
      <c r="O1018" s="208" t="n"/>
      <c r="P1018" s="208" t="n"/>
      <c r="Q1018" s="208" t="n"/>
      <c r="R1018" s="208" t="n"/>
    </row>
    <row r="1019" ht="12.75" customHeight="1" s="203">
      <c r="A1019" s="208" t="n"/>
      <c r="B1019" s="208" t="n"/>
      <c r="C1019" s="208" t="n"/>
      <c r="D1019" s="208" t="n"/>
      <c r="E1019" s="208" t="n"/>
      <c r="F1019" s="208" t="n"/>
      <c r="G1019" s="208" t="n"/>
      <c r="H1019" s="208" t="n"/>
      <c r="I1019" s="208" t="n"/>
      <c r="J1019" s="208" t="n"/>
      <c r="K1019" s="208" t="n"/>
      <c r="L1019" s="208" t="n"/>
      <c r="M1019" s="208" t="n"/>
      <c r="N1019" s="208" t="n"/>
      <c r="O1019" s="208" t="n"/>
      <c r="P1019" s="208" t="n"/>
      <c r="Q1019" s="208" t="n"/>
      <c r="R1019" s="208" t="n"/>
    </row>
    <row r="1020" ht="12.75" customHeight="1" s="203">
      <c r="A1020" s="208" t="n"/>
      <c r="B1020" s="208" t="n"/>
      <c r="C1020" s="208" t="n"/>
      <c r="D1020" s="208" t="n"/>
      <c r="E1020" s="208" t="n"/>
      <c r="F1020" s="208" t="n"/>
      <c r="G1020" s="208" t="n"/>
      <c r="H1020" s="208" t="n"/>
      <c r="I1020" s="208" t="n"/>
      <c r="J1020" s="208" t="n"/>
      <c r="K1020" s="208" t="n"/>
      <c r="L1020" s="208" t="n"/>
      <c r="M1020" s="208" t="n"/>
      <c r="N1020" s="208" t="n"/>
      <c r="O1020" s="208" t="n"/>
      <c r="P1020" s="208" t="n"/>
      <c r="Q1020" s="208" t="n"/>
      <c r="R1020" s="208" t="n"/>
    </row>
    <row r="1021" ht="12.75" customHeight="1" s="203">
      <c r="A1021" s="208" t="n"/>
      <c r="B1021" s="208" t="n"/>
      <c r="C1021" s="208" t="n"/>
      <c r="D1021" s="208" t="n"/>
      <c r="E1021" s="208" t="n"/>
      <c r="F1021" s="208" t="n"/>
      <c r="G1021" s="208" t="n"/>
      <c r="H1021" s="208" t="n"/>
      <c r="I1021" s="208" t="n"/>
      <c r="J1021" s="208" t="n"/>
      <c r="K1021" s="208" t="n"/>
      <c r="L1021" s="208" t="n"/>
      <c r="M1021" s="208" t="n"/>
      <c r="N1021" s="208" t="n"/>
      <c r="O1021" s="208" t="n"/>
      <c r="P1021" s="208" t="n"/>
      <c r="Q1021" s="208" t="n"/>
      <c r="R1021" s="208" t="n"/>
    </row>
    <row r="1022" ht="12.75" customHeight="1" s="203">
      <c r="A1022" s="208" t="n"/>
      <c r="B1022" s="208" t="n"/>
      <c r="C1022" s="208" t="n"/>
      <c r="D1022" s="208" t="n"/>
      <c r="E1022" s="208" t="n"/>
      <c r="F1022" s="208" t="n"/>
      <c r="G1022" s="208" t="n"/>
      <c r="H1022" s="208" t="n"/>
      <c r="I1022" s="208" t="n"/>
      <c r="J1022" s="208" t="n"/>
      <c r="K1022" s="208" t="n"/>
      <c r="L1022" s="208" t="n"/>
      <c r="M1022" s="208" t="n"/>
      <c r="N1022" s="208" t="n"/>
      <c r="O1022" s="208" t="n"/>
      <c r="P1022" s="208" t="n"/>
      <c r="Q1022" s="208" t="n"/>
      <c r="R1022" s="208" t="n"/>
    </row>
    <row r="1023" ht="12.75" customHeight="1" s="203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8" customWidth="1" style="203" min="3" max="3"/>
    <col width="12" customWidth="1" style="203" min="4" max="4"/>
    <col width="36" customWidth="1" style="203" min="5" max="5"/>
    <col width="10" customWidth="1" style="203" min="6" max="6"/>
    <col width="14" customWidth="1" style="203" min="7" max="7"/>
    <col width="10" customWidth="1" style="203" min="8" max="8"/>
    <col width="10" customWidth="1" style="203" min="9" max="9"/>
    <col width="8" customWidth="1" style="203" min="12" max="12"/>
    <col width="12" customWidth="1" style="203" min="13" max="13"/>
    <col width="14" customWidth="1" style="203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SUM('계좌현황'!K9:K85)</f>
        <v/>
      </c>
      <c r="C3" t="inlineStr">
        <is>
          <t>종목수</t>
        </is>
      </c>
      <c r="D3" s="280">
        <f>COUNTA('계좌현황'!E9:E85)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COUNTIF('계좌현황'!A9:A85,A7)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COUNTIF('계좌현황'!A9:A85,A8)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COUNTIF('계좌현황'!A9:A85,A9)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COUNTIF('계좌현황'!A9:A85,A10)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COUNTIF('계좌현황'!A9:A85,A11)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COUNTIF('계좌현황'!A9:A85,A12)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COUNTIF('계좌현황'!A9:A85,A13)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COUNTIF('계좌현황'!A9:A85,A14)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COUNTIF('계좌현황'!A9:A85,A15)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COUNTIF('계좌현황'!A9:A85,A16)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3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IFERROR(INDEX('계좌현황'!A:A,INDEX($L$21:$L$97,MATCH(LARGE($N$21:$N$97,1),$N$21:$N$97,0))),"")</f>
        <v/>
      </c>
      <c r="C21" s="282">
        <f>IFERROR(INDEX('계좌현황'!C:C,INDEX($L$21:$L$97,MATCH(LARGE($N$21:$N$97,1),$N$21:$N$97,0))),"")</f>
        <v/>
      </c>
      <c r="D21" s="282">
        <f>IFERROR(INDEX('계좌현황'!D:D,INDEX($L$21:$L$97,MATCH(LARGE($N$21:$N$97,1),$N$21:$N$97,0))),"")</f>
        <v/>
      </c>
      <c r="E21" s="282">
        <f>IFERROR(INDEX('계좌현황'!E:E,INDEX($L$21:$L$97,MATCH(LARGE($N$21:$N$97,1),$N$21:$N$97,0))),"")</f>
        <v/>
      </c>
      <c r="F21" s="312">
        <f>IFERROR(INDEX('계좌현황'!F:F,INDEX($L$21:$L$97,MATCH(LARGE($N$21:$N$97,1),$N$21:$N$97,0))),"")</f>
        <v/>
      </c>
      <c r="G21" s="313">
        <f>IFERROR(INDEX('계좌현황'!K:K,INDEX($L$21:$L$97,MATCH(LARGE($N$21:$N$97,1),$N$21:$N$97,0))),0)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IFERROR(INDEX('계좌현황'!A:A,INDEX($L$21:$L$97,MATCH(LARGE($N$21:$N$97,2),$N$21:$N$97,0))),"")</f>
        <v/>
      </c>
      <c r="C22" s="285">
        <f>IFERROR(INDEX('계좌현황'!C:C,INDEX($L$21:$L$97,MATCH(LARGE($N$21:$N$97,2),$N$21:$N$97,0))),"")</f>
        <v/>
      </c>
      <c r="D22" s="285">
        <f>IFERROR(INDEX('계좌현황'!D:D,INDEX($L$21:$L$97,MATCH(LARGE($N$21:$N$97,2),$N$21:$N$97,0))),"")</f>
        <v/>
      </c>
      <c r="E22" s="285">
        <f>IFERROR(INDEX('계좌현황'!E:E,INDEX($L$21:$L$97,MATCH(LARGE($N$21:$N$97,2),$N$21:$N$97,0))),"")</f>
        <v/>
      </c>
      <c r="F22" s="315">
        <f>IFERROR(INDEX('계좌현황'!F:F,INDEX($L$21:$L$97,MATCH(LARGE($N$21:$N$97,2),$N$21:$N$97,0))),"")</f>
        <v/>
      </c>
      <c r="G22" s="316">
        <f>IFERROR(INDEX('계좌현황'!K:K,INDEX($L$21:$L$97,MATCH(LARGE($N$21:$N$97,2),$N$21:$N$97,0))),0)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IFERROR(INDEX('계좌현황'!A:A,INDEX($L$21:$L$97,MATCH(LARGE($N$21:$N$97,3),$N$21:$N$97,0))),"")</f>
        <v/>
      </c>
      <c r="C23" s="285">
        <f>IFERROR(INDEX('계좌현황'!C:C,INDEX($L$21:$L$97,MATCH(LARGE($N$21:$N$97,3),$N$21:$N$97,0))),"")</f>
        <v/>
      </c>
      <c r="D23" s="285">
        <f>IFERROR(INDEX('계좌현황'!D:D,INDEX($L$21:$L$97,MATCH(LARGE($N$21:$N$97,3),$N$21:$N$97,0))),"")</f>
        <v/>
      </c>
      <c r="E23" s="285">
        <f>IFERROR(INDEX('계좌현황'!E:E,INDEX($L$21:$L$97,MATCH(LARGE($N$21:$N$97,3),$N$21:$N$97,0))),"")</f>
        <v/>
      </c>
      <c r="F23" s="315">
        <f>IFERROR(INDEX('계좌현황'!F:F,INDEX($L$21:$L$97,MATCH(LARGE($N$21:$N$97,3),$N$21:$N$97,0))),"")</f>
        <v/>
      </c>
      <c r="G23" s="316">
        <f>IFERROR(INDEX('계좌현황'!K:K,INDEX($L$21:$L$97,MATCH(LARGE($N$21:$N$97,3),$N$21:$N$97,0))),0)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2" t="n">
        <v>4</v>
      </c>
      <c r="B24" s="282">
        <f>IFERROR(INDEX('계좌현황'!A:A,INDEX($L$21:$L$97,MATCH(LARGE($N$21:$N$97,4),$N$21:$N$97,0))),"")</f>
        <v/>
      </c>
      <c r="C24" s="282">
        <f>IFERROR(INDEX('계좌현황'!C:C,INDEX($L$21:$L$97,MATCH(LARGE($N$21:$N$97,4),$N$21:$N$97,0))),"")</f>
        <v/>
      </c>
      <c r="D24" s="282">
        <f>IFERROR(INDEX('계좌현황'!D:D,INDEX($L$21:$L$97,MATCH(LARGE($N$21:$N$97,4),$N$21:$N$97,0))),"")</f>
        <v/>
      </c>
      <c r="E24" s="282">
        <f>IFERROR(INDEX('계좌현황'!E:E,INDEX($L$21:$L$97,MATCH(LARGE($N$21:$N$97,4),$N$21:$N$97,0))),"")</f>
        <v/>
      </c>
      <c r="F24" s="312">
        <f>IFERROR(INDEX('계좌현황'!F:F,INDEX($L$21:$L$97,MATCH(LARGE($N$21:$N$97,4),$N$21:$N$97,0))),"")</f>
        <v/>
      </c>
      <c r="G24" s="313">
        <f>IFERROR(INDEX('계좌현황'!K:K,INDEX($L$21:$L$97,MATCH(LARGE($N$21:$N$97,4),$N$21:$N$97,0))),0)</f>
        <v/>
      </c>
      <c r="H24" s="314">
        <f>IF($B$3=0,0,G24/$B$3)</f>
        <v/>
      </c>
      <c r="I24" s="314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IFERROR(INDEX('계좌현황'!A:A,INDEX($L$21:$L$97,MATCH(LARGE($N$21:$N$97,5),$N$21:$N$97,0))),"")</f>
        <v/>
      </c>
      <c r="C25" s="282">
        <f>IFERROR(INDEX('계좌현황'!C:C,INDEX($L$21:$L$97,MATCH(LARGE($N$21:$N$97,5),$N$21:$N$97,0))),"")</f>
        <v/>
      </c>
      <c r="D25" s="282">
        <f>IFERROR(INDEX('계좌현황'!D:D,INDEX($L$21:$L$97,MATCH(LARGE($N$21:$N$97,5),$N$21:$N$97,0))),"")</f>
        <v/>
      </c>
      <c r="E25" s="282">
        <f>IFERROR(INDEX('계좌현황'!E:E,INDEX($L$21:$L$97,MATCH(LARGE($N$21:$N$97,5),$N$21:$N$97,0))),"")</f>
        <v/>
      </c>
      <c r="F25" s="312">
        <f>IFERROR(INDEX('계좌현황'!F:F,INDEX($L$21:$L$97,MATCH(LARGE($N$21:$N$97,5),$N$21:$N$97,0))),"")</f>
        <v/>
      </c>
      <c r="G25" s="313">
        <f>IFERROR(INDEX('계좌현황'!K:K,INDEX($L$21:$L$97,MATCH(LARGE($N$21:$N$97,5),$N$21:$N$97,0))),0)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IFERROR(INDEX('계좌현황'!A:A,INDEX($L$21:$L$97,MATCH(LARGE($N$21:$N$97,6),$N$21:$N$97,0))),"")</f>
        <v/>
      </c>
      <c r="C26" s="282">
        <f>IFERROR(INDEX('계좌현황'!C:C,INDEX($L$21:$L$97,MATCH(LARGE($N$21:$N$97,6),$N$21:$N$97,0))),"")</f>
        <v/>
      </c>
      <c r="D26" s="282">
        <f>IFERROR(INDEX('계좌현황'!D:D,INDEX($L$21:$L$97,MATCH(LARGE($N$21:$N$97,6),$N$21:$N$97,0))),"")</f>
        <v/>
      </c>
      <c r="E26" s="282">
        <f>IFERROR(INDEX('계좌현황'!E:E,INDEX($L$21:$L$97,MATCH(LARGE($N$21:$N$97,6),$N$21:$N$97,0))),"")</f>
        <v/>
      </c>
      <c r="F26" s="312">
        <f>IFERROR(INDEX('계좌현황'!F:F,INDEX($L$21:$L$97,MATCH(LARGE($N$21:$N$97,6),$N$21:$N$97,0))),"")</f>
        <v/>
      </c>
      <c r="G26" s="313">
        <f>IFERROR(INDEX('계좌현황'!K:K,INDEX($L$21:$L$97,MATCH(LARGE($N$21:$N$97,6),$N$21:$N$97,0))),0)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IFERROR(INDEX('계좌현황'!A:A,INDEX($L$21:$L$97,MATCH(LARGE($N$21:$N$97,7),$N$21:$N$97,0))),"")</f>
        <v/>
      </c>
      <c r="C27" s="282">
        <f>IFERROR(INDEX('계좌현황'!C:C,INDEX($L$21:$L$97,MATCH(LARGE($N$21:$N$97,7),$N$21:$N$97,0))),"")</f>
        <v/>
      </c>
      <c r="D27" s="282">
        <f>IFERROR(INDEX('계좌현황'!D:D,INDEX($L$21:$L$97,MATCH(LARGE($N$21:$N$97,7),$N$21:$N$97,0))),"")</f>
        <v/>
      </c>
      <c r="E27" s="282">
        <f>IFERROR(INDEX('계좌현황'!E:E,INDEX($L$21:$L$97,MATCH(LARGE($N$21:$N$97,7),$N$21:$N$97,0))),"")</f>
        <v/>
      </c>
      <c r="F27" s="312">
        <f>IFERROR(INDEX('계좌현황'!F:F,INDEX($L$21:$L$97,MATCH(LARGE($N$21:$N$97,7),$N$21:$N$97,0))),"")</f>
        <v/>
      </c>
      <c r="G27" s="313">
        <f>IFERROR(INDEX('계좌현황'!K:K,INDEX($L$21:$L$97,MATCH(LARGE($N$21:$N$97,7),$N$21:$N$97,0))),0)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IFERROR(INDEX('계좌현황'!A:A,INDEX($L$21:$L$97,MATCH(LARGE($N$21:$N$97,8),$N$21:$N$97,0))),"")</f>
        <v/>
      </c>
      <c r="C28" s="291">
        <f>IFERROR(INDEX('계좌현황'!C:C,INDEX($L$21:$L$97,MATCH(LARGE($N$21:$N$97,8),$N$21:$N$97,0))),"")</f>
        <v/>
      </c>
      <c r="D28" s="291">
        <f>IFERROR(INDEX('계좌현황'!D:D,INDEX($L$21:$L$97,MATCH(LARGE($N$21:$N$97,8),$N$21:$N$97,0))),"")</f>
        <v/>
      </c>
      <c r="E28" s="291">
        <f>IFERROR(INDEX('계좌현황'!E:E,INDEX($L$21:$L$97,MATCH(LARGE($N$21:$N$97,8),$N$21:$N$97,0))),"")</f>
        <v/>
      </c>
      <c r="F28" s="318">
        <f>IFERROR(INDEX('계좌현황'!F:F,INDEX($L$21:$L$97,MATCH(LARGE($N$21:$N$97,8),$N$21:$N$97,0))),"")</f>
        <v/>
      </c>
      <c r="G28" s="319">
        <f>IFERROR(INDEX('계좌현황'!K:K,INDEX($L$21:$L$97,MATCH(LARGE($N$21:$N$97,8),$N$21:$N$97,0))),0)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2" t="n">
        <v>9</v>
      </c>
      <c r="B29" s="282">
        <f>IFERROR(INDEX('계좌현황'!A:A,INDEX($L$21:$L$97,MATCH(LARGE($N$21:$N$97,9),$N$21:$N$97,0))),"")</f>
        <v/>
      </c>
      <c r="C29" s="282">
        <f>IFERROR(INDEX('계좌현황'!C:C,INDEX($L$21:$L$97,MATCH(LARGE($N$21:$N$97,9),$N$21:$N$97,0))),"")</f>
        <v/>
      </c>
      <c r="D29" s="282">
        <f>IFERROR(INDEX('계좌현황'!D:D,INDEX($L$21:$L$97,MATCH(LARGE($N$21:$N$97,9),$N$21:$N$97,0))),"")</f>
        <v/>
      </c>
      <c r="E29" s="282">
        <f>IFERROR(INDEX('계좌현황'!E:E,INDEX($L$21:$L$97,MATCH(LARGE($N$21:$N$97,9),$N$21:$N$97,0))),"")</f>
        <v/>
      </c>
      <c r="F29" s="312">
        <f>IFERROR(INDEX('계좌현황'!F:F,INDEX($L$21:$L$97,MATCH(LARGE($N$21:$N$97,9),$N$21:$N$97,0))),"")</f>
        <v/>
      </c>
      <c r="G29" s="313">
        <f>IFERROR(INDEX('계좌현황'!K:K,INDEX($L$21:$L$97,MATCH(LARGE($N$21:$N$97,9),$N$21:$N$97,0))),0)</f>
        <v/>
      </c>
      <c r="H29" s="314">
        <f>IF($B$3=0,0,G29/$B$3)</f>
        <v/>
      </c>
      <c r="I29" s="314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2" t="n">
        <v>10</v>
      </c>
      <c r="B30" s="282">
        <f>IFERROR(INDEX('계좌현황'!A:A,INDEX($L$21:$L$97,MATCH(LARGE($N$21:$N$97,10),$N$21:$N$97,0))),"")</f>
        <v/>
      </c>
      <c r="C30" s="282">
        <f>IFERROR(INDEX('계좌현황'!C:C,INDEX($L$21:$L$97,MATCH(LARGE($N$21:$N$97,10),$N$21:$N$97,0))),"")</f>
        <v/>
      </c>
      <c r="D30" s="282">
        <f>IFERROR(INDEX('계좌현황'!D:D,INDEX($L$21:$L$97,MATCH(LARGE($N$21:$N$97,10),$N$21:$N$97,0))),"")</f>
        <v/>
      </c>
      <c r="E30" s="282">
        <f>IFERROR(INDEX('계좌현황'!E:E,INDEX($L$21:$L$97,MATCH(LARGE($N$21:$N$97,10),$N$21:$N$97,0))),"")</f>
        <v/>
      </c>
      <c r="F30" s="312">
        <f>IFERROR(INDEX('계좌현황'!F:F,INDEX($L$21:$L$97,MATCH(LARGE($N$21:$N$97,10),$N$21:$N$97,0))),"")</f>
        <v/>
      </c>
      <c r="G30" s="313">
        <f>IFERROR(INDEX('계좌현황'!K:K,INDEX($L$21:$L$97,MATCH(LARGE($N$21:$N$97,10),$N$21:$N$97,0))),0)</f>
        <v/>
      </c>
      <c r="H30" s="314">
        <f>IF($B$3=0,0,G30/$B$3)</f>
        <v/>
      </c>
      <c r="I30" s="314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IFERROR(INDEX('계좌현황'!A:A,INDEX($L$21:$L$97,MATCH(LARGE($N$21:$N$97,11),$N$21:$N$97,0))),"")</f>
        <v/>
      </c>
      <c r="C31" s="285">
        <f>IFERROR(INDEX('계좌현황'!C:C,INDEX($L$21:$L$97,MATCH(LARGE($N$21:$N$97,11),$N$21:$N$97,0))),"")</f>
        <v/>
      </c>
      <c r="D31" s="285">
        <f>IFERROR(INDEX('계좌현황'!D:D,INDEX($L$21:$L$97,MATCH(LARGE($N$21:$N$97,11),$N$21:$N$97,0))),"")</f>
        <v/>
      </c>
      <c r="E31" s="285">
        <f>IFERROR(INDEX('계좌현황'!E:E,INDEX($L$21:$L$97,MATCH(LARGE($N$21:$N$97,11),$N$21:$N$97,0))),"")</f>
        <v/>
      </c>
      <c r="F31" s="315">
        <f>IFERROR(INDEX('계좌현황'!F:F,INDEX($L$21:$L$97,MATCH(LARGE($N$21:$N$97,11),$N$21:$N$97,0))),"")</f>
        <v/>
      </c>
      <c r="G31" s="316">
        <f>IFERROR(INDEX('계좌현황'!K:K,INDEX($L$21:$L$97,MATCH(LARGE($N$21:$N$97,11),$N$21:$N$97,0))),0)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1" t="n">
        <v>12</v>
      </c>
      <c r="B32" s="291">
        <f>IFERROR(INDEX('계좌현황'!A:A,INDEX($L$21:$L$97,MATCH(LARGE($N$21:$N$97,12),$N$21:$N$97,0))),"")</f>
        <v/>
      </c>
      <c r="C32" s="291">
        <f>IFERROR(INDEX('계좌현황'!C:C,INDEX($L$21:$L$97,MATCH(LARGE($N$21:$N$97,12),$N$21:$N$97,0))),"")</f>
        <v/>
      </c>
      <c r="D32" s="291">
        <f>IFERROR(INDEX('계좌현황'!D:D,INDEX($L$21:$L$97,MATCH(LARGE($N$21:$N$97,12),$N$21:$N$97,0))),"")</f>
        <v/>
      </c>
      <c r="E32" s="291">
        <f>IFERROR(INDEX('계좌현황'!E:E,INDEX($L$21:$L$97,MATCH(LARGE($N$21:$N$97,12),$N$21:$N$97,0))),"")</f>
        <v/>
      </c>
      <c r="F32" s="318">
        <f>IFERROR(INDEX('계좌현황'!F:F,INDEX($L$21:$L$97,MATCH(LARGE($N$21:$N$97,12),$N$21:$N$97,0))),"")</f>
        <v/>
      </c>
      <c r="G32" s="319">
        <f>IFERROR(INDEX('계좌현황'!K:K,INDEX($L$21:$L$97,MATCH(LARGE($N$21:$N$97,12),$N$21:$N$97,0))),0)</f>
        <v/>
      </c>
      <c r="H32" s="320">
        <f>IF($B$3=0,0,G32/$B$3)</f>
        <v/>
      </c>
      <c r="I32" s="320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2" t="n">
        <v>13</v>
      </c>
      <c r="B33" s="282">
        <f>IFERROR(INDEX('계좌현황'!A:A,INDEX($L$21:$L$97,MATCH(LARGE($N$21:$N$97,13),$N$21:$N$97,0))),"")</f>
        <v/>
      </c>
      <c r="C33" s="282">
        <f>IFERROR(INDEX('계좌현황'!C:C,INDEX($L$21:$L$97,MATCH(LARGE($N$21:$N$97,13),$N$21:$N$97,0))),"")</f>
        <v/>
      </c>
      <c r="D33" s="282">
        <f>IFERROR(INDEX('계좌현황'!D:D,INDEX($L$21:$L$97,MATCH(LARGE($N$21:$N$97,13),$N$21:$N$97,0))),"")</f>
        <v/>
      </c>
      <c r="E33" s="282">
        <f>IFERROR(INDEX('계좌현황'!E:E,INDEX($L$21:$L$97,MATCH(LARGE($N$21:$N$97,13),$N$21:$N$97,0))),"")</f>
        <v/>
      </c>
      <c r="F33" s="312">
        <f>IFERROR(INDEX('계좌현황'!F:F,INDEX($L$21:$L$97,MATCH(LARGE($N$21:$N$97,13),$N$21:$N$97,0))),"")</f>
        <v/>
      </c>
      <c r="G33" s="313">
        <f>IFERROR(INDEX('계좌현황'!K:K,INDEX($L$21:$L$97,MATCH(LARGE($N$21:$N$97,13),$N$21:$N$97,0))),0)</f>
        <v/>
      </c>
      <c r="H33" s="314">
        <f>IF($B$3=0,0,G33/$B$3)</f>
        <v/>
      </c>
      <c r="I33" s="314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1" t="n">
        <v>14</v>
      </c>
      <c r="B34" s="291">
        <f>IFERROR(INDEX('계좌현황'!A:A,INDEX($L$21:$L$97,MATCH(LARGE($N$21:$N$97,14),$N$21:$N$97,0))),"")</f>
        <v/>
      </c>
      <c r="C34" s="291">
        <f>IFERROR(INDEX('계좌현황'!C:C,INDEX($L$21:$L$97,MATCH(LARGE($N$21:$N$97,14),$N$21:$N$97,0))),"")</f>
        <v/>
      </c>
      <c r="D34" s="291">
        <f>IFERROR(INDEX('계좌현황'!D:D,INDEX($L$21:$L$97,MATCH(LARGE($N$21:$N$97,14),$N$21:$N$97,0))),"")</f>
        <v/>
      </c>
      <c r="E34" s="291">
        <f>IFERROR(INDEX('계좌현황'!E:E,INDEX($L$21:$L$97,MATCH(LARGE($N$21:$N$97,14),$N$21:$N$97,0))),"")</f>
        <v/>
      </c>
      <c r="F34" s="318">
        <f>IFERROR(INDEX('계좌현황'!F:F,INDEX($L$21:$L$97,MATCH(LARGE($N$21:$N$97,14),$N$21:$N$97,0))),"")</f>
        <v/>
      </c>
      <c r="G34" s="319">
        <f>IFERROR(INDEX('계좌현황'!K:K,INDEX($L$21:$L$97,MATCH(LARGE($N$21:$N$97,14),$N$21:$N$97,0))),0)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IFERROR(INDEX('계좌현황'!A:A,INDEX($L$21:$L$97,MATCH(LARGE($N$21:$N$97,15),$N$21:$N$97,0))),"")</f>
        <v/>
      </c>
      <c r="C35" s="285">
        <f>IFERROR(INDEX('계좌현황'!C:C,INDEX($L$21:$L$97,MATCH(LARGE($N$21:$N$97,15),$N$21:$N$97,0))),"")</f>
        <v/>
      </c>
      <c r="D35" s="285">
        <f>IFERROR(INDEX('계좌현황'!D:D,INDEX($L$21:$L$97,MATCH(LARGE($N$21:$N$97,15),$N$21:$N$97,0))),"")</f>
        <v/>
      </c>
      <c r="E35" s="285">
        <f>IFERROR(INDEX('계좌현황'!E:E,INDEX($L$21:$L$97,MATCH(LARGE($N$21:$N$97,15),$N$21:$N$97,0))),"")</f>
        <v/>
      </c>
      <c r="F35" s="315">
        <f>IFERROR(INDEX('계좌현황'!F:F,INDEX($L$21:$L$97,MATCH(LARGE($N$21:$N$97,15),$N$21:$N$97,0))),"")</f>
        <v/>
      </c>
      <c r="G35" s="316">
        <f>IFERROR(INDEX('계좌현황'!K:K,INDEX($L$21:$L$97,MATCH(LARGE($N$21:$N$97,15),$N$21:$N$97,0))),0)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IFERROR(INDEX('계좌현황'!A:A,INDEX($L$21:$L$97,MATCH(LARGE($N$21:$N$97,16),$N$21:$N$97,0))),"")</f>
        <v/>
      </c>
      <c r="C36" s="294">
        <f>IFERROR(INDEX('계좌현황'!C:C,INDEX($L$21:$L$97,MATCH(LARGE($N$21:$N$97,16),$N$21:$N$97,0))),"")</f>
        <v/>
      </c>
      <c r="D36" s="294">
        <f>IFERROR(INDEX('계좌현황'!D:D,INDEX($L$21:$L$97,MATCH(LARGE($N$21:$N$97,16),$N$21:$N$97,0))),"")</f>
        <v/>
      </c>
      <c r="E36" s="294">
        <f>IFERROR(INDEX('계좌현황'!E:E,INDEX($L$21:$L$97,MATCH(LARGE($N$21:$N$97,16),$N$21:$N$97,0))),"")</f>
        <v/>
      </c>
      <c r="F36" s="321">
        <f>IFERROR(INDEX('계좌현황'!F:F,INDEX($L$21:$L$97,MATCH(LARGE($N$21:$N$97,16),$N$21:$N$97,0))),"")</f>
        <v/>
      </c>
      <c r="G36" s="322">
        <f>IFERROR(INDEX('계좌현황'!K:K,INDEX($L$21:$L$97,MATCH(LARGE($N$21:$N$97,16),$N$21:$N$97,0))),0)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4" t="n">
        <v>17</v>
      </c>
      <c r="B37" s="294">
        <f>IFERROR(INDEX('계좌현황'!A:A,INDEX($L$21:$L$97,MATCH(LARGE($N$21:$N$97,17),$N$21:$N$97,0))),"")</f>
        <v/>
      </c>
      <c r="C37" s="294">
        <f>IFERROR(INDEX('계좌현황'!C:C,INDEX($L$21:$L$97,MATCH(LARGE($N$21:$N$97,17),$N$21:$N$97,0))),"")</f>
        <v/>
      </c>
      <c r="D37" s="294">
        <f>IFERROR(INDEX('계좌현황'!D:D,INDEX($L$21:$L$97,MATCH(LARGE($N$21:$N$97,17),$N$21:$N$97,0))),"")</f>
        <v/>
      </c>
      <c r="E37" s="294">
        <f>IFERROR(INDEX('계좌현황'!E:E,INDEX($L$21:$L$97,MATCH(LARGE($N$21:$N$97,17),$N$21:$N$97,0))),"")</f>
        <v/>
      </c>
      <c r="F37" s="321">
        <f>IFERROR(INDEX('계좌현황'!F:F,INDEX($L$21:$L$97,MATCH(LARGE($N$21:$N$97,17),$N$21:$N$97,0))),"")</f>
        <v/>
      </c>
      <c r="G37" s="322">
        <f>IFERROR(INDEX('계좌현황'!K:K,INDEX($L$21:$L$97,MATCH(LARGE($N$21:$N$97,17),$N$21:$N$97,0))),0)</f>
        <v/>
      </c>
      <c r="H37" s="323">
        <f>IF($B$3=0,0,G37/$B$3)</f>
        <v/>
      </c>
      <c r="I37" s="323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4" t="n">
        <v>18</v>
      </c>
      <c r="B38" s="294">
        <f>IFERROR(INDEX('계좌현황'!A:A,INDEX($L$21:$L$97,MATCH(LARGE($N$21:$N$97,18),$N$21:$N$97,0))),"")</f>
        <v/>
      </c>
      <c r="C38" s="294">
        <f>IFERROR(INDEX('계좌현황'!C:C,INDEX($L$21:$L$97,MATCH(LARGE($N$21:$N$97,18),$N$21:$N$97,0))),"")</f>
        <v/>
      </c>
      <c r="D38" s="294">
        <f>IFERROR(INDEX('계좌현황'!D:D,INDEX($L$21:$L$97,MATCH(LARGE($N$21:$N$97,18),$N$21:$N$97,0))),"")</f>
        <v/>
      </c>
      <c r="E38" s="294">
        <f>IFERROR(INDEX('계좌현황'!E:E,INDEX($L$21:$L$97,MATCH(LARGE($N$21:$N$97,18),$N$21:$N$97,0))),"")</f>
        <v/>
      </c>
      <c r="F38" s="321">
        <f>IFERROR(INDEX('계좌현황'!F:F,INDEX($L$21:$L$97,MATCH(LARGE($N$21:$N$97,18),$N$21:$N$97,0))),"")</f>
        <v/>
      </c>
      <c r="G38" s="322">
        <f>IFERROR(INDEX('계좌현황'!K:K,INDEX($L$21:$L$97,MATCH(LARGE($N$21:$N$97,18),$N$21:$N$97,0))),0)</f>
        <v/>
      </c>
      <c r="H38" s="323">
        <f>IF($B$3=0,0,G38/$B$3)</f>
        <v/>
      </c>
      <c r="I38" s="323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2" t="n">
        <v>19</v>
      </c>
      <c r="B39" s="282">
        <f>IFERROR(INDEX('계좌현황'!A:A,INDEX($L$21:$L$97,MATCH(LARGE($N$21:$N$97,19),$N$21:$N$97,0))),"")</f>
        <v/>
      </c>
      <c r="C39" s="282">
        <f>IFERROR(INDEX('계좌현황'!C:C,INDEX($L$21:$L$97,MATCH(LARGE($N$21:$N$97,19),$N$21:$N$97,0))),"")</f>
        <v/>
      </c>
      <c r="D39" s="282">
        <f>IFERROR(INDEX('계좌현황'!D:D,INDEX($L$21:$L$97,MATCH(LARGE($N$21:$N$97,19),$N$21:$N$97,0))),"")</f>
        <v/>
      </c>
      <c r="E39" s="282">
        <f>IFERROR(INDEX('계좌현황'!E:E,INDEX($L$21:$L$97,MATCH(LARGE($N$21:$N$97,19),$N$21:$N$97,0))),"")</f>
        <v/>
      </c>
      <c r="F39" s="312">
        <f>IFERROR(INDEX('계좌현황'!F:F,INDEX($L$21:$L$97,MATCH(LARGE($N$21:$N$97,19),$N$21:$N$97,0))),"")</f>
        <v/>
      </c>
      <c r="G39" s="313">
        <f>IFERROR(INDEX('계좌현황'!K:K,INDEX($L$21:$L$97,MATCH(LARGE($N$21:$N$97,19),$N$21:$N$97,0))),0)</f>
        <v/>
      </c>
      <c r="H39" s="314">
        <f>IF($B$3=0,0,G39/$B$3)</f>
        <v/>
      </c>
      <c r="I39" s="31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0" t="n">
        <v>20</v>
      </c>
      <c r="B40" s="300">
        <f>IFERROR(INDEX('계좌현황'!A:A,INDEX($L$21:$L$97,MATCH(LARGE($N$21:$N$97,20),$N$21:$N$97,0))),"")</f>
        <v/>
      </c>
      <c r="C40" s="300">
        <f>IFERROR(INDEX('계좌현황'!C:C,INDEX($L$21:$L$97,MATCH(LARGE($N$21:$N$97,20),$N$21:$N$97,0))),"")</f>
        <v/>
      </c>
      <c r="D40" s="300">
        <f>IFERROR(INDEX('계좌현황'!D:D,INDEX($L$21:$L$97,MATCH(LARGE($N$21:$N$97,20),$N$21:$N$97,0))),"")</f>
        <v/>
      </c>
      <c r="E40" s="300">
        <f>IFERROR(INDEX('계좌현황'!E:E,INDEX($L$21:$L$97,MATCH(LARGE($N$21:$N$97,20),$N$21:$N$97,0))),"")</f>
        <v/>
      </c>
      <c r="F40" s="324">
        <f>IFERROR(INDEX('계좌현황'!F:F,INDEX($L$21:$L$97,MATCH(LARGE($N$21:$N$97,20),$N$21:$N$97,0))),"")</f>
        <v/>
      </c>
      <c r="G40" s="325">
        <f>IFERROR(INDEX('계좌현황'!K:K,INDEX($L$21:$L$97,MATCH(LARGE($N$21:$N$97,20),$N$21:$N$97,0))),0)</f>
        <v/>
      </c>
      <c r="H40" s="326">
        <f>IF($B$3=0,0,G40/$B$3)</f>
        <v/>
      </c>
      <c r="I40" s="326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4" t="n">
        <v>21</v>
      </c>
      <c r="B41" s="294">
        <f>IFERROR(INDEX('계좌현황'!A:A,INDEX($L$21:$L$97,MATCH(LARGE($N$21:$N$97,21),$N$21:$N$97,0))),"")</f>
        <v/>
      </c>
      <c r="C41" s="294">
        <f>IFERROR(INDEX('계좌현황'!C:C,INDEX($L$21:$L$97,MATCH(LARGE($N$21:$N$97,21),$N$21:$N$97,0))),"")</f>
        <v/>
      </c>
      <c r="D41" s="294">
        <f>IFERROR(INDEX('계좌현황'!D:D,INDEX($L$21:$L$97,MATCH(LARGE($N$21:$N$97,21),$N$21:$N$97,0))),"")</f>
        <v/>
      </c>
      <c r="E41" s="294">
        <f>IFERROR(INDEX('계좌현황'!E:E,INDEX($L$21:$L$97,MATCH(LARGE($N$21:$N$97,21),$N$21:$N$97,0))),"")</f>
        <v/>
      </c>
      <c r="F41" s="321">
        <f>IFERROR(INDEX('계좌현황'!F:F,INDEX($L$21:$L$97,MATCH(LARGE($N$21:$N$97,21),$N$21:$N$97,0))),"")</f>
        <v/>
      </c>
      <c r="G41" s="322">
        <f>IFERROR(INDEX('계좌현황'!K:K,INDEX($L$21:$L$97,MATCH(LARGE($N$21:$N$97,21),$N$21:$N$97,0))),0)</f>
        <v/>
      </c>
      <c r="H41" s="323">
        <f>IF($B$3=0,0,G41/$B$3)</f>
        <v/>
      </c>
      <c r="I41" s="323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8" t="n">
        <v>22</v>
      </c>
      <c r="B42" s="288">
        <f>IFERROR(INDEX('계좌현황'!A:A,INDEX($L$21:$L$97,MATCH(LARGE($N$21:$N$97,22),$N$21:$N$97,0))),"")</f>
        <v/>
      </c>
      <c r="C42" s="288">
        <f>IFERROR(INDEX('계좌현황'!C:C,INDEX($L$21:$L$97,MATCH(LARGE($N$21:$N$97,22),$N$21:$N$97,0))),"")</f>
        <v/>
      </c>
      <c r="D42" s="288">
        <f>IFERROR(INDEX('계좌현황'!D:D,INDEX($L$21:$L$97,MATCH(LARGE($N$21:$N$97,22),$N$21:$N$97,0))),"")</f>
        <v/>
      </c>
      <c r="E42" s="288">
        <f>IFERROR(INDEX('계좌현황'!E:E,INDEX($L$21:$L$97,MATCH(LARGE($N$21:$N$97,22),$N$21:$N$97,0))),"")</f>
        <v/>
      </c>
      <c r="F42" s="327">
        <f>IFERROR(INDEX('계좌현황'!F:F,INDEX($L$21:$L$97,MATCH(LARGE($N$21:$N$97,22),$N$21:$N$97,0))),"")</f>
        <v/>
      </c>
      <c r="G42" s="328">
        <f>IFERROR(INDEX('계좌현황'!K:K,INDEX($L$21:$L$97,MATCH(LARGE($N$21:$N$97,22),$N$21:$N$97,0))),0)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IFERROR(INDEX('계좌현황'!A:A,INDEX($L$21:$L$97,MATCH(LARGE($N$21:$N$97,23),$N$21:$N$97,0))),"")</f>
        <v/>
      </c>
      <c r="C43" s="300">
        <f>IFERROR(INDEX('계좌현황'!C:C,INDEX($L$21:$L$97,MATCH(LARGE($N$21:$N$97,23),$N$21:$N$97,0))),"")</f>
        <v/>
      </c>
      <c r="D43" s="300">
        <f>IFERROR(INDEX('계좌현황'!D:D,INDEX($L$21:$L$97,MATCH(LARGE($N$21:$N$97,23),$N$21:$N$97,0))),"")</f>
        <v/>
      </c>
      <c r="E43" s="300">
        <f>IFERROR(INDEX('계좌현황'!E:E,INDEX($L$21:$L$97,MATCH(LARGE($N$21:$N$97,23),$N$21:$N$97,0))),"")</f>
        <v/>
      </c>
      <c r="F43" s="324">
        <f>IFERROR(INDEX('계좌현황'!F:F,INDEX($L$21:$L$97,MATCH(LARGE($N$21:$N$97,23),$N$21:$N$97,0))),"")</f>
        <v/>
      </c>
      <c r="G43" s="325">
        <f>IFERROR(INDEX('계좌현황'!K:K,INDEX($L$21:$L$97,MATCH(LARGE($N$21:$N$97,23),$N$21:$N$97,0))),0)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0" t="n">
        <v>24</v>
      </c>
      <c r="B44" s="300">
        <f>IFERROR(INDEX('계좌현황'!A:A,INDEX($L$21:$L$97,MATCH(LARGE($N$21:$N$97,24),$N$21:$N$97,0))),"")</f>
        <v/>
      </c>
      <c r="C44" s="300">
        <f>IFERROR(INDEX('계좌현황'!C:C,INDEX($L$21:$L$97,MATCH(LARGE($N$21:$N$97,24),$N$21:$N$97,0))),"")</f>
        <v/>
      </c>
      <c r="D44" s="300">
        <f>IFERROR(INDEX('계좌현황'!D:D,INDEX($L$21:$L$97,MATCH(LARGE($N$21:$N$97,24),$N$21:$N$97,0))),"")</f>
        <v/>
      </c>
      <c r="E44" s="300">
        <f>IFERROR(INDEX('계좌현황'!E:E,INDEX($L$21:$L$97,MATCH(LARGE($N$21:$N$97,24),$N$21:$N$97,0))),"")</f>
        <v/>
      </c>
      <c r="F44" s="324">
        <f>IFERROR(INDEX('계좌현황'!F:F,INDEX($L$21:$L$97,MATCH(LARGE($N$21:$N$97,24),$N$21:$N$97,0))),"")</f>
        <v/>
      </c>
      <c r="G44" s="325">
        <f>IFERROR(INDEX('계좌현황'!K:K,INDEX($L$21:$L$97,MATCH(LARGE($N$21:$N$97,24),$N$21:$N$97,0))),0)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6" t="n">
        <v>25</v>
      </c>
      <c r="B45" s="306">
        <f>IFERROR(INDEX('계좌현황'!A:A,INDEX($L$21:$L$97,MATCH(LARGE($N$21:$N$97,25),$N$21:$N$97,0))),"")</f>
        <v/>
      </c>
      <c r="C45" s="306">
        <f>IFERROR(INDEX('계좌현황'!C:C,INDEX($L$21:$L$97,MATCH(LARGE($N$21:$N$97,25),$N$21:$N$97,0))),"")</f>
        <v/>
      </c>
      <c r="D45" s="306">
        <f>IFERROR(INDEX('계좌현황'!D:D,INDEX($L$21:$L$97,MATCH(LARGE($N$21:$N$97,25),$N$21:$N$97,0))),"")</f>
        <v/>
      </c>
      <c r="E45" s="306">
        <f>IFERROR(INDEX('계좌현황'!E:E,INDEX($L$21:$L$97,MATCH(LARGE($N$21:$N$97,25),$N$21:$N$97,0))),"")</f>
        <v/>
      </c>
      <c r="F45" s="330">
        <f>IFERROR(INDEX('계좌현황'!F:F,INDEX($L$21:$L$97,MATCH(LARGE($N$21:$N$97,25),$N$21:$N$97,0))),"")</f>
        <v/>
      </c>
      <c r="G45" s="331">
        <f>IFERROR(INDEX('계좌현황'!K:K,INDEX($L$21:$L$97,MATCH(LARGE($N$21:$N$97,25),$N$21:$N$97,0))),0)</f>
        <v/>
      </c>
      <c r="H45" s="332">
        <f>IF($B$3=0,0,G45/$B$3)</f>
        <v/>
      </c>
      <c r="I45" s="332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1" t="n">
        <v>26</v>
      </c>
      <c r="B46" s="291">
        <f>IFERROR(INDEX('계좌현황'!A:A,INDEX($L$21:$L$97,MATCH(LARGE($N$21:$N$97,26),$N$21:$N$97,0))),"")</f>
        <v/>
      </c>
      <c r="C46" s="291">
        <f>IFERROR(INDEX('계좌현황'!C:C,INDEX($L$21:$L$97,MATCH(LARGE($N$21:$N$97,26),$N$21:$N$97,0))),"")</f>
        <v/>
      </c>
      <c r="D46" s="291">
        <f>IFERROR(INDEX('계좌현황'!D:D,INDEX($L$21:$L$97,MATCH(LARGE($N$21:$N$97,26),$N$21:$N$97,0))),"")</f>
        <v/>
      </c>
      <c r="E46" s="291">
        <f>IFERROR(INDEX('계좌현황'!E:E,INDEX($L$21:$L$97,MATCH(LARGE($N$21:$N$97,26),$N$21:$N$97,0))),"")</f>
        <v/>
      </c>
      <c r="F46" s="318">
        <f>IFERROR(INDEX('계좌현황'!F:F,INDEX($L$21:$L$97,MATCH(LARGE($N$21:$N$97,26),$N$21:$N$97,0))),"")</f>
        <v/>
      </c>
      <c r="G46" s="319">
        <f>IFERROR(INDEX('계좌현황'!K:K,INDEX($L$21:$L$97,MATCH(LARGE($N$21:$N$97,26),$N$21:$N$97,0))),0)</f>
        <v/>
      </c>
      <c r="H46" s="320">
        <f>IF($B$3=0,0,G46/$B$3)</f>
        <v/>
      </c>
      <c r="I46" s="320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4" t="n">
        <v>27</v>
      </c>
      <c r="B47" s="294">
        <f>IFERROR(INDEX('계좌현황'!A:A,INDEX($L$21:$L$97,MATCH(LARGE($N$21:$N$97,27),$N$21:$N$97,0))),"")</f>
        <v/>
      </c>
      <c r="C47" s="294">
        <f>IFERROR(INDEX('계좌현황'!C:C,INDEX($L$21:$L$97,MATCH(LARGE($N$21:$N$97,27),$N$21:$N$97,0))),"")</f>
        <v/>
      </c>
      <c r="D47" s="294">
        <f>IFERROR(INDEX('계좌현황'!D:D,INDEX($L$21:$L$97,MATCH(LARGE($N$21:$N$97,27),$N$21:$N$97,0))),"")</f>
        <v/>
      </c>
      <c r="E47" s="294">
        <f>IFERROR(INDEX('계좌현황'!E:E,INDEX($L$21:$L$97,MATCH(LARGE($N$21:$N$97,27),$N$21:$N$97,0))),"")</f>
        <v/>
      </c>
      <c r="F47" s="321">
        <f>IFERROR(INDEX('계좌현황'!F:F,INDEX($L$21:$L$97,MATCH(LARGE($N$21:$N$97,27),$N$21:$N$97,0))),"")</f>
        <v/>
      </c>
      <c r="G47" s="322">
        <f>IFERROR(INDEX('계좌현황'!K:K,INDEX($L$21:$L$97,MATCH(LARGE($N$21:$N$97,27),$N$21:$N$97,0))),0)</f>
        <v/>
      </c>
      <c r="H47" s="323">
        <f>IF($B$3=0,0,G47/$B$3)</f>
        <v/>
      </c>
      <c r="I47" s="323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0" t="n">
        <v>28</v>
      </c>
      <c r="B48" s="300">
        <f>IFERROR(INDEX('계좌현황'!A:A,INDEX($L$21:$L$97,MATCH(LARGE($N$21:$N$97,28),$N$21:$N$97,0))),"")</f>
        <v/>
      </c>
      <c r="C48" s="300">
        <f>IFERROR(INDEX('계좌현황'!C:C,INDEX($L$21:$L$97,MATCH(LARGE($N$21:$N$97,28),$N$21:$N$97,0))),"")</f>
        <v/>
      </c>
      <c r="D48" s="300">
        <f>IFERROR(INDEX('계좌현황'!D:D,INDEX($L$21:$L$97,MATCH(LARGE($N$21:$N$97,28),$N$21:$N$97,0))),"")</f>
        <v/>
      </c>
      <c r="E48" s="300">
        <f>IFERROR(INDEX('계좌현황'!E:E,INDEX($L$21:$L$97,MATCH(LARGE($N$21:$N$97,28),$N$21:$N$97,0))),"")</f>
        <v/>
      </c>
      <c r="F48" s="324">
        <f>IFERROR(INDEX('계좌현황'!F:F,INDEX($L$21:$L$97,MATCH(LARGE($N$21:$N$97,28),$N$21:$N$97,0))),"")</f>
        <v/>
      </c>
      <c r="G48" s="325">
        <f>IFERROR(INDEX('계좌현황'!K:K,INDEX($L$21:$L$97,MATCH(LARGE($N$21:$N$97,28),$N$21:$N$97,0))),0)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IFERROR(INDEX('계좌현황'!A:A,INDEX($L$21:$L$97,MATCH(LARGE($N$21:$N$97,29),$N$21:$N$97,0))),"")</f>
        <v/>
      </c>
      <c r="C49" s="294">
        <f>IFERROR(INDEX('계좌현황'!C:C,INDEX($L$21:$L$97,MATCH(LARGE($N$21:$N$97,29),$N$21:$N$97,0))),"")</f>
        <v/>
      </c>
      <c r="D49" s="294">
        <f>IFERROR(INDEX('계좌현황'!D:D,INDEX($L$21:$L$97,MATCH(LARGE($N$21:$N$97,29),$N$21:$N$97,0))),"")</f>
        <v/>
      </c>
      <c r="E49" s="294">
        <f>IFERROR(INDEX('계좌현황'!E:E,INDEX($L$21:$L$97,MATCH(LARGE($N$21:$N$97,29),$N$21:$N$97,0))),"")</f>
        <v/>
      </c>
      <c r="F49" s="321">
        <f>IFERROR(INDEX('계좌현황'!F:F,INDEX($L$21:$L$97,MATCH(LARGE($N$21:$N$97,29),$N$21:$N$97,0))),"")</f>
        <v/>
      </c>
      <c r="G49" s="322">
        <f>IFERROR(INDEX('계좌현황'!K:K,INDEX($L$21:$L$97,MATCH(LARGE($N$21:$N$97,29),$N$21:$N$97,0))),0)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IFERROR(INDEX('계좌현황'!A:A,INDEX($L$21:$L$97,MATCH(LARGE($N$21:$N$97,30),$N$21:$N$97,0))),"")</f>
        <v/>
      </c>
      <c r="C50" s="291">
        <f>IFERROR(INDEX('계좌현황'!C:C,INDEX($L$21:$L$97,MATCH(LARGE($N$21:$N$97,30),$N$21:$N$97,0))),"")</f>
        <v/>
      </c>
      <c r="D50" s="291">
        <f>IFERROR(INDEX('계좌현황'!D:D,INDEX($L$21:$L$97,MATCH(LARGE($N$21:$N$97,30),$N$21:$N$97,0))),"")</f>
        <v/>
      </c>
      <c r="E50" s="291">
        <f>IFERROR(INDEX('계좌현황'!E:E,INDEX($L$21:$L$97,MATCH(LARGE($N$21:$N$97,30),$N$21:$N$97,0))),"")</f>
        <v/>
      </c>
      <c r="F50" s="318">
        <f>IFERROR(INDEX('계좌현황'!F:F,INDEX($L$21:$L$97,MATCH(LARGE($N$21:$N$97,30),$N$21:$N$97,0))),"")</f>
        <v/>
      </c>
      <c r="G50" s="319">
        <f>IFERROR(INDEX('계좌현황'!K:K,INDEX($L$21:$L$97,MATCH(LARGE($N$21:$N$97,30),$N$21:$N$97,0))),0)</f>
        <v/>
      </c>
      <c r="H50" s="320">
        <f>IF($B$3=0,0,G50/$B$3)</f>
        <v/>
      </c>
      <c r="I50" s="320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8" t="n">
        <v>31</v>
      </c>
      <c r="B51" s="288">
        <f>IFERROR(INDEX('계좌현황'!A:A,INDEX($L$21:$L$97,MATCH(LARGE($N$21:$N$97,31),$N$21:$N$97,0))),"")</f>
        <v/>
      </c>
      <c r="C51" s="288">
        <f>IFERROR(INDEX('계좌현황'!C:C,INDEX($L$21:$L$97,MATCH(LARGE($N$21:$N$97,31),$N$21:$N$97,0))),"")</f>
        <v/>
      </c>
      <c r="D51" s="288">
        <f>IFERROR(INDEX('계좌현황'!D:D,INDEX($L$21:$L$97,MATCH(LARGE($N$21:$N$97,31),$N$21:$N$97,0))),"")</f>
        <v/>
      </c>
      <c r="E51" s="288">
        <f>IFERROR(INDEX('계좌현황'!E:E,INDEX($L$21:$L$97,MATCH(LARGE($N$21:$N$97,31),$N$21:$N$97,0))),"")</f>
        <v/>
      </c>
      <c r="F51" s="327">
        <f>IFERROR(INDEX('계좌현황'!F:F,INDEX($L$21:$L$97,MATCH(LARGE($N$21:$N$97,31),$N$21:$N$97,0))),"")</f>
        <v/>
      </c>
      <c r="G51" s="328">
        <f>IFERROR(INDEX('계좌현황'!K:K,INDEX($L$21:$L$97,MATCH(LARGE($N$21:$N$97,31),$N$21:$N$97,0))),0)</f>
        <v/>
      </c>
      <c r="H51" s="329">
        <f>IF($B$3=0,0,G51/$B$3)</f>
        <v/>
      </c>
      <c r="I51" s="329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5" t="n">
        <v>32</v>
      </c>
      <c r="B52" s="285">
        <f>IFERROR(INDEX('계좌현황'!A:A,INDEX($L$21:$L$97,MATCH(LARGE($N$21:$N$97,32),$N$21:$N$97,0))),"")</f>
        <v/>
      </c>
      <c r="C52" s="285">
        <f>IFERROR(INDEX('계좌현황'!C:C,INDEX($L$21:$L$97,MATCH(LARGE($N$21:$N$97,32),$N$21:$N$97,0))),"")</f>
        <v/>
      </c>
      <c r="D52" s="285">
        <f>IFERROR(INDEX('계좌현황'!D:D,INDEX($L$21:$L$97,MATCH(LARGE($N$21:$N$97,32),$N$21:$N$97,0))),"")</f>
        <v/>
      </c>
      <c r="E52" s="285">
        <f>IFERROR(INDEX('계좌현황'!E:E,INDEX($L$21:$L$97,MATCH(LARGE($N$21:$N$97,32),$N$21:$N$97,0))),"")</f>
        <v/>
      </c>
      <c r="F52" s="315">
        <f>IFERROR(INDEX('계좌현황'!F:F,INDEX($L$21:$L$97,MATCH(LARGE($N$21:$N$97,32),$N$21:$N$97,0))),"")</f>
        <v/>
      </c>
      <c r="G52" s="316">
        <f>IFERROR(INDEX('계좌현황'!K:K,INDEX($L$21:$L$97,MATCH(LARGE($N$21:$N$97,32),$N$21:$N$97,0))),0)</f>
        <v/>
      </c>
      <c r="H52" s="317">
        <f>IF($B$3=0,0,G52/$B$3)</f>
        <v/>
      </c>
      <c r="I52" s="317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4" t="n">
        <v>33</v>
      </c>
      <c r="B53" s="294">
        <f>IFERROR(INDEX('계좌현황'!A:A,INDEX($L$21:$L$97,MATCH(LARGE($N$21:$N$97,33),$N$21:$N$97,0))),"")</f>
        <v/>
      </c>
      <c r="C53" s="294">
        <f>IFERROR(INDEX('계좌현황'!C:C,INDEX($L$21:$L$97,MATCH(LARGE($N$21:$N$97,33),$N$21:$N$97,0))),"")</f>
        <v/>
      </c>
      <c r="D53" s="294">
        <f>IFERROR(INDEX('계좌현황'!D:D,INDEX($L$21:$L$97,MATCH(LARGE($N$21:$N$97,33),$N$21:$N$97,0))),"")</f>
        <v/>
      </c>
      <c r="E53" s="294">
        <f>IFERROR(INDEX('계좌현황'!E:E,INDEX($L$21:$L$97,MATCH(LARGE($N$21:$N$97,33),$N$21:$N$97,0))),"")</f>
        <v/>
      </c>
      <c r="F53" s="321">
        <f>IFERROR(INDEX('계좌현황'!F:F,INDEX($L$21:$L$97,MATCH(LARGE($N$21:$N$97,33),$N$21:$N$97,0))),"")</f>
        <v/>
      </c>
      <c r="G53" s="322">
        <f>IFERROR(INDEX('계좌현황'!K:K,INDEX($L$21:$L$97,MATCH(LARGE($N$21:$N$97,33),$N$21:$N$97,0))),0)</f>
        <v/>
      </c>
      <c r="H53" s="323">
        <f>IF($B$3=0,0,G53/$B$3)</f>
        <v/>
      </c>
      <c r="I53" s="323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IFERROR(INDEX('계좌현황'!A:A,INDEX($L$21:$L$97,MATCH(LARGE($N$21:$N$97,34),$N$21:$N$97,0))),"")</f>
        <v/>
      </c>
      <c r="C54" s="294">
        <f>IFERROR(INDEX('계좌현황'!C:C,INDEX($L$21:$L$97,MATCH(LARGE($N$21:$N$97,34),$N$21:$N$97,0))),"")</f>
        <v/>
      </c>
      <c r="D54" s="294">
        <f>IFERROR(INDEX('계좌현황'!D:D,INDEX($L$21:$L$97,MATCH(LARGE($N$21:$N$97,34),$N$21:$N$97,0))),"")</f>
        <v/>
      </c>
      <c r="E54" s="294">
        <f>IFERROR(INDEX('계좌현황'!E:E,INDEX($L$21:$L$97,MATCH(LARGE($N$21:$N$97,34),$N$21:$N$97,0))),"")</f>
        <v/>
      </c>
      <c r="F54" s="321">
        <f>IFERROR(INDEX('계좌현황'!F:F,INDEX($L$21:$L$97,MATCH(LARGE($N$21:$N$97,34),$N$21:$N$97,0))),"")</f>
        <v/>
      </c>
      <c r="G54" s="322">
        <f>IFERROR(INDEX('계좌현황'!K:K,INDEX($L$21:$L$97,MATCH(LARGE($N$21:$N$97,34),$N$21:$N$97,0))),0)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1" t="n">
        <v>35</v>
      </c>
      <c r="B55" s="291">
        <f>IFERROR(INDEX('계좌현황'!A:A,INDEX($L$21:$L$97,MATCH(LARGE($N$21:$N$97,35),$N$21:$N$97,0))),"")</f>
        <v/>
      </c>
      <c r="C55" s="291">
        <f>IFERROR(INDEX('계좌현황'!C:C,INDEX($L$21:$L$97,MATCH(LARGE($N$21:$N$97,35),$N$21:$N$97,0))),"")</f>
        <v/>
      </c>
      <c r="D55" s="291">
        <f>IFERROR(INDEX('계좌현황'!D:D,INDEX($L$21:$L$97,MATCH(LARGE($N$21:$N$97,35),$N$21:$N$97,0))),"")</f>
        <v/>
      </c>
      <c r="E55" s="291">
        <f>IFERROR(INDEX('계좌현황'!E:E,INDEX($L$21:$L$97,MATCH(LARGE($N$21:$N$97,35),$N$21:$N$97,0))),"")</f>
        <v/>
      </c>
      <c r="F55" s="318">
        <f>IFERROR(INDEX('계좌현황'!F:F,INDEX($L$21:$L$97,MATCH(LARGE($N$21:$N$97,35),$N$21:$N$97,0))),"")</f>
        <v/>
      </c>
      <c r="G55" s="319">
        <f>IFERROR(INDEX('계좌현황'!K:K,INDEX($L$21:$L$97,MATCH(LARGE($N$21:$N$97,35),$N$21:$N$97,0))),0)</f>
        <v/>
      </c>
      <c r="H55" s="320">
        <f>IF($B$3=0,0,G55/$B$3)</f>
        <v/>
      </c>
      <c r="I55" s="320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1" t="n">
        <v>36</v>
      </c>
      <c r="B56" s="291">
        <f>IFERROR(INDEX('계좌현황'!A:A,INDEX($L$21:$L$97,MATCH(LARGE($N$21:$N$97,36),$N$21:$N$97,0))),"")</f>
        <v/>
      </c>
      <c r="C56" s="291">
        <f>IFERROR(INDEX('계좌현황'!C:C,INDEX($L$21:$L$97,MATCH(LARGE($N$21:$N$97,36),$N$21:$N$97,0))),"")</f>
        <v/>
      </c>
      <c r="D56" s="291">
        <f>IFERROR(INDEX('계좌현황'!D:D,INDEX($L$21:$L$97,MATCH(LARGE($N$21:$N$97,36),$N$21:$N$97,0))),"")</f>
        <v/>
      </c>
      <c r="E56" s="291">
        <f>IFERROR(INDEX('계좌현황'!E:E,INDEX($L$21:$L$97,MATCH(LARGE($N$21:$N$97,36),$N$21:$N$97,0))),"")</f>
        <v/>
      </c>
      <c r="F56" s="318">
        <f>IFERROR(INDEX('계좌현황'!F:F,INDEX($L$21:$L$97,MATCH(LARGE($N$21:$N$97,36),$N$21:$N$97,0))),"")</f>
        <v/>
      </c>
      <c r="G56" s="319">
        <f>IFERROR(INDEX('계좌현황'!K:K,INDEX($L$21:$L$97,MATCH(LARGE($N$21:$N$97,36),$N$21:$N$97,0))),0)</f>
        <v/>
      </c>
      <c r="H56" s="320">
        <f>IF($B$3=0,0,G56/$B$3)</f>
        <v/>
      </c>
      <c r="I56" s="320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IFERROR(INDEX('계좌현황'!A:A,INDEX($L$21:$L$97,MATCH(LARGE($N$21:$N$97,37),$N$21:$N$97,0))),"")</f>
        <v/>
      </c>
      <c r="C57" s="294">
        <f>IFERROR(INDEX('계좌현황'!C:C,INDEX($L$21:$L$97,MATCH(LARGE($N$21:$N$97,37),$N$21:$N$97,0))),"")</f>
        <v/>
      </c>
      <c r="D57" s="294">
        <f>IFERROR(INDEX('계좌현황'!D:D,INDEX($L$21:$L$97,MATCH(LARGE($N$21:$N$97,37),$N$21:$N$97,0))),"")</f>
        <v/>
      </c>
      <c r="E57" s="294">
        <f>IFERROR(INDEX('계좌현황'!E:E,INDEX($L$21:$L$97,MATCH(LARGE($N$21:$N$97,37),$N$21:$N$97,0))),"")</f>
        <v/>
      </c>
      <c r="F57" s="321">
        <f>IFERROR(INDEX('계좌현황'!F:F,INDEX($L$21:$L$97,MATCH(LARGE($N$21:$N$97,37),$N$21:$N$97,0))),"")</f>
        <v/>
      </c>
      <c r="G57" s="322">
        <f>IFERROR(INDEX('계좌현황'!K:K,INDEX($L$21:$L$97,MATCH(LARGE($N$21:$N$97,37),$N$21:$N$97,0))),0)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IFERROR(INDEX('계좌현황'!A:A,INDEX($L$21:$L$97,MATCH(LARGE($N$21:$N$97,38),$N$21:$N$97,0))),"")</f>
        <v/>
      </c>
      <c r="C58" s="294">
        <f>IFERROR(INDEX('계좌현황'!C:C,INDEX($L$21:$L$97,MATCH(LARGE($N$21:$N$97,38),$N$21:$N$97,0))),"")</f>
        <v/>
      </c>
      <c r="D58" s="294">
        <f>IFERROR(INDEX('계좌현황'!D:D,INDEX($L$21:$L$97,MATCH(LARGE($N$21:$N$97,38),$N$21:$N$97,0))),"")</f>
        <v/>
      </c>
      <c r="E58" s="294">
        <f>IFERROR(INDEX('계좌현황'!E:E,INDEX($L$21:$L$97,MATCH(LARGE($N$21:$N$97,38),$N$21:$N$97,0))),"")</f>
        <v/>
      </c>
      <c r="F58" s="321">
        <f>IFERROR(INDEX('계좌현황'!F:F,INDEX($L$21:$L$97,MATCH(LARGE($N$21:$N$97,38),$N$21:$N$97,0))),"")</f>
        <v/>
      </c>
      <c r="G58" s="322">
        <f>IFERROR(INDEX('계좌현황'!K:K,INDEX($L$21:$L$97,MATCH(LARGE($N$21:$N$97,38),$N$21:$N$97,0))),0)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IFERROR(INDEX('계좌현황'!A:A,INDEX($L$21:$L$97,MATCH(LARGE($N$21:$N$97,39),$N$21:$N$97,0))),"")</f>
        <v/>
      </c>
      <c r="C59" s="294">
        <f>IFERROR(INDEX('계좌현황'!C:C,INDEX($L$21:$L$97,MATCH(LARGE($N$21:$N$97,39),$N$21:$N$97,0))),"")</f>
        <v/>
      </c>
      <c r="D59" s="294">
        <f>IFERROR(INDEX('계좌현황'!D:D,INDEX($L$21:$L$97,MATCH(LARGE($N$21:$N$97,39),$N$21:$N$97,0))),"")</f>
        <v/>
      </c>
      <c r="E59" s="294">
        <f>IFERROR(INDEX('계좌현황'!E:E,INDEX($L$21:$L$97,MATCH(LARGE($N$21:$N$97,39),$N$21:$N$97,0))),"")</f>
        <v/>
      </c>
      <c r="F59" s="321">
        <f>IFERROR(INDEX('계좌현황'!F:F,INDEX($L$21:$L$97,MATCH(LARGE($N$21:$N$97,39),$N$21:$N$97,0))),"")</f>
        <v/>
      </c>
      <c r="G59" s="322">
        <f>IFERROR(INDEX('계좌현황'!K:K,INDEX($L$21:$L$97,MATCH(LARGE($N$21:$N$97,39),$N$21:$N$97,0))),0)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IFERROR(INDEX('계좌현황'!A:A,INDEX($L$21:$L$97,MATCH(LARGE($N$21:$N$97,40),$N$21:$N$97,0))),"")</f>
        <v/>
      </c>
      <c r="C60" s="291">
        <f>IFERROR(INDEX('계좌현황'!C:C,INDEX($L$21:$L$97,MATCH(LARGE($N$21:$N$97,40),$N$21:$N$97,0))),"")</f>
        <v/>
      </c>
      <c r="D60" s="291">
        <f>IFERROR(INDEX('계좌현황'!D:D,INDEX($L$21:$L$97,MATCH(LARGE($N$21:$N$97,40),$N$21:$N$97,0))),"")</f>
        <v/>
      </c>
      <c r="E60" s="291">
        <f>IFERROR(INDEX('계좌현황'!E:E,INDEX($L$21:$L$97,MATCH(LARGE($N$21:$N$97,40),$N$21:$N$97,0))),"")</f>
        <v/>
      </c>
      <c r="F60" s="318">
        <f>IFERROR(INDEX('계좌현황'!F:F,INDEX($L$21:$L$97,MATCH(LARGE($N$21:$N$97,40),$N$21:$N$97,0))),"")</f>
        <v/>
      </c>
      <c r="G60" s="319">
        <f>IFERROR(INDEX('계좌현황'!K:K,INDEX($L$21:$L$97,MATCH(LARGE($N$21:$N$97,40),$N$21:$N$97,0))),0)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1" t="n">
        <v>41</v>
      </c>
      <c r="B61" s="291">
        <f>IFERROR(INDEX('계좌현황'!A:A,INDEX($L$21:$L$97,MATCH(LARGE($N$21:$N$97,41),$N$21:$N$97,0))),"")</f>
        <v/>
      </c>
      <c r="C61" s="291">
        <f>IFERROR(INDEX('계좌현황'!C:C,INDEX($L$21:$L$97,MATCH(LARGE($N$21:$N$97,41),$N$21:$N$97,0))),"")</f>
        <v/>
      </c>
      <c r="D61" s="291">
        <f>IFERROR(INDEX('계좌현황'!D:D,INDEX($L$21:$L$97,MATCH(LARGE($N$21:$N$97,41),$N$21:$N$97,0))),"")</f>
        <v/>
      </c>
      <c r="E61" s="291">
        <f>IFERROR(INDEX('계좌현황'!E:E,INDEX($L$21:$L$97,MATCH(LARGE($N$21:$N$97,41),$N$21:$N$97,0))),"")</f>
        <v/>
      </c>
      <c r="F61" s="318">
        <f>IFERROR(INDEX('계좌현황'!F:F,INDEX($L$21:$L$97,MATCH(LARGE($N$21:$N$97,41),$N$21:$N$97,0))),"")</f>
        <v/>
      </c>
      <c r="G61" s="319">
        <f>IFERROR(INDEX('계좌현황'!K:K,INDEX($L$21:$L$97,MATCH(LARGE($N$21:$N$97,41),$N$21:$N$97,0))),0)</f>
        <v/>
      </c>
      <c r="H61" s="320">
        <f>IF($B$3=0,0,G61/$B$3)</f>
        <v/>
      </c>
      <c r="I61" s="320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1" t="n">
        <v>42</v>
      </c>
      <c r="B62" s="291">
        <f>IFERROR(INDEX('계좌현황'!A:A,INDEX($L$21:$L$97,MATCH(LARGE($N$21:$N$97,42),$N$21:$N$97,0))),"")</f>
        <v/>
      </c>
      <c r="C62" s="291">
        <f>IFERROR(INDEX('계좌현황'!C:C,INDEX($L$21:$L$97,MATCH(LARGE($N$21:$N$97,42),$N$21:$N$97,0))),"")</f>
        <v/>
      </c>
      <c r="D62" s="291">
        <f>IFERROR(INDEX('계좌현황'!D:D,INDEX($L$21:$L$97,MATCH(LARGE($N$21:$N$97,42),$N$21:$N$97,0))),"")</f>
        <v/>
      </c>
      <c r="E62" s="291">
        <f>IFERROR(INDEX('계좌현황'!E:E,INDEX($L$21:$L$97,MATCH(LARGE($N$21:$N$97,42),$N$21:$N$97,0))),"")</f>
        <v/>
      </c>
      <c r="F62" s="318">
        <f>IFERROR(INDEX('계좌현황'!F:F,INDEX($L$21:$L$97,MATCH(LARGE($N$21:$N$97,42),$N$21:$N$97,0))),"")</f>
        <v/>
      </c>
      <c r="G62" s="319">
        <f>IFERROR(INDEX('계좌현황'!K:K,INDEX($L$21:$L$97,MATCH(LARGE($N$21:$N$97,42),$N$21:$N$97,0))),0)</f>
        <v/>
      </c>
      <c r="H62" s="320">
        <f>IF($B$3=0,0,G62/$B$3)</f>
        <v/>
      </c>
      <c r="I62" s="320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IFERROR(INDEX('계좌현황'!A:A,INDEX($L$21:$L$97,MATCH(LARGE($N$21:$N$97,43),$N$21:$N$97,0))),"")</f>
        <v/>
      </c>
      <c r="C63" s="294">
        <f>IFERROR(INDEX('계좌현황'!C:C,INDEX($L$21:$L$97,MATCH(LARGE($N$21:$N$97,43),$N$21:$N$97,0))),"")</f>
        <v/>
      </c>
      <c r="D63" s="294">
        <f>IFERROR(INDEX('계좌현황'!D:D,INDEX($L$21:$L$97,MATCH(LARGE($N$21:$N$97,43),$N$21:$N$97,0))),"")</f>
        <v/>
      </c>
      <c r="E63" s="294">
        <f>IFERROR(INDEX('계좌현황'!E:E,INDEX($L$21:$L$97,MATCH(LARGE($N$21:$N$97,43),$N$21:$N$97,0))),"")</f>
        <v/>
      </c>
      <c r="F63" s="321">
        <f>IFERROR(INDEX('계좌현황'!F:F,INDEX($L$21:$L$97,MATCH(LARGE($N$21:$N$97,43),$N$21:$N$97,0))),"")</f>
        <v/>
      </c>
      <c r="G63" s="322">
        <f>IFERROR(INDEX('계좌현황'!K:K,INDEX($L$21:$L$97,MATCH(LARGE($N$21:$N$97,43),$N$21:$N$97,0))),0)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IFERROR(INDEX('계좌현황'!A:A,INDEX($L$21:$L$97,MATCH(LARGE($N$21:$N$97,44),$N$21:$N$97,0))),"")</f>
        <v/>
      </c>
      <c r="C64" s="294">
        <f>IFERROR(INDEX('계좌현황'!C:C,INDEX($L$21:$L$97,MATCH(LARGE($N$21:$N$97,44),$N$21:$N$97,0))),"")</f>
        <v/>
      </c>
      <c r="D64" s="294">
        <f>IFERROR(INDEX('계좌현황'!D:D,INDEX($L$21:$L$97,MATCH(LARGE($N$21:$N$97,44),$N$21:$N$97,0))),"")</f>
        <v/>
      </c>
      <c r="E64" s="294">
        <f>IFERROR(INDEX('계좌현황'!E:E,INDEX($L$21:$L$97,MATCH(LARGE($N$21:$N$97,44),$N$21:$N$97,0))),"")</f>
        <v/>
      </c>
      <c r="F64" s="321">
        <f>IFERROR(INDEX('계좌현황'!F:F,INDEX($L$21:$L$97,MATCH(LARGE($N$21:$N$97,44),$N$21:$N$97,0))),"")</f>
        <v/>
      </c>
      <c r="G64" s="322">
        <f>IFERROR(INDEX('계좌현황'!K:K,INDEX($L$21:$L$97,MATCH(LARGE($N$21:$N$97,44),$N$21:$N$97,0))),0)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1" t="n">
        <v>45</v>
      </c>
      <c r="B65" s="291">
        <f>IFERROR(INDEX('계좌현황'!A:A,INDEX($L$21:$L$97,MATCH(LARGE($N$21:$N$97,45),$N$21:$N$97,0))),"")</f>
        <v/>
      </c>
      <c r="C65" s="291">
        <f>IFERROR(INDEX('계좌현황'!C:C,INDEX($L$21:$L$97,MATCH(LARGE($N$21:$N$97,45),$N$21:$N$97,0))),"")</f>
        <v/>
      </c>
      <c r="D65" s="291">
        <f>IFERROR(INDEX('계좌현황'!D:D,INDEX($L$21:$L$97,MATCH(LARGE($N$21:$N$97,45),$N$21:$N$97,0))),"")</f>
        <v/>
      </c>
      <c r="E65" s="291">
        <f>IFERROR(INDEX('계좌현황'!E:E,INDEX($L$21:$L$97,MATCH(LARGE($N$21:$N$97,45),$N$21:$N$97,0))),"")</f>
        <v/>
      </c>
      <c r="F65" s="318">
        <f>IFERROR(INDEX('계좌현황'!F:F,INDEX($L$21:$L$97,MATCH(LARGE($N$21:$N$97,45),$N$21:$N$97,0))),"")</f>
        <v/>
      </c>
      <c r="G65" s="319">
        <f>IFERROR(INDEX('계좌현황'!K:K,INDEX($L$21:$L$97,MATCH(LARGE($N$21:$N$97,45),$N$21:$N$97,0))),0)</f>
        <v/>
      </c>
      <c r="H65" s="320">
        <f>IF($B$3=0,0,G65/$B$3)</f>
        <v/>
      </c>
      <c r="I65" s="320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IFERROR(INDEX('계좌현황'!A:A,INDEX($L$21:$L$97,MATCH(LARGE($N$21:$N$97,46),$N$21:$N$97,0))),"")</f>
        <v/>
      </c>
      <c r="C66" s="294">
        <f>IFERROR(INDEX('계좌현황'!C:C,INDEX($L$21:$L$97,MATCH(LARGE($N$21:$N$97,46),$N$21:$N$97,0))),"")</f>
        <v/>
      </c>
      <c r="D66" s="294">
        <f>IFERROR(INDEX('계좌현황'!D:D,INDEX($L$21:$L$97,MATCH(LARGE($N$21:$N$97,46),$N$21:$N$97,0))),"")</f>
        <v/>
      </c>
      <c r="E66" s="294">
        <f>IFERROR(INDEX('계좌현황'!E:E,INDEX($L$21:$L$97,MATCH(LARGE($N$21:$N$97,46),$N$21:$N$97,0))),"")</f>
        <v/>
      </c>
      <c r="F66" s="321">
        <f>IFERROR(INDEX('계좌현황'!F:F,INDEX($L$21:$L$97,MATCH(LARGE($N$21:$N$97,46),$N$21:$N$97,0))),"")</f>
        <v/>
      </c>
      <c r="G66" s="322">
        <f>IFERROR(INDEX('계좌현황'!K:K,INDEX($L$21:$L$97,MATCH(LARGE($N$21:$N$97,46),$N$21:$N$97,0))),0)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IFERROR(INDEX('계좌현황'!A:A,INDEX($L$21:$L$97,MATCH(LARGE($N$21:$N$97,47),$N$21:$N$97,0))),"")</f>
        <v/>
      </c>
      <c r="C67" s="294">
        <f>IFERROR(INDEX('계좌현황'!C:C,INDEX($L$21:$L$97,MATCH(LARGE($N$21:$N$97,47),$N$21:$N$97,0))),"")</f>
        <v/>
      </c>
      <c r="D67" s="294">
        <f>IFERROR(INDEX('계좌현황'!D:D,INDEX($L$21:$L$97,MATCH(LARGE($N$21:$N$97,47),$N$21:$N$97,0))),"")</f>
        <v/>
      </c>
      <c r="E67" s="294">
        <f>IFERROR(INDEX('계좌현황'!E:E,INDEX($L$21:$L$97,MATCH(LARGE($N$21:$N$97,47),$N$21:$N$97,0))),"")</f>
        <v/>
      </c>
      <c r="F67" s="321">
        <f>IFERROR(INDEX('계좌현황'!F:F,INDEX($L$21:$L$97,MATCH(LARGE($N$21:$N$97,47),$N$21:$N$97,0))),"")</f>
        <v/>
      </c>
      <c r="G67" s="322">
        <f>IFERROR(INDEX('계좌현황'!K:K,INDEX($L$21:$L$97,MATCH(LARGE($N$21:$N$97,47),$N$21:$N$97,0))),0)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IFERROR(INDEX('계좌현황'!A:A,INDEX($L$21:$L$97,MATCH(LARGE($N$21:$N$97,48),$N$21:$N$97,0))),"")</f>
        <v/>
      </c>
      <c r="C68" s="294">
        <f>IFERROR(INDEX('계좌현황'!C:C,INDEX($L$21:$L$97,MATCH(LARGE($N$21:$N$97,48),$N$21:$N$97,0))),"")</f>
        <v/>
      </c>
      <c r="D68" s="294">
        <f>IFERROR(INDEX('계좌현황'!D:D,INDEX($L$21:$L$97,MATCH(LARGE($N$21:$N$97,48),$N$21:$N$97,0))),"")</f>
        <v/>
      </c>
      <c r="E68" s="294">
        <f>IFERROR(INDEX('계좌현황'!E:E,INDEX($L$21:$L$97,MATCH(LARGE($N$21:$N$97,48),$N$21:$N$97,0))),"")</f>
        <v/>
      </c>
      <c r="F68" s="321">
        <f>IFERROR(INDEX('계좌현황'!F:F,INDEX($L$21:$L$97,MATCH(LARGE($N$21:$N$97,48),$N$21:$N$97,0))),"")</f>
        <v/>
      </c>
      <c r="G68" s="322">
        <f>IFERROR(INDEX('계좌현황'!K:K,INDEX($L$21:$L$97,MATCH(LARGE($N$21:$N$97,48),$N$21:$N$97,0))),0)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IFERROR(INDEX('계좌현황'!A:A,INDEX($L$21:$L$97,MATCH(LARGE($N$21:$N$97,49),$N$21:$N$97,0))),"")</f>
        <v/>
      </c>
      <c r="C69" s="294">
        <f>IFERROR(INDEX('계좌현황'!C:C,INDEX($L$21:$L$97,MATCH(LARGE($N$21:$N$97,49),$N$21:$N$97,0))),"")</f>
        <v/>
      </c>
      <c r="D69" s="294">
        <f>IFERROR(INDEX('계좌현황'!D:D,INDEX($L$21:$L$97,MATCH(LARGE($N$21:$N$97,49),$N$21:$N$97,0))),"")</f>
        <v/>
      </c>
      <c r="E69" s="294">
        <f>IFERROR(INDEX('계좌현황'!E:E,INDEX($L$21:$L$97,MATCH(LARGE($N$21:$N$97,49),$N$21:$N$97,0))),"")</f>
        <v/>
      </c>
      <c r="F69" s="321">
        <f>IFERROR(INDEX('계좌현황'!F:F,INDEX($L$21:$L$97,MATCH(LARGE($N$21:$N$97,49),$N$21:$N$97,0))),"")</f>
        <v/>
      </c>
      <c r="G69" s="322">
        <f>IFERROR(INDEX('계좌현황'!K:K,INDEX($L$21:$L$97,MATCH(LARGE($N$21:$N$97,49),$N$21:$N$97,0))),0)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IFERROR(INDEX('계좌현황'!A:A,INDEX($L$21:$L$97,MATCH(LARGE($N$21:$N$97,50),$N$21:$N$97,0))),"")</f>
        <v/>
      </c>
      <c r="C70" s="294">
        <f>IFERROR(INDEX('계좌현황'!C:C,INDEX($L$21:$L$97,MATCH(LARGE($N$21:$N$97,50),$N$21:$N$97,0))),"")</f>
        <v/>
      </c>
      <c r="D70" s="294">
        <f>IFERROR(INDEX('계좌현황'!D:D,INDEX($L$21:$L$97,MATCH(LARGE($N$21:$N$97,50),$N$21:$N$97,0))),"")</f>
        <v/>
      </c>
      <c r="E70" s="294">
        <f>IFERROR(INDEX('계좌현황'!E:E,INDEX($L$21:$L$97,MATCH(LARGE($N$21:$N$97,50),$N$21:$N$97,0))),"")</f>
        <v/>
      </c>
      <c r="F70" s="321">
        <f>IFERROR(INDEX('계좌현황'!F:F,INDEX($L$21:$L$97,MATCH(LARGE($N$21:$N$97,50),$N$21:$N$97,0))),"")</f>
        <v/>
      </c>
      <c r="G70" s="322">
        <f>IFERROR(INDEX('계좌현황'!K:K,INDEX($L$21:$L$97,MATCH(LARGE($N$21:$N$97,50),$N$21:$N$97,0))),0)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1" t="n">
        <v>51</v>
      </c>
      <c r="B71" s="291">
        <f>IFERROR(INDEX('계좌현황'!A:A,INDEX($L$21:$L$97,MATCH(LARGE($N$21:$N$97,51),$N$21:$N$97,0))),"")</f>
        <v/>
      </c>
      <c r="C71" s="291">
        <f>IFERROR(INDEX('계좌현황'!C:C,INDEX($L$21:$L$97,MATCH(LARGE($N$21:$N$97,51),$N$21:$N$97,0))),"")</f>
        <v/>
      </c>
      <c r="D71" s="291">
        <f>IFERROR(INDEX('계좌현황'!D:D,INDEX($L$21:$L$97,MATCH(LARGE($N$21:$N$97,51),$N$21:$N$97,0))),"")</f>
        <v/>
      </c>
      <c r="E71" s="291">
        <f>IFERROR(INDEX('계좌현황'!E:E,INDEX($L$21:$L$97,MATCH(LARGE($N$21:$N$97,51),$N$21:$N$97,0))),"")</f>
        <v/>
      </c>
      <c r="F71" s="318">
        <f>IFERROR(INDEX('계좌현황'!F:F,INDEX($L$21:$L$97,MATCH(LARGE($N$21:$N$97,51),$N$21:$N$97,0))),"")</f>
        <v/>
      </c>
      <c r="G71" s="319">
        <f>IFERROR(INDEX('계좌현황'!K:K,INDEX($L$21:$L$97,MATCH(LARGE($N$21:$N$97,51),$N$21:$N$97,0))),0)</f>
        <v/>
      </c>
      <c r="H71" s="320">
        <f>IF($B$3=0,0,G71/$B$3)</f>
        <v/>
      </c>
      <c r="I71" s="320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1" t="n">
        <v>52</v>
      </c>
      <c r="B72" s="291">
        <f>IFERROR(INDEX('계좌현황'!A:A,INDEX($L$21:$L$97,MATCH(LARGE($N$21:$N$97,52),$N$21:$N$97,0))),"")</f>
        <v/>
      </c>
      <c r="C72" s="291">
        <f>IFERROR(INDEX('계좌현황'!C:C,INDEX($L$21:$L$97,MATCH(LARGE($N$21:$N$97,52),$N$21:$N$97,0))),"")</f>
        <v/>
      </c>
      <c r="D72" s="291">
        <f>IFERROR(INDEX('계좌현황'!D:D,INDEX($L$21:$L$97,MATCH(LARGE($N$21:$N$97,52),$N$21:$N$97,0))),"")</f>
        <v/>
      </c>
      <c r="E72" s="291">
        <f>IFERROR(INDEX('계좌현황'!E:E,INDEX($L$21:$L$97,MATCH(LARGE($N$21:$N$97,52),$N$21:$N$97,0))),"")</f>
        <v/>
      </c>
      <c r="F72" s="318">
        <f>IFERROR(INDEX('계좌현황'!F:F,INDEX($L$21:$L$97,MATCH(LARGE($N$21:$N$97,52),$N$21:$N$97,0))),"")</f>
        <v/>
      </c>
      <c r="G72" s="319">
        <f>IFERROR(INDEX('계좌현황'!K:K,INDEX($L$21:$L$97,MATCH(LARGE($N$21:$N$97,52),$N$21:$N$97,0))),0)</f>
        <v/>
      </c>
      <c r="H72" s="320">
        <f>IF($B$3=0,0,G72/$B$3)</f>
        <v/>
      </c>
      <c r="I72" s="320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IFERROR(INDEX('계좌현황'!A:A,INDEX($L$21:$L$97,MATCH(LARGE($N$21:$N$97,53),$N$21:$N$97,0))),"")</f>
        <v/>
      </c>
      <c r="C73" s="294">
        <f>IFERROR(INDEX('계좌현황'!C:C,INDEX($L$21:$L$97,MATCH(LARGE($N$21:$N$97,53),$N$21:$N$97,0))),"")</f>
        <v/>
      </c>
      <c r="D73" s="294">
        <f>IFERROR(INDEX('계좌현황'!D:D,INDEX($L$21:$L$97,MATCH(LARGE($N$21:$N$97,53),$N$21:$N$97,0))),"")</f>
        <v/>
      </c>
      <c r="E73" s="294">
        <f>IFERROR(INDEX('계좌현황'!E:E,INDEX($L$21:$L$97,MATCH(LARGE($N$21:$N$97,53),$N$21:$N$97,0))),"")</f>
        <v/>
      </c>
      <c r="F73" s="321">
        <f>IFERROR(INDEX('계좌현황'!F:F,INDEX($L$21:$L$97,MATCH(LARGE($N$21:$N$97,53),$N$21:$N$97,0))),"")</f>
        <v/>
      </c>
      <c r="G73" s="322">
        <f>IFERROR(INDEX('계좌현황'!K:K,INDEX($L$21:$L$97,MATCH(LARGE($N$21:$N$97,53),$N$21:$N$97,0))),0)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IFERROR(INDEX('계좌현황'!A:A,INDEX($L$21:$L$97,MATCH(LARGE($N$21:$N$97,54),$N$21:$N$97,0))),"")</f>
        <v/>
      </c>
      <c r="C74" s="294">
        <f>IFERROR(INDEX('계좌현황'!C:C,INDEX($L$21:$L$97,MATCH(LARGE($N$21:$N$97,54),$N$21:$N$97,0))),"")</f>
        <v/>
      </c>
      <c r="D74" s="294">
        <f>IFERROR(INDEX('계좌현황'!D:D,INDEX($L$21:$L$97,MATCH(LARGE($N$21:$N$97,54),$N$21:$N$97,0))),"")</f>
        <v/>
      </c>
      <c r="E74" s="294">
        <f>IFERROR(INDEX('계좌현황'!E:E,INDEX($L$21:$L$97,MATCH(LARGE($N$21:$N$97,54),$N$21:$N$97,0))),"")</f>
        <v/>
      </c>
      <c r="F74" s="321">
        <f>IFERROR(INDEX('계좌현황'!F:F,INDEX($L$21:$L$97,MATCH(LARGE($N$21:$N$97,54),$N$21:$N$97,0))),"")</f>
        <v/>
      </c>
      <c r="G74" s="322">
        <f>IFERROR(INDEX('계좌현황'!K:K,INDEX($L$21:$L$97,MATCH(LARGE($N$21:$N$97,54),$N$21:$N$97,0))),0)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IFERROR(INDEX('계좌현황'!A:A,INDEX($L$21:$L$97,MATCH(LARGE($N$21:$N$97,55),$N$21:$N$97,0))),"")</f>
        <v/>
      </c>
      <c r="C75" s="294">
        <f>IFERROR(INDEX('계좌현황'!C:C,INDEX($L$21:$L$97,MATCH(LARGE($N$21:$N$97,55),$N$21:$N$97,0))),"")</f>
        <v/>
      </c>
      <c r="D75" s="294">
        <f>IFERROR(INDEX('계좌현황'!D:D,INDEX($L$21:$L$97,MATCH(LARGE($N$21:$N$97,55),$N$21:$N$97,0))),"")</f>
        <v/>
      </c>
      <c r="E75" s="294">
        <f>IFERROR(INDEX('계좌현황'!E:E,INDEX($L$21:$L$97,MATCH(LARGE($N$21:$N$97,55),$N$21:$N$97,0))),"")</f>
        <v/>
      </c>
      <c r="F75" s="321">
        <f>IFERROR(INDEX('계좌현황'!F:F,INDEX($L$21:$L$97,MATCH(LARGE($N$21:$N$97,55),$N$21:$N$97,0))),"")</f>
        <v/>
      </c>
      <c r="G75" s="322">
        <f>IFERROR(INDEX('계좌현황'!K:K,INDEX($L$21:$L$97,MATCH(LARGE($N$21:$N$97,55),$N$21:$N$97,0))),0)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IFERROR(INDEX('계좌현황'!A:A,INDEX($L$21:$L$97,MATCH(LARGE($N$21:$N$97,56),$N$21:$N$97,0))),"")</f>
        <v/>
      </c>
      <c r="C76" s="294">
        <f>IFERROR(INDEX('계좌현황'!C:C,INDEX($L$21:$L$97,MATCH(LARGE($N$21:$N$97,56),$N$21:$N$97,0))),"")</f>
        <v/>
      </c>
      <c r="D76" s="294">
        <f>IFERROR(INDEX('계좌현황'!D:D,INDEX($L$21:$L$97,MATCH(LARGE($N$21:$N$97,56),$N$21:$N$97,0))),"")</f>
        <v/>
      </c>
      <c r="E76" s="294">
        <f>IFERROR(INDEX('계좌현황'!E:E,INDEX($L$21:$L$97,MATCH(LARGE($N$21:$N$97,56),$N$21:$N$97,0))),"")</f>
        <v/>
      </c>
      <c r="F76" s="321">
        <f>IFERROR(INDEX('계좌현황'!F:F,INDEX($L$21:$L$97,MATCH(LARGE($N$21:$N$97,56),$N$21:$N$97,0))),"")</f>
        <v/>
      </c>
      <c r="G76" s="322">
        <f>IFERROR(INDEX('계좌현황'!K:K,INDEX($L$21:$L$97,MATCH(LARGE($N$21:$N$97,56),$N$21:$N$97,0))),0)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IFERROR(INDEX('계좌현황'!A:A,INDEX($L$21:$L$97,MATCH(LARGE($N$21:$N$97,57),$N$21:$N$97,0))),"")</f>
        <v/>
      </c>
      <c r="C77" s="294">
        <f>IFERROR(INDEX('계좌현황'!C:C,INDEX($L$21:$L$97,MATCH(LARGE($N$21:$N$97,57),$N$21:$N$97,0))),"")</f>
        <v/>
      </c>
      <c r="D77" s="294">
        <f>IFERROR(INDEX('계좌현황'!D:D,INDEX($L$21:$L$97,MATCH(LARGE($N$21:$N$97,57),$N$21:$N$97,0))),"")</f>
        <v/>
      </c>
      <c r="E77" s="294">
        <f>IFERROR(INDEX('계좌현황'!E:E,INDEX($L$21:$L$97,MATCH(LARGE($N$21:$N$97,57),$N$21:$N$97,0))),"")</f>
        <v/>
      </c>
      <c r="F77" s="321">
        <f>IFERROR(INDEX('계좌현황'!F:F,INDEX($L$21:$L$97,MATCH(LARGE($N$21:$N$97,57),$N$21:$N$97,0))),"")</f>
        <v/>
      </c>
      <c r="G77" s="322">
        <f>IFERROR(INDEX('계좌현황'!K:K,INDEX($L$21:$L$97,MATCH(LARGE($N$21:$N$97,57),$N$21:$N$97,0))),0)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IFERROR(INDEX('계좌현황'!A:A,INDEX($L$21:$L$97,MATCH(LARGE($N$21:$N$97,58),$N$21:$N$97,0))),"")</f>
        <v/>
      </c>
      <c r="C78" s="294">
        <f>IFERROR(INDEX('계좌현황'!C:C,INDEX($L$21:$L$97,MATCH(LARGE($N$21:$N$97,58),$N$21:$N$97,0))),"")</f>
        <v/>
      </c>
      <c r="D78" s="294">
        <f>IFERROR(INDEX('계좌현황'!D:D,INDEX($L$21:$L$97,MATCH(LARGE($N$21:$N$97,58),$N$21:$N$97,0))),"")</f>
        <v/>
      </c>
      <c r="E78" s="294">
        <f>IFERROR(INDEX('계좌현황'!E:E,INDEX($L$21:$L$97,MATCH(LARGE($N$21:$N$97,58),$N$21:$N$97,0))),"")</f>
        <v/>
      </c>
      <c r="F78" s="321">
        <f>IFERROR(INDEX('계좌현황'!F:F,INDEX($L$21:$L$97,MATCH(LARGE($N$21:$N$97,58),$N$21:$N$97,0))),"")</f>
        <v/>
      </c>
      <c r="G78" s="322">
        <f>IFERROR(INDEX('계좌현황'!K:K,INDEX($L$21:$L$97,MATCH(LARGE($N$21:$N$97,58),$N$21:$N$97,0))),0)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IFERROR(INDEX('계좌현황'!A:A,INDEX($L$21:$L$97,MATCH(LARGE($N$21:$N$97,59),$N$21:$N$97,0))),"")</f>
        <v/>
      </c>
      <c r="C79" s="294">
        <f>IFERROR(INDEX('계좌현황'!C:C,INDEX($L$21:$L$97,MATCH(LARGE($N$21:$N$97,59),$N$21:$N$97,0))),"")</f>
        <v/>
      </c>
      <c r="D79" s="294">
        <f>IFERROR(INDEX('계좌현황'!D:D,INDEX($L$21:$L$97,MATCH(LARGE($N$21:$N$97,59),$N$21:$N$97,0))),"")</f>
        <v/>
      </c>
      <c r="E79" s="294">
        <f>IFERROR(INDEX('계좌현황'!E:E,INDEX($L$21:$L$97,MATCH(LARGE($N$21:$N$97,59),$N$21:$N$97,0))),"")</f>
        <v/>
      </c>
      <c r="F79" s="321">
        <f>IFERROR(INDEX('계좌현황'!F:F,INDEX($L$21:$L$97,MATCH(LARGE($N$21:$N$97,59),$N$21:$N$97,0))),"")</f>
        <v/>
      </c>
      <c r="G79" s="322">
        <f>IFERROR(INDEX('계좌현황'!K:K,INDEX($L$21:$L$97,MATCH(LARGE($N$21:$N$97,59),$N$21:$N$97,0))),0)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IFERROR(INDEX('계좌현황'!A:A,INDEX($L$21:$L$97,MATCH(LARGE($N$21:$N$97,60),$N$21:$N$97,0))),"")</f>
        <v/>
      </c>
      <c r="C80" s="294">
        <f>IFERROR(INDEX('계좌현황'!C:C,INDEX($L$21:$L$97,MATCH(LARGE($N$21:$N$97,60),$N$21:$N$97,0))),"")</f>
        <v/>
      </c>
      <c r="D80" s="294">
        <f>IFERROR(INDEX('계좌현황'!D:D,INDEX($L$21:$L$97,MATCH(LARGE($N$21:$N$97,60),$N$21:$N$97,0))),"")</f>
        <v/>
      </c>
      <c r="E80" s="294">
        <f>IFERROR(INDEX('계좌현황'!E:E,INDEX($L$21:$L$97,MATCH(LARGE($N$21:$N$97,60),$N$21:$N$97,0))),"")</f>
        <v/>
      </c>
      <c r="F80" s="321">
        <f>IFERROR(INDEX('계좌현황'!F:F,INDEX($L$21:$L$97,MATCH(LARGE($N$21:$N$97,60),$N$21:$N$97,0))),"")</f>
        <v/>
      </c>
      <c r="G80" s="322">
        <f>IFERROR(INDEX('계좌현황'!K:K,INDEX($L$21:$L$97,MATCH(LARGE($N$21:$N$97,60),$N$21:$N$97,0))),0)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4" t="n">
        <v>61</v>
      </c>
      <c r="B81" s="294">
        <f>IFERROR(INDEX('계좌현황'!A:A,INDEX($L$21:$L$97,MATCH(LARGE($N$21:$N$97,61),$N$21:$N$97,0))),"")</f>
        <v/>
      </c>
      <c r="C81" s="294">
        <f>IFERROR(INDEX('계좌현황'!C:C,INDEX($L$21:$L$97,MATCH(LARGE($N$21:$N$97,61),$N$21:$N$97,0))),"")</f>
        <v/>
      </c>
      <c r="D81" s="294">
        <f>IFERROR(INDEX('계좌현황'!D:D,INDEX($L$21:$L$97,MATCH(LARGE($N$21:$N$97,61),$N$21:$N$97,0))),"")</f>
        <v/>
      </c>
      <c r="E81" s="294">
        <f>IFERROR(INDEX('계좌현황'!E:E,INDEX($L$21:$L$97,MATCH(LARGE($N$21:$N$97,61),$N$21:$N$97,0))),"")</f>
        <v/>
      </c>
      <c r="F81" s="321">
        <f>IFERROR(INDEX('계좌현황'!F:F,INDEX($L$21:$L$97,MATCH(LARGE($N$21:$N$97,61),$N$21:$N$97,0))),"")</f>
        <v/>
      </c>
      <c r="G81" s="322">
        <f>IFERROR(INDEX('계좌현황'!K:K,INDEX($L$21:$L$97,MATCH(LARGE($N$21:$N$97,61),$N$21:$N$97,0))),0)</f>
        <v/>
      </c>
      <c r="H81" s="323">
        <f>IF($B$3=0,0,G81/$B$3)</f>
        <v/>
      </c>
      <c r="I81" s="323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IFERROR(INDEX('계좌현황'!A:A,INDEX($L$21:$L$97,MATCH(LARGE($N$21:$N$97,62),$N$21:$N$97,0))),"")</f>
        <v/>
      </c>
      <c r="C82" s="294">
        <f>IFERROR(INDEX('계좌현황'!C:C,INDEX($L$21:$L$97,MATCH(LARGE($N$21:$N$97,62),$N$21:$N$97,0))),"")</f>
        <v/>
      </c>
      <c r="D82" s="294">
        <f>IFERROR(INDEX('계좌현황'!D:D,INDEX($L$21:$L$97,MATCH(LARGE($N$21:$N$97,62),$N$21:$N$97,0))),"")</f>
        <v/>
      </c>
      <c r="E82" s="294">
        <f>IFERROR(INDEX('계좌현황'!E:E,INDEX($L$21:$L$97,MATCH(LARGE($N$21:$N$97,62),$N$21:$N$97,0))),"")</f>
        <v/>
      </c>
      <c r="F82" s="321">
        <f>IFERROR(INDEX('계좌현황'!F:F,INDEX($L$21:$L$97,MATCH(LARGE($N$21:$N$97,62),$N$21:$N$97,0))),"")</f>
        <v/>
      </c>
      <c r="G82" s="322">
        <f>IFERROR(INDEX('계좌현황'!K:K,INDEX($L$21:$L$97,MATCH(LARGE($N$21:$N$97,62),$N$21:$N$97,0))),0)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4" t="n">
        <v>63</v>
      </c>
      <c r="B83" s="294">
        <f>IFERROR(INDEX('계좌현황'!A:A,INDEX($L$21:$L$97,MATCH(LARGE($N$21:$N$97,63),$N$21:$N$97,0))),"")</f>
        <v/>
      </c>
      <c r="C83" s="294">
        <f>IFERROR(INDEX('계좌현황'!C:C,INDEX($L$21:$L$97,MATCH(LARGE($N$21:$N$97,63),$N$21:$N$97,0))),"")</f>
        <v/>
      </c>
      <c r="D83" s="294">
        <f>IFERROR(INDEX('계좌현황'!D:D,INDEX($L$21:$L$97,MATCH(LARGE($N$21:$N$97,63),$N$21:$N$97,0))),"")</f>
        <v/>
      </c>
      <c r="E83" s="294">
        <f>IFERROR(INDEX('계좌현황'!E:E,INDEX($L$21:$L$97,MATCH(LARGE($N$21:$N$97,63),$N$21:$N$97,0))),"")</f>
        <v/>
      </c>
      <c r="F83" s="321">
        <f>IFERROR(INDEX('계좌현황'!F:F,INDEX($L$21:$L$97,MATCH(LARGE($N$21:$N$97,63),$N$21:$N$97,0))),"")</f>
        <v/>
      </c>
      <c r="G83" s="322">
        <f>IFERROR(INDEX('계좌현황'!K:K,INDEX($L$21:$L$97,MATCH(LARGE($N$21:$N$97,63),$N$21:$N$97,0))),0)</f>
        <v/>
      </c>
      <c r="H83" s="323">
        <f>IF($B$3=0,0,G83/$B$3)</f>
        <v/>
      </c>
      <c r="I83" s="32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IFERROR(INDEX('계좌현황'!A:A,INDEX($L$21:$L$97,MATCH(LARGE($N$21:$N$97,64),$N$21:$N$97,0))),"")</f>
        <v/>
      </c>
      <c r="C84" s="294">
        <f>IFERROR(INDEX('계좌현황'!C:C,INDEX($L$21:$L$97,MATCH(LARGE($N$21:$N$97,64),$N$21:$N$97,0))),"")</f>
        <v/>
      </c>
      <c r="D84" s="294">
        <f>IFERROR(INDEX('계좌현황'!D:D,INDEX($L$21:$L$97,MATCH(LARGE($N$21:$N$97,64),$N$21:$N$97,0))),"")</f>
        <v/>
      </c>
      <c r="E84" s="294">
        <f>IFERROR(INDEX('계좌현황'!E:E,INDEX($L$21:$L$97,MATCH(LARGE($N$21:$N$97,64),$N$21:$N$97,0))),"")</f>
        <v/>
      </c>
      <c r="F84" s="321">
        <f>IFERROR(INDEX('계좌현황'!F:F,INDEX($L$21:$L$97,MATCH(LARGE($N$21:$N$97,64),$N$21:$N$97,0))),"")</f>
        <v/>
      </c>
      <c r="G84" s="322">
        <f>IFERROR(INDEX('계좌현황'!K:K,INDEX($L$21:$L$97,MATCH(LARGE($N$21:$N$97,64),$N$21:$N$97,0))),0)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6" t="n">
        <v>65</v>
      </c>
      <c r="B85" s="306">
        <f>IFERROR(INDEX('계좌현황'!A:A,INDEX($L$21:$L$97,MATCH(LARGE($N$21:$N$97,65),$N$21:$N$97,0))),"")</f>
        <v/>
      </c>
      <c r="C85" s="306">
        <f>IFERROR(INDEX('계좌현황'!C:C,INDEX($L$21:$L$97,MATCH(LARGE($N$21:$N$97,65),$N$21:$N$97,0))),"")</f>
        <v/>
      </c>
      <c r="D85" s="306">
        <f>IFERROR(INDEX('계좌현황'!D:D,INDEX($L$21:$L$97,MATCH(LARGE($N$21:$N$97,65),$N$21:$N$97,0))),"")</f>
        <v/>
      </c>
      <c r="E85" s="306">
        <f>IFERROR(INDEX('계좌현황'!E:E,INDEX($L$21:$L$97,MATCH(LARGE($N$21:$N$97,65),$N$21:$N$97,0))),"")</f>
        <v/>
      </c>
      <c r="F85" s="330">
        <f>IFERROR(INDEX('계좌현황'!F:F,INDEX($L$21:$L$97,MATCH(LARGE($N$21:$N$97,65),$N$21:$N$97,0))),"")</f>
        <v/>
      </c>
      <c r="G85" s="331">
        <f>IFERROR(INDEX('계좌현황'!K:K,INDEX($L$21:$L$97,MATCH(LARGE($N$21:$N$97,65),$N$21:$N$97,0))),0)</f>
        <v/>
      </c>
      <c r="H85" s="332">
        <f>IF($B$3=0,0,G85/$B$3)</f>
        <v/>
      </c>
      <c r="I85" s="332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4" t="n">
        <v>66</v>
      </c>
      <c r="B86" s="294">
        <f>IFERROR(INDEX('계좌현황'!A:A,INDEX($L$21:$L$97,MATCH(LARGE($N$21:$N$97,66),$N$21:$N$97,0))),"")</f>
        <v/>
      </c>
      <c r="C86" s="294">
        <f>IFERROR(INDEX('계좌현황'!C:C,INDEX($L$21:$L$97,MATCH(LARGE($N$21:$N$97,66),$N$21:$N$97,0))),"")</f>
        <v/>
      </c>
      <c r="D86" s="294">
        <f>IFERROR(INDEX('계좌현황'!D:D,INDEX($L$21:$L$97,MATCH(LARGE($N$21:$N$97,66),$N$21:$N$97,0))),"")</f>
        <v/>
      </c>
      <c r="E86" s="294">
        <f>IFERROR(INDEX('계좌현황'!E:E,INDEX($L$21:$L$97,MATCH(LARGE($N$21:$N$97,66),$N$21:$N$97,0))),"")</f>
        <v/>
      </c>
      <c r="F86" s="321">
        <f>IFERROR(INDEX('계좌현황'!F:F,INDEX($L$21:$L$97,MATCH(LARGE($N$21:$N$97,66),$N$21:$N$97,0))),"")</f>
        <v/>
      </c>
      <c r="G86" s="322">
        <f>IFERROR(INDEX('계좌현황'!K:K,INDEX($L$21:$L$97,MATCH(LARGE($N$21:$N$97,66),$N$21:$N$97,0))),0)</f>
        <v/>
      </c>
      <c r="H86" s="323">
        <f>IF($B$3=0,0,G86/$B$3)</f>
        <v/>
      </c>
      <c r="I86" s="32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IFERROR(INDEX('계좌현황'!A:A,INDEX($L$21:$L$97,MATCH(LARGE($N$21:$N$97,67),$N$21:$N$97,0))),"")</f>
        <v/>
      </c>
      <c r="C87" s="294">
        <f>IFERROR(INDEX('계좌현황'!C:C,INDEX($L$21:$L$97,MATCH(LARGE($N$21:$N$97,67),$N$21:$N$97,0))),"")</f>
        <v/>
      </c>
      <c r="D87" s="294">
        <f>IFERROR(INDEX('계좌현황'!D:D,INDEX($L$21:$L$97,MATCH(LARGE($N$21:$N$97,67),$N$21:$N$97,0))),"")</f>
        <v/>
      </c>
      <c r="E87" s="294">
        <f>IFERROR(INDEX('계좌현황'!E:E,INDEX($L$21:$L$97,MATCH(LARGE($N$21:$N$97,67),$N$21:$N$97,0))),"")</f>
        <v/>
      </c>
      <c r="F87" s="321">
        <f>IFERROR(INDEX('계좌현황'!F:F,INDEX($L$21:$L$97,MATCH(LARGE($N$21:$N$97,67),$N$21:$N$97,0))),"")</f>
        <v/>
      </c>
      <c r="G87" s="322">
        <f>IFERROR(INDEX('계좌현황'!K:K,INDEX($L$21:$L$97,MATCH(LARGE($N$21:$N$97,67),$N$21:$N$97,0))),0)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6" t="n">
        <v>68</v>
      </c>
      <c r="B88" s="306">
        <f>IFERROR(INDEX('계좌현황'!A:A,INDEX($L$21:$L$97,MATCH(LARGE($N$21:$N$97,68),$N$21:$N$97,0))),"")</f>
        <v/>
      </c>
      <c r="C88" s="306">
        <f>IFERROR(INDEX('계좌현황'!C:C,INDEX($L$21:$L$97,MATCH(LARGE($N$21:$N$97,68),$N$21:$N$97,0))),"")</f>
        <v/>
      </c>
      <c r="D88" s="306">
        <f>IFERROR(INDEX('계좌현황'!D:D,INDEX($L$21:$L$97,MATCH(LARGE($N$21:$N$97,68),$N$21:$N$97,0))),"")</f>
        <v/>
      </c>
      <c r="E88" s="306">
        <f>IFERROR(INDEX('계좌현황'!E:E,INDEX($L$21:$L$97,MATCH(LARGE($N$21:$N$97,68),$N$21:$N$97,0))),"")</f>
        <v/>
      </c>
      <c r="F88" s="330">
        <f>IFERROR(INDEX('계좌현황'!F:F,INDEX($L$21:$L$97,MATCH(LARGE($N$21:$N$97,68),$N$21:$N$97,0))),"")</f>
        <v/>
      </c>
      <c r="G88" s="331">
        <f>IFERROR(INDEX('계좌현황'!K:K,INDEX($L$21:$L$97,MATCH(LARGE($N$21:$N$97,68),$N$21:$N$97,0))),0)</f>
        <v/>
      </c>
      <c r="H88" s="332">
        <f>IF($B$3=0,0,G88/$B$3)</f>
        <v/>
      </c>
      <c r="I88" s="332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IFERROR(INDEX('계좌현황'!A:A,INDEX($L$21:$L$97,MATCH(LARGE($N$21:$N$97,69),$N$21:$N$97,0))),"")</f>
        <v/>
      </c>
      <c r="C89" s="294">
        <f>IFERROR(INDEX('계좌현황'!C:C,INDEX($L$21:$L$97,MATCH(LARGE($N$21:$N$97,69),$N$21:$N$97,0))),"")</f>
        <v/>
      </c>
      <c r="D89" s="294">
        <f>IFERROR(INDEX('계좌현황'!D:D,INDEX($L$21:$L$97,MATCH(LARGE($N$21:$N$97,69),$N$21:$N$97,0))),"")</f>
        <v/>
      </c>
      <c r="E89" s="294">
        <f>IFERROR(INDEX('계좌현황'!E:E,INDEX($L$21:$L$97,MATCH(LARGE($N$21:$N$97,69),$N$21:$N$97,0))),"")</f>
        <v/>
      </c>
      <c r="F89" s="321">
        <f>IFERROR(INDEX('계좌현황'!F:F,INDEX($L$21:$L$97,MATCH(LARGE($N$21:$N$97,69),$N$21:$N$97,0))),"")</f>
        <v/>
      </c>
      <c r="G89" s="322">
        <f>IFERROR(INDEX('계좌현황'!K:K,INDEX($L$21:$L$97,MATCH(LARGE($N$21:$N$97,69),$N$21:$N$97,0))),0)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6" t="n">
        <v>70</v>
      </c>
      <c r="B90" s="306">
        <f>IFERROR(INDEX('계좌현황'!A:A,INDEX($L$21:$L$97,MATCH(LARGE($N$21:$N$97,70),$N$21:$N$97,0))),"")</f>
        <v/>
      </c>
      <c r="C90" s="306">
        <f>IFERROR(INDEX('계좌현황'!C:C,INDEX($L$21:$L$97,MATCH(LARGE($N$21:$N$97,70),$N$21:$N$97,0))),"")</f>
        <v/>
      </c>
      <c r="D90" s="306">
        <f>IFERROR(INDEX('계좌현황'!D:D,INDEX($L$21:$L$97,MATCH(LARGE($N$21:$N$97,70),$N$21:$N$97,0))),"")</f>
        <v/>
      </c>
      <c r="E90" s="306">
        <f>IFERROR(INDEX('계좌현황'!E:E,INDEX($L$21:$L$97,MATCH(LARGE($N$21:$N$97,70),$N$21:$N$97,0))),"")</f>
        <v/>
      </c>
      <c r="F90" s="330">
        <f>IFERROR(INDEX('계좌현황'!F:F,INDEX($L$21:$L$97,MATCH(LARGE($N$21:$N$97,70),$N$21:$N$97,0))),"")</f>
        <v/>
      </c>
      <c r="G90" s="331">
        <f>IFERROR(INDEX('계좌현황'!K:K,INDEX($L$21:$L$97,MATCH(LARGE($N$21:$N$97,70),$N$21:$N$97,0))),0)</f>
        <v/>
      </c>
      <c r="H90" s="332">
        <f>IF($B$3=0,0,G90/$B$3)</f>
        <v/>
      </c>
      <c r="I90" s="332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IFERROR(INDEX('계좌현황'!A:A,INDEX($L$21:$L$97,MATCH(LARGE($N$21:$N$97,71),$N$21:$N$97,0))),"")</f>
        <v/>
      </c>
      <c r="C91" s="294">
        <f>IFERROR(INDEX('계좌현황'!C:C,INDEX($L$21:$L$97,MATCH(LARGE($N$21:$N$97,71),$N$21:$N$97,0))),"")</f>
        <v/>
      </c>
      <c r="D91" s="294">
        <f>IFERROR(INDEX('계좌현황'!D:D,INDEX($L$21:$L$97,MATCH(LARGE($N$21:$N$97,71),$N$21:$N$97,0))),"")</f>
        <v/>
      </c>
      <c r="E91" s="294">
        <f>IFERROR(INDEX('계좌현황'!E:E,INDEX($L$21:$L$97,MATCH(LARGE($N$21:$N$97,71),$N$21:$N$97,0))),"")</f>
        <v/>
      </c>
      <c r="F91" s="321">
        <f>IFERROR(INDEX('계좌현황'!F:F,INDEX($L$21:$L$97,MATCH(LARGE($N$21:$N$97,71),$N$21:$N$97,0))),"")</f>
        <v/>
      </c>
      <c r="G91" s="322">
        <f>IFERROR(INDEX('계좌현황'!K:K,INDEX($L$21:$L$97,MATCH(LARGE($N$21:$N$97,71),$N$21:$N$97,0))),0)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IFERROR(INDEX('계좌현황'!A:A,INDEX($L$21:$L$97,MATCH(LARGE($N$21:$N$97,72),$N$21:$N$97,0))),"")</f>
        <v/>
      </c>
      <c r="C92" s="294">
        <f>IFERROR(INDEX('계좌현황'!C:C,INDEX($L$21:$L$97,MATCH(LARGE($N$21:$N$97,72),$N$21:$N$97,0))),"")</f>
        <v/>
      </c>
      <c r="D92" s="294">
        <f>IFERROR(INDEX('계좌현황'!D:D,INDEX($L$21:$L$97,MATCH(LARGE($N$21:$N$97,72),$N$21:$N$97,0))),"")</f>
        <v/>
      </c>
      <c r="E92" s="294">
        <f>IFERROR(INDEX('계좌현황'!E:E,INDEX($L$21:$L$97,MATCH(LARGE($N$21:$N$97,72),$N$21:$N$97,0))),"")</f>
        <v/>
      </c>
      <c r="F92" s="321">
        <f>IFERROR(INDEX('계좌현황'!F:F,INDEX($L$21:$L$97,MATCH(LARGE($N$21:$N$97,72),$N$21:$N$97,0))),"")</f>
        <v/>
      </c>
      <c r="G92" s="322">
        <f>IFERROR(INDEX('계좌현황'!K:K,INDEX($L$21:$L$97,MATCH(LARGE($N$21:$N$97,72),$N$21:$N$97,0))),0)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IFERROR(INDEX('계좌현황'!A:A,INDEX($L$21:$L$97,MATCH(LARGE($N$21:$N$97,73),$N$21:$N$97,0))),"")</f>
        <v/>
      </c>
      <c r="C93" s="294">
        <f>IFERROR(INDEX('계좌현황'!C:C,INDEX($L$21:$L$97,MATCH(LARGE($N$21:$N$97,73),$N$21:$N$97,0))),"")</f>
        <v/>
      </c>
      <c r="D93" s="294">
        <f>IFERROR(INDEX('계좌현황'!D:D,INDEX($L$21:$L$97,MATCH(LARGE($N$21:$N$97,73),$N$21:$N$97,0))),"")</f>
        <v/>
      </c>
      <c r="E93" s="294">
        <f>IFERROR(INDEX('계좌현황'!E:E,INDEX($L$21:$L$97,MATCH(LARGE($N$21:$N$97,73),$N$21:$N$97,0))),"")</f>
        <v/>
      </c>
      <c r="F93" s="321">
        <f>IFERROR(INDEX('계좌현황'!F:F,INDEX($L$21:$L$97,MATCH(LARGE($N$21:$N$97,73),$N$21:$N$97,0))),"")</f>
        <v/>
      </c>
      <c r="G93" s="322">
        <f>IFERROR(INDEX('계좌현황'!K:K,INDEX($L$21:$L$97,MATCH(LARGE($N$21:$N$97,73),$N$21:$N$97,0))),0)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4" t="n">
        <v>74</v>
      </c>
      <c r="B94" s="294">
        <f>IFERROR(INDEX('계좌현황'!A:A,INDEX($L$21:$L$97,MATCH(LARGE($N$21:$N$97,74),$N$21:$N$97,0))),"")</f>
        <v/>
      </c>
      <c r="C94" s="294">
        <f>IFERROR(INDEX('계좌현황'!C:C,INDEX($L$21:$L$97,MATCH(LARGE($N$21:$N$97,74),$N$21:$N$97,0))),"")</f>
        <v/>
      </c>
      <c r="D94" s="294">
        <f>IFERROR(INDEX('계좌현황'!D:D,INDEX($L$21:$L$97,MATCH(LARGE($N$21:$N$97,74),$N$21:$N$97,0))),"")</f>
        <v/>
      </c>
      <c r="E94" s="294">
        <f>IFERROR(INDEX('계좌현황'!E:E,INDEX($L$21:$L$97,MATCH(LARGE($N$21:$N$97,74),$N$21:$N$97,0))),"")</f>
        <v/>
      </c>
      <c r="F94" s="321">
        <f>IFERROR(INDEX('계좌현황'!F:F,INDEX($L$21:$L$97,MATCH(LARGE($N$21:$N$97,74),$N$21:$N$97,0))),"")</f>
        <v/>
      </c>
      <c r="G94" s="322">
        <f>IFERROR(INDEX('계좌현황'!K:K,INDEX($L$21:$L$97,MATCH(LARGE($N$21:$N$97,74),$N$21:$N$97,0))),0)</f>
        <v/>
      </c>
      <c r="H94" s="323">
        <f>IF($B$3=0,0,G94/$B$3)</f>
        <v/>
      </c>
      <c r="I94" s="323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4" t="n">
        <v>75</v>
      </c>
      <c r="B95" s="294">
        <f>IFERROR(INDEX('계좌현황'!A:A,INDEX($L$21:$L$97,MATCH(LARGE($N$21:$N$97,75),$N$21:$N$97,0))),"")</f>
        <v/>
      </c>
      <c r="C95" s="294">
        <f>IFERROR(INDEX('계좌현황'!C:C,INDEX($L$21:$L$97,MATCH(LARGE($N$21:$N$97,75),$N$21:$N$97,0))),"")</f>
        <v/>
      </c>
      <c r="D95" s="294">
        <f>IFERROR(INDEX('계좌현황'!D:D,INDEX($L$21:$L$97,MATCH(LARGE($N$21:$N$97,75),$N$21:$N$97,0))),"")</f>
        <v/>
      </c>
      <c r="E95" s="294">
        <f>IFERROR(INDEX('계좌현황'!E:E,INDEX($L$21:$L$97,MATCH(LARGE($N$21:$N$97,75),$N$21:$N$97,0))),"")</f>
        <v/>
      </c>
      <c r="F95" s="321">
        <f>IFERROR(INDEX('계좌현황'!F:F,INDEX($L$21:$L$97,MATCH(LARGE($N$21:$N$97,75),$N$21:$N$97,0))),"")</f>
        <v/>
      </c>
      <c r="G95" s="322">
        <f>IFERROR(INDEX('계좌현황'!K:K,INDEX($L$21:$L$97,MATCH(LARGE($N$21:$N$97,75),$N$21:$N$97,0))),0)</f>
        <v/>
      </c>
      <c r="H95" s="323">
        <f>IF($B$3=0,0,G95/$B$3)</f>
        <v/>
      </c>
      <c r="I95" s="323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7" t="n">
        <v>76</v>
      </c>
      <c r="B96" s="297">
        <f>IFERROR(INDEX('계좌현황'!A:A,INDEX($L$21:$L$97,MATCH(LARGE($N$21:$N$97,76),$N$21:$N$97,0))),"")</f>
        <v/>
      </c>
      <c r="C96" s="297">
        <f>IFERROR(INDEX('계좌현황'!C:C,INDEX($L$21:$L$97,MATCH(LARGE($N$21:$N$97,76),$N$21:$N$97,0))),"")</f>
        <v/>
      </c>
      <c r="D96" s="297">
        <f>IFERROR(INDEX('계좌현황'!D:D,INDEX($L$21:$L$97,MATCH(LARGE($N$21:$N$97,76),$N$21:$N$97,0))),"")</f>
        <v/>
      </c>
      <c r="E96" s="297">
        <f>IFERROR(INDEX('계좌현황'!E:E,INDEX($L$21:$L$97,MATCH(LARGE($N$21:$N$97,76),$N$21:$N$97,0))),"")</f>
        <v/>
      </c>
      <c r="F96" s="333">
        <f>IFERROR(INDEX('계좌현황'!F:F,INDEX($L$21:$L$97,MATCH(LARGE($N$21:$N$97,76),$N$21:$N$97,0))),"")</f>
        <v/>
      </c>
      <c r="G96" s="334">
        <f>IFERROR(INDEX('계좌현황'!K:K,INDEX($L$21:$L$97,MATCH(LARGE($N$21:$N$97,76),$N$21:$N$97,0))),0)</f>
        <v/>
      </c>
      <c r="H96" s="335">
        <f>IF($B$3=0,0,G96/$B$3)</f>
        <v/>
      </c>
      <c r="I96" s="335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3" t="n">
        <v>77</v>
      </c>
      <c r="B97" s="303">
        <f>IFERROR(INDEX('계좌현황'!A:A,INDEX($L$21:$L$97,MATCH(LARGE($N$21:$N$97,77),$N$21:$N$97,0))),"")</f>
        <v/>
      </c>
      <c r="C97" s="303">
        <f>IFERROR(INDEX('계좌현황'!C:C,INDEX($L$21:$L$97,MATCH(LARGE($N$21:$N$97,77),$N$21:$N$97,0))),"")</f>
        <v/>
      </c>
      <c r="D97" s="303">
        <f>IFERROR(INDEX('계좌현황'!D:D,INDEX($L$21:$L$97,MATCH(LARGE($N$21:$N$97,77),$N$21:$N$97,0))),"")</f>
        <v/>
      </c>
      <c r="E97" s="303">
        <f>IFERROR(INDEX('계좌현황'!E:E,INDEX($L$21:$L$97,MATCH(LARGE($N$21:$N$97,77),$N$21:$N$97,0))),"")</f>
        <v/>
      </c>
      <c r="F97" s="336">
        <f>IFERROR(INDEX('계좌현황'!F:F,INDEX($L$21:$L$97,MATCH(LARGE($N$21:$N$97,77),$N$21:$N$97,0))),"")</f>
        <v/>
      </c>
      <c r="G97" s="337">
        <f>IFERROR(INDEX('계좌현황'!K:K,INDEX($L$21:$L$97,MATCH(LARGE($N$21:$N$97,77),$N$21:$N$97,0))),0)</f>
        <v/>
      </c>
      <c r="H97" s="338">
        <f>IF($B$3=0,0,G97/$B$3)</f>
        <v/>
      </c>
      <c r="I97" s="338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0" t="inlineStr">
        <is>
          <t>합계</t>
        </is>
      </c>
      <c r="G98" s="339">
        <f>SUM(G21:G97)</f>
        <v/>
      </c>
      <c r="H98" s="340">
        <f>SUM(H21:H97)</f>
        <v/>
      </c>
    </row>
    <row r="101">
      <c r="A101" s="277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3" min="1" max="1"/>
    <col outlineLevel="1" width="12.59765625" customWidth="1" style="203" min="2" max="5"/>
    <col outlineLevel="1" width="11.1328125" customWidth="1" style="203" min="6" max="6"/>
    <col width="15" customWidth="1" style="203" min="7" max="7"/>
    <col width="16.265625" customWidth="1" style="203" min="8" max="8"/>
    <col width="4.3984375" customWidth="1" style="203" min="14" max="16"/>
    <col outlineLevel="1" width="12.59765625" customWidth="1" style="203" min="21" max="33"/>
  </cols>
  <sheetData>
    <row r="1" ht="12.75" customHeight="1" s="203">
      <c r="A1" s="208" t="n"/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  <c r="M1" s="208" t="n"/>
      <c r="N1" s="208" t="n"/>
      <c r="O1" s="208" t="n"/>
      <c r="P1" s="208" t="n"/>
      <c r="Q1" s="208" t="n"/>
      <c r="R1" s="208" t="n"/>
      <c r="S1" s="208" t="n"/>
      <c r="T1" s="208" t="n"/>
      <c r="U1" s="208" t="n"/>
      <c r="V1" s="208" t="n"/>
      <c r="W1" s="208" t="n"/>
      <c r="X1" s="208" t="n"/>
      <c r="Y1" s="208" t="n"/>
      <c r="Z1" s="208" t="n"/>
      <c r="AA1" s="208" t="n"/>
      <c r="AB1" s="208" t="n"/>
      <c r="AC1" s="208" t="n"/>
      <c r="AD1" s="208" t="n"/>
      <c r="AE1" s="208" t="n"/>
      <c r="AF1" s="208" t="n"/>
      <c r="AG1" s="208" t="n"/>
    </row>
    <row r="2" outlineLevel="1" ht="12.75" customHeight="1" s="203">
      <c r="A2" s="208" t="n"/>
      <c r="B2" s="208" t="n"/>
      <c r="C2" s="208" t="n"/>
      <c r="D2" s="208" t="n"/>
      <c r="E2" s="208" t="n"/>
      <c r="F2" s="208" t="n"/>
      <c r="G2" s="16" t="n"/>
      <c r="H2" s="254" t="n"/>
      <c r="I2" s="18" t="n"/>
      <c r="J2" s="18" t="n"/>
      <c r="K2" s="18" t="n"/>
      <c r="L2" s="18" t="n"/>
      <c r="M2" s="18" t="n"/>
      <c r="N2" s="208" t="n"/>
      <c r="O2" s="208" t="n"/>
      <c r="P2" s="208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8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8" t="n"/>
      <c r="Y2" s="208" t="n"/>
      <c r="Z2" s="208" t="n"/>
      <c r="AA2" s="208" t="n"/>
      <c r="AB2" s="208" t="n"/>
      <c r="AC2" s="208" t="n"/>
      <c r="AD2" s="208" t="n"/>
      <c r="AE2" s="208" t="n"/>
      <c r="AF2" s="208" t="n"/>
      <c r="AG2" s="208" t="n"/>
    </row>
    <row r="3" ht="24.75" customHeight="1" s="203">
      <c r="A3" s="208" t="n"/>
      <c r="B3" s="208" t="n"/>
      <c r="C3" s="208" t="n"/>
      <c r="D3" s="208" t="n"/>
      <c r="E3" s="208" t="n"/>
      <c r="F3" s="208" t="n"/>
      <c r="G3" s="205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8" t="n"/>
      <c r="O3" s="208" t="n"/>
      <c r="P3" s="208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8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3">
      <c r="A4" s="208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8">
        <f>"20"&amp;MID(G4,1,2)</f>
        <v/>
      </c>
      <c r="F4" s="208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8" t="n"/>
      <c r="O4" s="208" t="n"/>
      <c r="P4" s="208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8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3">
      <c r="A5" s="208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8">
        <f>"20"&amp;B5</f>
        <v/>
      </c>
      <c r="F5" s="208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8" t="n"/>
      <c r="O5" s="208" t="n"/>
      <c r="P5" s="208" t="n"/>
      <c r="Q5" s="8">
        <f>IFERROR(__xludf.DUMMYFUNCTION("iferror(index('지수RAW'!$V$7:$V$12040,MATCH($D5,'지수RAW'!$R$7:$R$12040,0)-1,1),GOOGLEFINANCE(Q$2))"),2566.46)</f>
        <v/>
      </c>
      <c r="R5" s="208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8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3">
      <c r="A6" s="208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8">
        <f>"20"&amp;B6</f>
        <v/>
      </c>
      <c r="F6" s="208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8" t="n"/>
      <c r="O6" s="208" t="n"/>
      <c r="P6" s="208" t="n"/>
      <c r="Q6" s="8">
        <f>IFERROR(__xludf.DUMMYFUNCTION("iferror(index('지수RAW'!$V$7:$V$12040,MATCH($D6,'지수RAW'!$R$7:$R$12040,0)-1,1),GOOGLEFINANCE(Q$2))"),2427.36)</f>
        <v/>
      </c>
      <c r="R6" s="208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8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3">
      <c r="A7" s="208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8">
        <f>"20"&amp;B7</f>
        <v/>
      </c>
      <c r="F7" s="208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8" t="n"/>
      <c r="O7" s="208" t="n"/>
      <c r="P7" s="208" t="n"/>
      <c r="Q7" s="8">
        <f>IFERROR(__xludf.DUMMYFUNCTION("iferror(index('지수RAW'!$V$7:$V$12040,MATCH($D7,'지수RAW'!$R$7:$R$12040,0)-1,1),GOOGLEFINANCE(Q$2))"),2445.85)</f>
        <v/>
      </c>
      <c r="R7" s="208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8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3">
      <c r="A8" s="208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8">
        <f>"20"&amp;B8</f>
        <v/>
      </c>
      <c r="F8" s="208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8" t="n"/>
      <c r="O8" s="208" t="n"/>
      <c r="P8" s="208" t="n"/>
      <c r="Q8" s="8">
        <f>IFERROR(__xludf.DUMMYFUNCTION("iferror(index('지수RAW'!$V$7:$V$12040,MATCH($D8,'지수RAW'!$R$7:$R$12040,0)-1,1),GOOGLEFINANCE(Q$2))"),2515.38)</f>
        <v/>
      </c>
      <c r="R8" s="208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8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3">
      <c r="A9" s="208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8">
        <f>"20"&amp;B9</f>
        <v/>
      </c>
      <c r="F9" s="208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8" t="n"/>
      <c r="O9" s="208" t="n"/>
      <c r="P9" s="208" t="n"/>
      <c r="Q9" s="8">
        <f>IFERROR(__xludf.DUMMYFUNCTION("iferror(index('지수RAW'!$V$7:$V$12040,MATCH($D9,'지수RAW'!$R$7:$R$12040,0)-1,1),GOOGLEFINANCE(Q$2))"),2423.01)</f>
        <v/>
      </c>
      <c r="R9" s="208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8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3">
      <c r="A10" s="208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8">
        <f>"20"&amp;B10</f>
        <v/>
      </c>
      <c r="F10" s="208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8" t="n"/>
      <c r="O10" s="208" t="n"/>
      <c r="P10" s="208" t="n"/>
      <c r="Q10" s="8">
        <f>IFERROR(__xludf.DUMMYFUNCTION("iferror(index('지수RAW'!$V$7:$V$12040,MATCH($D10,'지수RAW'!$R$7:$R$12040,0)-1,1),GOOGLEFINANCE(Q$2))"),2326.13)</f>
        <v/>
      </c>
      <c r="R10" s="208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8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3">
      <c r="A11" s="208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8">
        <f>"20"&amp;B11</f>
        <v/>
      </c>
      <c r="F11" s="208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8" t="n"/>
      <c r="O11" s="208" t="n"/>
      <c r="P11" s="208" t="n"/>
      <c r="Q11" s="8">
        <f>IFERROR(__xludf.DUMMYFUNCTION("iferror(index('지수RAW'!$V$7:$V$12040,MATCH($D11,'지수RAW'!$R$7:$R$12040,0)-1,1),GOOGLEFINANCE(Q$2))"),2295.26)</f>
        <v/>
      </c>
      <c r="R11" s="208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8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3">
      <c r="A12" s="208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8">
        <f>"20"&amp;B12</f>
        <v/>
      </c>
      <c r="F12" s="208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8" t="n"/>
      <c r="O12" s="208" t="n"/>
      <c r="P12" s="208" t="n"/>
      <c r="Q12" s="8">
        <f>IFERROR(__xludf.DUMMYFUNCTION("iferror(index('지수RAW'!$V$7:$V$12040,MATCH($D12,'지수RAW'!$R$7:$R$12040,0)-1,1),GOOGLEFINANCE(Q$2))"),2322.88)</f>
        <v/>
      </c>
      <c r="R12" s="208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8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3">
      <c r="A13" s="208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8">
        <f>"20"&amp;B13</f>
        <v/>
      </c>
      <c r="F13" s="208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8" t="n"/>
      <c r="O13" s="208" t="n"/>
      <c r="P13" s="208" t="n"/>
      <c r="Q13" s="8">
        <f>IFERROR(__xludf.DUMMYFUNCTION("iferror(index('지수RAW'!$V$7:$V$12040,MATCH($D13,'지수RAW'!$R$7:$R$12040,0)-1,1),GOOGLEFINANCE(Q$2))"),2343.07)</f>
        <v/>
      </c>
      <c r="R13" s="208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8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3">
      <c r="A14" s="208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8">
        <f>"20"&amp;B14</f>
        <v/>
      </c>
      <c r="F14" s="208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8" t="n"/>
      <c r="O14" s="208" t="n"/>
      <c r="P14" s="208" t="n"/>
      <c r="Q14" s="8">
        <f>IFERROR(__xludf.DUMMYFUNCTION("iferror(index('지수RAW'!$V$7:$V$12040,MATCH($D14,'지수RAW'!$R$7:$R$12040,0)-1,1),GOOGLEFINANCE(Q$2))"),2029.69)</f>
        <v/>
      </c>
      <c r="R14" s="208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8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3">
      <c r="A15" s="208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8">
        <f>"20"&amp;B15</f>
        <v/>
      </c>
      <c r="F15" s="208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8" t="n"/>
      <c r="O15" s="208" t="n"/>
      <c r="P15" s="208" t="n"/>
      <c r="Q15" s="8">
        <f>IFERROR(__xludf.DUMMYFUNCTION("iferror(index('지수RAW'!$V$7:$V$12040,MATCH($D15,'지수RAW'!$R$7:$R$12040,0)-1,1),GOOGLEFINANCE(Q$2))"),2096.86)</f>
        <v/>
      </c>
      <c r="R15" s="208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8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3">
      <c r="A16" s="208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8">
        <f>"20"&amp;B16</f>
        <v/>
      </c>
      <c r="F16" s="208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8" t="n"/>
      <c r="O16" s="208" t="n"/>
      <c r="P16" s="208" t="n"/>
      <c r="Q16" s="8">
        <f>IFERROR(__xludf.DUMMYFUNCTION("iferror(index('지수RAW'!$V$7:$V$12040,MATCH($D16,'지수RAW'!$R$7:$R$12040,0)-1,1),GOOGLEFINANCE(Q$2))"),2041.04)</f>
        <v/>
      </c>
      <c r="R16" s="208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8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3">
      <c r="A17" s="208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8">
        <f>"20"&amp;B17</f>
        <v/>
      </c>
      <c r="F17" s="208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8" t="n"/>
      <c r="O17" s="208" t="n"/>
      <c r="P17" s="208" t="n"/>
      <c r="Q17" s="8">
        <f>IFERROR(__xludf.DUMMYFUNCTION("iferror(index('지수RAW'!$V$7:$V$12040,MATCH($D17,'지수RAW'!$R$7:$R$12040,0)-1,1),GOOGLEFINANCE(Q$2))"),2204.85)</f>
        <v/>
      </c>
      <c r="R17" s="208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8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3">
      <c r="A18" s="208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8">
        <f>"20"&amp;B18</f>
        <v/>
      </c>
      <c r="F18" s="208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8" t="n"/>
      <c r="O18" s="208" t="n"/>
      <c r="P18" s="208" t="n"/>
      <c r="Q18" s="8">
        <f>IFERROR(__xludf.DUMMYFUNCTION("iferror(index('지수RAW'!$V$7:$V$12040,MATCH($D18,'지수RAW'!$R$7:$R$12040,0)-1,1),GOOGLEFINANCE(Q$2))"),2195.44)</f>
        <v/>
      </c>
      <c r="R18" s="208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8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3">
      <c r="A19" s="208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8">
        <f>"20"&amp;B19</f>
        <v/>
      </c>
      <c r="F19" s="208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8" t="n"/>
      <c r="O19" s="208" t="n"/>
      <c r="P19" s="208" t="n"/>
      <c r="Q19" s="8">
        <f>IFERROR(__xludf.DUMMYFUNCTION("iferror(index('지수RAW'!$V$7:$V$12040,MATCH($D19,'지수RAW'!$R$7:$R$12040,0)-1,1),GOOGLEFINANCE(Q$2))"),2140.67)</f>
        <v/>
      </c>
      <c r="R19" s="208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8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3">
      <c r="A20" s="208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8">
        <f>"20"&amp;B20</f>
        <v/>
      </c>
      <c r="F20" s="208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8" t="n"/>
      <c r="O20" s="208" t="n"/>
      <c r="P20" s="208" t="n"/>
      <c r="Q20" s="8">
        <f>IFERROR(__xludf.DUMMYFUNCTION("iferror(index('지수RAW'!$V$7:$V$12040,MATCH($D20,'지수RAW'!$R$7:$R$12040,0)-1,1),GOOGLEFINANCE(Q$2))"),2203.59)</f>
        <v/>
      </c>
      <c r="R20" s="208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8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3">
      <c r="A21" s="208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8">
        <f>"20"&amp;B21</f>
        <v/>
      </c>
      <c r="F21" s="208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8" t="n"/>
      <c r="O21" s="208" t="n"/>
      <c r="P21" s="208" t="n"/>
      <c r="Q21" s="8">
        <f>IFERROR(__xludf.DUMMYFUNCTION("iferror(index('지수RAW'!$V$7:$V$12040,MATCH($D21,'지수RAW'!$R$7:$R$12040,0)-1,1),GOOGLEFINANCE(Q$2))"),2041.74)</f>
        <v/>
      </c>
      <c r="R21" s="208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8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3">
      <c r="A22" s="208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8">
        <f>"20"&amp;B22</f>
        <v/>
      </c>
      <c r="F22" s="208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8" t="n"/>
      <c r="O22" s="208" t="n"/>
      <c r="P22" s="208" t="n"/>
      <c r="Q22" s="8">
        <f>IFERROR(__xludf.DUMMYFUNCTION("iferror(index('지수RAW'!$V$7:$V$12040,MATCH($D22,'지수RAW'!$R$7:$R$12040,0)-1,1),GOOGLEFINANCE(Q$2))"),2130.62)</f>
        <v/>
      </c>
      <c r="R22" s="208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8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3">
      <c r="A23" s="208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8">
        <f>"20"&amp;B23</f>
        <v/>
      </c>
      <c r="F23" s="208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8" t="n"/>
      <c r="O23" s="208" t="n"/>
      <c r="P23" s="208" t="n"/>
      <c r="Q23" s="8">
        <f>IFERROR(__xludf.DUMMYFUNCTION("iferror(index('지수RAW'!$V$7:$V$12040,MATCH($D23,'지수RAW'!$R$7:$R$12040,0)-1,1),GOOGLEFINANCE(Q$2))"),2024.55)</f>
        <v/>
      </c>
      <c r="R23" s="208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8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3">
      <c r="A24" s="208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8">
        <f>"20"&amp;B24</f>
        <v/>
      </c>
      <c r="F24" s="208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8" t="n"/>
      <c r="O24" s="208" t="n"/>
      <c r="P24" s="208" t="n"/>
      <c r="Q24" s="8">
        <f>IFERROR(__xludf.DUMMYFUNCTION("iferror(index('지수RAW'!$V$7:$V$12040,MATCH($D24,'지수RAW'!$R$7:$R$12040,0)-1,1),GOOGLEFINANCE(Q$2))"),1967.79)</f>
        <v/>
      </c>
      <c r="R24" s="208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8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3">
      <c r="A25" s="208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8">
        <f>"20"&amp;B25</f>
        <v/>
      </c>
      <c r="F25" s="208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8" t="n"/>
      <c r="O25" s="208" t="n"/>
      <c r="P25" s="208" t="n"/>
      <c r="Q25" s="8">
        <f>IFERROR(__xludf.DUMMYFUNCTION("iferror(index('지수RAW'!$V$7:$V$12040,MATCH($D25,'지수RAW'!$R$7:$R$12040,0)-1,1),GOOGLEFINANCE(Q$2))"),2063.05)</f>
        <v/>
      </c>
      <c r="R25" s="208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8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3">
      <c r="A26" s="208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8">
        <f>"20"&amp;B26</f>
        <v/>
      </c>
      <c r="F26" s="208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8" t="n"/>
      <c r="O26" s="208" t="n"/>
      <c r="P26" s="208" t="n"/>
      <c r="Q26" s="8">
        <f>IFERROR(__xludf.DUMMYFUNCTION("iferror(index('지수RAW'!$V$7:$V$12040,MATCH($D26,'지수RAW'!$R$7:$R$12040,0)-1,1),GOOGLEFINANCE(Q$2))"),2083.48)</f>
        <v/>
      </c>
      <c r="R26" s="208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8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3">
      <c r="A27" s="208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8">
        <f>"20"&amp;B27</f>
        <v/>
      </c>
      <c r="F27" s="208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8" t="n"/>
      <c r="O27" s="208" t="n"/>
      <c r="P27" s="208" t="n"/>
      <c r="Q27" s="8">
        <f>IFERROR(__xludf.DUMMYFUNCTION("iferror(index('지수RAW'!$V$7:$V$12040,MATCH($D27,'지수RAW'!$R$7:$R$12040,0)-1,1),GOOGLEFINANCE(Q$2))"),2087.96)</f>
        <v/>
      </c>
      <c r="R27" s="208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8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3">
      <c r="A28" s="208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8">
        <f>"20"&amp;B28</f>
        <v/>
      </c>
      <c r="F28" s="208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8" t="n"/>
      <c r="O28" s="208" t="n"/>
      <c r="P28" s="208" t="n"/>
      <c r="Q28" s="8">
        <f>IFERROR(__xludf.DUMMYFUNCTION("iferror(index('지수RAW'!$V$7:$V$12040,MATCH($D28,'지수RAW'!$R$7:$R$12040,0)-1,1),GOOGLEFINANCE(Q$2))"),2197.67)</f>
        <v/>
      </c>
      <c r="R28" s="208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8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3">
      <c r="A29" s="208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8">
        <f>"20"&amp;B29</f>
        <v/>
      </c>
      <c r="F29" s="208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8" t="n"/>
      <c r="O29" s="208" t="n"/>
      <c r="P29" s="208" t="n"/>
      <c r="Q29" s="8">
        <f>IFERROR(__xludf.DUMMYFUNCTION("iferror(index('지수RAW'!$V$7:$V$12040,MATCH($D29,'지수RAW'!$R$7:$R$12040,0)-1,1),GOOGLEFINANCE(Q$2))"),2119.01)</f>
        <v/>
      </c>
      <c r="R29" s="208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8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3">
      <c r="A30" s="208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8">
        <f>"20"&amp;B30</f>
        <v/>
      </c>
      <c r="F30" s="208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8" t="n"/>
      <c r="O30" s="208" t="n"/>
      <c r="P30" s="208" t="n"/>
      <c r="Q30" s="8">
        <f>IFERROR(__xludf.DUMMYFUNCTION("iferror(index('지수RAW'!$V$7:$V$12040,MATCH($D30,'지수RAW'!$R$7:$R$12040,0)-1,1),GOOGLEFINANCE(Q$2))"),1987.01)</f>
        <v/>
      </c>
      <c r="R30" s="208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8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3">
      <c r="A31" s="208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8">
        <f>"20"&amp;B31</f>
        <v/>
      </c>
      <c r="F31" s="208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8" t="n"/>
      <c r="O31" s="208" t="n"/>
      <c r="P31" s="208" t="n"/>
      <c r="Q31" s="8">
        <f>IFERROR(__xludf.DUMMYFUNCTION("iferror(index('지수RAW'!$V$7:$V$12040,MATCH($D31,'지수RAW'!$R$7:$R$12040,0)-1,1),GOOGLEFINANCE(Q$2))"),1754.64)</f>
        <v/>
      </c>
      <c r="R31" s="208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8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3">
      <c r="A32" s="208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8">
        <f>"20"&amp;B32</f>
        <v/>
      </c>
      <c r="F32" s="208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8" t="n"/>
      <c r="O32" s="208" t="n"/>
      <c r="P32" s="208" t="n"/>
      <c r="Q32" s="8">
        <f>IFERROR(__xludf.DUMMYFUNCTION("iferror(index('지수RAW'!$V$7:$V$12040,MATCH($D32,'지수RAW'!$R$7:$R$12040,0)-1,1),GOOGLEFINANCE(Q$2))"),1947.56)</f>
        <v/>
      </c>
      <c r="R32" s="208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8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3">
      <c r="A33" s="208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8">
        <f>"20"&amp;B33</f>
        <v/>
      </c>
      <c r="F33" s="208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8" t="n"/>
      <c r="O33" s="208" t="n"/>
      <c r="P33" s="208" t="n"/>
      <c r="Q33" s="8">
        <f>IFERROR(__xludf.DUMMYFUNCTION("iferror(index('지수RAW'!$V$7:$V$12040,MATCH($D33,'지수RAW'!$R$7:$R$12040,0)-1,1),GOOGLEFINANCE(Q$2))"),2029.6)</f>
        <v/>
      </c>
      <c r="R33" s="208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8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3">
      <c r="A34" s="208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8">
        <f>"20"&amp;B34</f>
        <v/>
      </c>
      <c r="F34" s="208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8" t="n"/>
      <c r="O34" s="208" t="n"/>
      <c r="P34" s="208" t="n"/>
      <c r="Q34" s="8">
        <f>IFERROR(__xludf.DUMMYFUNCTION("iferror(index('지수RAW'!$V$7:$V$12040,MATCH($D34,'지수RAW'!$R$7:$R$12040,0)-1,1),GOOGLEFINANCE(Q$2))"),2108.33)</f>
        <v/>
      </c>
      <c r="R34" s="208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8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3">
      <c r="A35" s="208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8">
        <f>"20"&amp;B35</f>
        <v/>
      </c>
      <c r="F35" s="208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8" t="n"/>
      <c r="O35" s="208" t="n"/>
      <c r="P35" s="208" t="n"/>
      <c r="Q35" s="8">
        <f>IFERROR(__xludf.DUMMYFUNCTION("iferror(index('지수RAW'!$V$7:$V$12040,MATCH($D35,'지수RAW'!$R$7:$R$12040,0)-1,1),GOOGLEFINANCE(Q$2))"),2249.37)</f>
        <v/>
      </c>
      <c r="R35" s="208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8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3">
      <c r="A36" s="208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8">
        <f>"20"&amp;B36</f>
        <v/>
      </c>
      <c r="F36" s="208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8" t="n"/>
      <c r="O36" s="208" t="n"/>
      <c r="P36" s="208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8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3">
      <c r="A37" s="208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8">
        <f>"20"&amp;B37</f>
        <v/>
      </c>
      <c r="F37" s="208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8" t="n"/>
      <c r="O37" s="208" t="n"/>
      <c r="P37" s="208" t="n"/>
      <c r="Q37" s="8">
        <f>IFERROR(__xludf.DUMMYFUNCTION("iferror(index('지수RAW'!$V$7:$V$12040,MATCH($D37,'지수RAW'!$R$7:$R$12040,0)-1,1),GOOGLEFINANCE(Q$2))"),2327.89)</f>
        <v/>
      </c>
      <c r="R37" s="208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8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3">
      <c r="A38" s="208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8">
        <f>"20"&amp;B38</f>
        <v/>
      </c>
      <c r="F38" s="208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8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8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3">
      <c r="A39" s="208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8">
        <f>"20"&amp;B39</f>
        <v/>
      </c>
      <c r="F39" s="208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8" t="n"/>
      <c r="O39" s="208" t="n"/>
      <c r="P39" s="208" t="n"/>
      <c r="Q39" s="8">
        <f>IFERROR(__xludf.DUMMYFUNCTION("iferror(index('지수RAW'!$V$7:$V$12040,MATCH($D39,'지수RAW'!$R$7:$R$12040,0)-1,1),GOOGLEFINANCE(Q$2))"),2591.34)</f>
        <v/>
      </c>
      <c r="R39" s="208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8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3">
      <c r="A40" s="208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8">
        <f>"20"&amp;B40</f>
        <v/>
      </c>
      <c r="F40" s="208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8" t="n"/>
      <c r="O40" s="208" t="n"/>
      <c r="P40" s="208" t="n"/>
      <c r="Q40" s="8">
        <f>IFERROR(__xludf.DUMMYFUNCTION("iferror(index('지수RAW'!$V$7:$V$12040,MATCH($D40,'지수RAW'!$R$7:$R$12040,0)-1,1),GOOGLEFINANCE(Q$2))"),2873.47)</f>
        <v/>
      </c>
      <c r="R40" s="208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8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3">
      <c r="A41" s="208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8">
        <f>"20"&amp;B41</f>
        <v/>
      </c>
      <c r="F41" s="208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8" t="n"/>
      <c r="O41" s="208" t="n"/>
      <c r="P41" s="208" t="n"/>
      <c r="Q41" s="8">
        <f>IFERROR(__xludf.DUMMYFUNCTION("iferror(index('지수RAW'!$V$7:$V$12040,MATCH($D41,'지수RAW'!$R$7:$R$12040,0)-1,1),GOOGLEFINANCE(Q$2))"),2976.21)</f>
        <v/>
      </c>
      <c r="R41" s="208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8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3">
      <c r="A42" s="208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8">
        <f>"20"&amp;B42</f>
        <v/>
      </c>
      <c r="F42" s="208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8" t="n"/>
      <c r="O42" s="208" t="n"/>
      <c r="P42" s="208" t="n"/>
      <c r="Q42" s="8">
        <f>IFERROR(__xludf.DUMMYFUNCTION("iferror(index('지수RAW'!$V$7:$V$12040,MATCH($D42,'지수RAW'!$R$7:$R$12040,0)-1,1),GOOGLEFINANCE(Q$2))"),3012.95)</f>
        <v/>
      </c>
      <c r="R42" s="208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8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3">
      <c r="A43" s="208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8">
        <f>"20"&amp;B43</f>
        <v/>
      </c>
      <c r="F43" s="208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8" t="n"/>
      <c r="O43" s="208" t="n"/>
      <c r="P43" s="208" t="n"/>
      <c r="Q43" s="8">
        <f>IFERROR(__xludf.DUMMYFUNCTION("iferror(index('지수RAW'!$V$7:$V$12040,MATCH($D43,'지수RAW'!$R$7:$R$12040,0)-1,1),GOOGLEFINANCE(Q$2))"),3061.42)</f>
        <v/>
      </c>
      <c r="R43" s="208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8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3">
      <c r="A44" s="208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8">
        <f>"20"&amp;B44</f>
        <v/>
      </c>
      <c r="F44" s="208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8" t="n"/>
      <c r="O44" s="208" t="n"/>
      <c r="P44" s="208" t="n"/>
      <c r="Q44" s="8">
        <f>IFERROR(__xludf.DUMMYFUNCTION("iferror(index('지수RAW'!$V$7:$V$12040,MATCH($D44,'지수RAW'!$R$7:$R$12040,0)-1,1),GOOGLEFINANCE(Q$2))"),3147.86)</f>
        <v/>
      </c>
      <c r="R44" s="208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8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3">
      <c r="A45" s="208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8">
        <f>"20"&amp;B45</f>
        <v/>
      </c>
      <c r="F45" s="208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8" t="n"/>
      <c r="O45" s="208" t="n"/>
      <c r="P45" s="208" t="n"/>
      <c r="Q45" s="8">
        <f>IFERROR(__xludf.DUMMYFUNCTION("iferror(index('지수RAW'!$V$7:$V$12040,MATCH($D45,'지수RAW'!$R$7:$R$12040,0)-1,1),GOOGLEFINANCE(Q$2))"),3203.92)</f>
        <v/>
      </c>
      <c r="R45" s="208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8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3">
      <c r="A46" s="208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8">
        <f>"20"&amp;B46</f>
        <v/>
      </c>
      <c r="F46" s="208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8" t="n"/>
      <c r="O46" s="208" t="n"/>
      <c r="P46" s="208" t="n"/>
      <c r="Q46" s="8">
        <f>IFERROR(__xludf.DUMMYFUNCTION("iferror(index('지수RAW'!$V$7:$V$12040,MATCH($D46,'지수RAW'!$R$7:$R$12040,0)-1,1),GOOGLEFINANCE(Q$2))"),3296.68)</f>
        <v/>
      </c>
      <c r="R46" s="208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8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3">
      <c r="A47" s="208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8">
        <f>"20"&amp;B47</f>
        <v/>
      </c>
      <c r="F47" s="208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8" t="n"/>
      <c r="O47" s="208" t="n"/>
      <c r="P47" s="208" t="n"/>
      <c r="Q47" s="8">
        <f>IFERROR(__xludf.DUMMYFUNCTION("iferror(index('지수RAW'!$V$7:$V$12040,MATCH($D47,'지수RAW'!$R$7:$R$12040,0)-1,1),GOOGLEFINANCE(Q$2))"),3202.32)</f>
        <v/>
      </c>
      <c r="R47" s="208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8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3">
      <c r="A48" s="208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8">
        <f>"20"&amp;B48</f>
        <v/>
      </c>
      <c r="F48" s="208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8" t="n"/>
      <c r="O48" s="208" t="n"/>
      <c r="P48" s="208" t="n"/>
      <c r="Q48" s="8">
        <f>IFERROR(__xludf.DUMMYFUNCTION("iferror(index('지수RAW'!$V$7:$V$12040,MATCH($D48,'지수RAW'!$R$7:$R$12040,0)-1,1),GOOGLEFINANCE(Q$2))"),3199.27)</f>
        <v/>
      </c>
      <c r="R48" s="208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8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3">
      <c r="A49" s="208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8">
        <f>"20"&amp;B49</f>
        <v/>
      </c>
      <c r="F49" s="208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8" t="n"/>
      <c r="O49" s="208" t="n"/>
      <c r="P49" s="208" t="n"/>
      <c r="Q49" s="8">
        <f>IFERROR(__xludf.DUMMYFUNCTION("iferror(index('지수RAW'!$V$7:$V$12040,MATCH($D49,'지수RAW'!$R$7:$R$12040,0)-1,1),GOOGLEFINANCE(Q$2))"),3068.82)</f>
        <v/>
      </c>
      <c r="R49" s="208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8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3">
      <c r="A50" s="208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8">
        <f>"20"&amp;B50</f>
        <v/>
      </c>
      <c r="F50" s="208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8" t="n"/>
      <c r="O50" s="208" t="n"/>
      <c r="P50" s="208" t="n"/>
      <c r="Q50" s="8">
        <f>IFERROR(__xludf.DUMMYFUNCTION("iferror(index('지수RAW'!$V$7:$V$12040,MATCH($D50,'지수RAW'!$R$7:$R$12040,0)-1,1),GOOGLEFINANCE(Q$2))"),2970.68)</f>
        <v/>
      </c>
      <c r="R50" s="208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8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3">
      <c r="A51" s="208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8">
        <f>"20"&amp;B51</f>
        <v/>
      </c>
      <c r="F51" s="208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8" t="n"/>
      <c r="O51" s="208" t="n"/>
      <c r="P51" s="208" t="n"/>
      <c r="Q51" s="8">
        <f>IFERROR(__xludf.DUMMYFUNCTION("iferror(index('지수RAW'!$V$7:$V$12040,MATCH($D51,'지수RAW'!$R$7:$R$12040,0)-1,1),GOOGLEFINANCE(Q$2))"),2839.01)</f>
        <v/>
      </c>
      <c r="R51" s="208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8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3">
      <c r="A52" s="208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8">
        <f>"20"&amp;B52</f>
        <v/>
      </c>
      <c r="F52" s="208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8" t="n"/>
      <c r="O52" s="208" t="n"/>
      <c r="P52" s="208" t="n"/>
      <c r="Q52" s="8">
        <f>IFERROR(__xludf.DUMMYFUNCTION("iferror(index('지수RAW'!$V$7:$V$12040,MATCH($D52,'지수RAW'!$R$7:$R$12040,0)-1,1),GOOGLEFINANCE(Q$2))"),2977.65)</f>
        <v/>
      </c>
      <c r="R52" s="208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8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3">
      <c r="A53" s="208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8">
        <f>"20"&amp;B53</f>
        <v/>
      </c>
      <c r="F53" s="208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8" t="n"/>
      <c r="O53" s="208" t="n"/>
      <c r="P53" s="208" t="n"/>
      <c r="Q53" s="8">
        <f>IFERROR(__xludf.DUMMYFUNCTION("iferror(index('지수RAW'!$V$7:$V$12040,MATCH($D53,'지수RAW'!$R$7:$R$12040,0)-1,1),GOOGLEFINANCE(Q$2))"),2663.34)</f>
        <v/>
      </c>
      <c r="R53" s="208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8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3">
      <c r="A54" s="208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8">
        <f>"20"&amp;B54</f>
        <v/>
      </c>
      <c r="F54" s="208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8" t="n"/>
      <c r="O54" s="208" t="n"/>
      <c r="P54" s="208" t="n"/>
      <c r="Q54" s="8">
        <f>IFERROR(__xludf.DUMMYFUNCTION("iferror(index('지수RAW'!$V$7:$V$12040,MATCH($D54,'지수RAW'!$R$7:$R$12040,0)-1,1),GOOGLEFINANCE(Q$2))"),2699.18)</f>
        <v/>
      </c>
      <c r="R54" s="208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8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3">
      <c r="A55" s="208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8">
        <f>"20"&amp;B55</f>
        <v/>
      </c>
      <c r="F55" s="208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8" t="n"/>
      <c r="O55" s="208" t="n"/>
      <c r="P55" s="208" t="n"/>
      <c r="Q55" s="8">
        <f>IFERROR(__xludf.DUMMYFUNCTION("iferror(index('지수RAW'!$V$7:$V$12040,MATCH($D55,'지수RAW'!$R$7:$R$12040,0)-1,1),GOOGLEFINANCE(Q$2))"),2757.65)</f>
        <v/>
      </c>
      <c r="R55" s="208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8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3">
      <c r="A56" s="208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8">
        <f>"20"&amp;B56</f>
        <v/>
      </c>
      <c r="F56" s="208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8" t="n"/>
      <c r="O56" s="208" t="n"/>
      <c r="P56" s="208" t="n"/>
      <c r="Q56" s="8">
        <f>IFERROR(__xludf.DUMMYFUNCTION("iferror(index('지수RAW'!$V$7:$V$12040,MATCH($D56,'지수RAW'!$R$7:$R$12040,0)-1,1),GOOGLEFINANCE(Q$2))"),2695.05)</f>
        <v/>
      </c>
      <c r="R56" s="208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8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3">
      <c r="A57" s="208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8">
        <f>"20"&amp;B57</f>
        <v/>
      </c>
      <c r="F57" s="208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8" t="n"/>
      <c r="O57" s="208" t="n"/>
      <c r="P57" s="208" t="n"/>
      <c r="Q57" s="8">
        <f>IFERROR(__xludf.DUMMYFUNCTION("iferror(index('지수RAW'!$V$7:$V$12040,MATCH($D57,'지수RAW'!$R$7:$R$12040,0)-1,1),GOOGLEFINANCE(Q$2))"),2685.9)</f>
        <v/>
      </c>
      <c r="R57" s="208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8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3">
      <c r="A58" s="208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8">
        <f>"20"&amp;B58</f>
        <v/>
      </c>
      <c r="F58" s="208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8" t="n"/>
      <c r="O58" s="208" t="n"/>
      <c r="P58" s="208" t="n"/>
      <c r="Q58" s="8">
        <f>IFERROR(__xludf.DUMMYFUNCTION("iferror(index('지수RAW'!$V$7:$V$12040,MATCH($D58,'지수RAW'!$R$7:$R$12040,0)-1,1),GOOGLEFINANCE(Q$2))"),2332.64)</f>
        <v/>
      </c>
      <c r="R58" s="208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8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3">
      <c r="A59" s="208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8">
        <f>"20"&amp;B59</f>
        <v/>
      </c>
      <c r="F59" s="208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8" t="n"/>
      <c r="O59" s="208" t="n"/>
      <c r="P59" s="208" t="n"/>
      <c r="Q59" s="8">
        <f>IFERROR(__xludf.DUMMYFUNCTION("iferror(index('지수RAW'!$V$7:$V$12040,MATCH($D59,'지수RAW'!$R$7:$R$12040,0)-1,1),GOOGLEFINANCE(Q$2))"),2451.5)</f>
        <v/>
      </c>
      <c r="R59" s="208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8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3">
      <c r="A60" s="208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8">
        <f>"20"&amp;B60</f>
        <v/>
      </c>
      <c r="F60" s="208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8" t="n"/>
      <c r="O60" s="208" t="n"/>
      <c r="P60" s="208" t="n"/>
      <c r="Q60" s="8">
        <f>IFERROR(__xludf.DUMMYFUNCTION("iferror(index('지수RAW'!$V$7:$V$12040,MATCH($D60,'지수RAW'!$R$7:$R$12040,0)-1,1),GOOGLEFINANCE(Q$2))"),2472.05)</f>
        <v/>
      </c>
      <c r="R60" s="208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8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3">
      <c r="A61" s="208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8">
        <f>"20"&amp;B61</f>
        <v/>
      </c>
      <c r="F61" s="208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8" t="n"/>
      <c r="O61" s="208" t="n"/>
      <c r="P61" s="208" t="n"/>
      <c r="Q61" s="8">
        <f>IFERROR(__xludf.DUMMYFUNCTION("iferror(index('지수RAW'!$V$7:$V$12040,MATCH($D61,'지수RAW'!$R$7:$R$12040,0)-1,1),GOOGLEFINANCE(Q$2))"),2155.49)</f>
        <v/>
      </c>
      <c r="R61" s="208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8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3">
      <c r="A62" s="208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8">
        <f>"20"&amp;B62</f>
        <v/>
      </c>
      <c r="F62" s="208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8" t="n"/>
      <c r="O62" s="208" t="n"/>
      <c r="P62" s="208" t="n"/>
      <c r="Q62" s="8">
        <f>IFERROR(__xludf.DUMMYFUNCTION("iferror(index('지수RAW'!$V$7:$V$12040,MATCH($D62,'지수RAW'!$R$7:$R$12040,0)-1,1),GOOGLEFINANCE(Q$2))"),2293.61)</f>
        <v/>
      </c>
      <c r="R62" s="208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8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3">
      <c r="A63" s="208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8">
        <f>"20"&amp;B63</f>
        <v/>
      </c>
      <c r="F63" s="208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8" t="n"/>
      <c r="O63" s="208" t="n"/>
      <c r="P63" s="208" t="n"/>
      <c r="Q63" s="8">
        <f>IFERROR(__xludf.DUMMYFUNCTION("iferror(index('지수RAW'!$V$7:$V$12040,MATCH($D63,'지수RAW'!$R$7:$R$12040,0)-1,1),GOOGLEFINANCE(Q$2))"),2472.53)</f>
        <v/>
      </c>
      <c r="R63" s="208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8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3">
      <c r="A64" s="208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8">
        <f>"20"&amp;B64</f>
        <v/>
      </c>
      <c r="F64" s="208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8" t="n"/>
      <c r="O64" s="208" t="n"/>
      <c r="P64" s="208" t="n"/>
      <c r="Q64" s="8">
        <f>IFERROR(__xludf.DUMMYFUNCTION("iferror(index('지수RAW'!$V$7:$V$12040,MATCH($D64,'지수RAW'!$R$7:$R$12040,0)-1,1),GOOGLEFINANCE(Q$2))"),2236.4)</f>
        <v/>
      </c>
      <c r="R64" s="208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8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3">
      <c r="A65" s="208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8">
        <f>"20"&amp;B65</f>
        <v/>
      </c>
      <c r="F65" s="208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8" t="n"/>
      <c r="O65" s="208" t="n"/>
      <c r="P65" s="208" t="n"/>
      <c r="Q65" s="8">
        <f>IFERROR(__xludf.DUMMYFUNCTION("iferror(index('지수RAW'!$V$7:$V$12040,MATCH($D65,'지수RAW'!$R$7:$R$12040,0)-1,1),GOOGLEFINANCE(Q$2))"),2425.08)</f>
        <v/>
      </c>
      <c r="R65" s="208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8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3">
      <c r="A66" s="208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8">
        <f>"20"&amp;B66</f>
        <v/>
      </c>
      <c r="F66" s="208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8" t="n"/>
      <c r="O66" s="208" t="n"/>
      <c r="P66" s="208" t="n"/>
      <c r="Q66" s="8">
        <f>IFERROR(__xludf.DUMMYFUNCTION("iferror(index('지수RAW'!$V$7:$V$12040,MATCH($D66,'지수RAW'!$R$7:$R$12040,0)-1,1),GOOGLEFINANCE(Q$2))"),2412.85)</f>
        <v/>
      </c>
      <c r="R66" s="208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8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3">
      <c r="A67" s="208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8">
        <f>"20"&amp;B67</f>
        <v/>
      </c>
      <c r="F67" s="208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8" t="n"/>
      <c r="O67" s="208" t="n"/>
      <c r="P67" s="208" t="n"/>
      <c r="Q67" s="8">
        <f>IFERROR(__xludf.DUMMYFUNCTION("iferror(index('지수RAW'!$V$7:$V$12040,MATCH($D67,'지수RAW'!$R$7:$R$12040,0)-1,1),GOOGLEFINANCE(Q$2))"),2476.86)</f>
        <v/>
      </c>
      <c r="R67" s="208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8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3">
      <c r="A68" s="208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8">
        <f>"20"&amp;B68</f>
        <v/>
      </c>
      <c r="F68" s="208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8" t="n"/>
      <c r="O68" s="208" t="n"/>
      <c r="P68" s="208" t="n"/>
      <c r="Q68" s="8">
        <f>IFERROR(__xludf.DUMMYFUNCTION("iferror(index('지수RAW'!$V$7:$V$12040,MATCH($D68,'지수RAW'!$R$7:$R$12040,0)-1,1),GOOGLEFINANCE(Q$2))"),2501.53)</f>
        <v/>
      </c>
      <c r="R68" s="208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8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3">
      <c r="A69" s="208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8">
        <f>"20"&amp;B69</f>
        <v/>
      </c>
      <c r="F69" s="208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8" t="n"/>
      <c r="O69" s="208" t="n"/>
      <c r="P69" s="208" t="n"/>
      <c r="Q69" s="8">
        <f>IFERROR(__xludf.DUMMYFUNCTION("iferror(index('지수RAW'!$V$7:$V$12040,MATCH($D69,'지수RAW'!$R$7:$R$12040,0)-1,1),GOOGLEFINANCE(Q$2))"),2577.12)</f>
        <v/>
      </c>
      <c r="R69" s="208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8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3">
      <c r="A70" s="208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8">
        <f>"20"&amp;B70</f>
        <v/>
      </c>
      <c r="F70" s="208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8" t="n"/>
      <c r="O70" s="208" t="n"/>
      <c r="P70" s="208" t="n"/>
      <c r="Q70" s="8">
        <f>IFERROR(__xludf.DUMMYFUNCTION("iferror(index('지수RAW'!$V$7:$V$12040,MATCH($D70,'지수RAW'!$R$7:$R$12040,0)-1,1),GOOGLEFINANCE(Q$2))"),2564.28)</f>
        <v/>
      </c>
      <c r="R70" s="208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8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3">
      <c r="A71" s="208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8">
        <f>"20"&amp;B71</f>
        <v/>
      </c>
      <c r="F71" s="208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8" t="n"/>
      <c r="O71" s="208" t="n"/>
      <c r="P71" s="208" t="n"/>
      <c r="Q71" s="8">
        <f>IFERROR(__xludf.DUMMYFUNCTION("iferror(index('지수RAW'!$V$7:$V$12040,MATCH($D71,'지수RAW'!$R$7:$R$12040,0)-1,1),GOOGLEFINANCE(Q$2))"),2632.58)</f>
        <v/>
      </c>
      <c r="R71" s="208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8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3">
      <c r="A72" s="208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8">
        <f>"20"&amp;B72</f>
        <v/>
      </c>
      <c r="F72" s="208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8" t="n"/>
      <c r="O72" s="208" t="n"/>
      <c r="P72" s="208" t="n"/>
      <c r="Q72" s="8">
        <f>IFERROR(__xludf.DUMMYFUNCTION("iferror(index('지수RAW'!$V$7:$V$12040,MATCH($D72,'지수RAW'!$R$7:$R$12040,0)-1,1),GOOGLEFINANCE(Q$2))"),2556.27)</f>
        <v/>
      </c>
      <c r="R72" s="208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8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3">
      <c r="A73" s="208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8">
        <f>"20"&amp;B73</f>
        <v/>
      </c>
      <c r="F73" s="208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8" t="n"/>
      <c r="O73" s="208" t="n"/>
      <c r="P73" s="208" t="n"/>
      <c r="Q73" s="8">
        <f>IFERROR(__xludf.DUMMYFUNCTION("iferror(index('지수RAW'!$V$7:$V$12040,MATCH($D73,'지수RAW'!$R$7:$R$12040,0)-1,1),GOOGLEFINANCE(Q$2))"),2465.07)</f>
        <v/>
      </c>
      <c r="R73" s="208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8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3">
      <c r="A74" s="208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8">
        <f>"20"&amp;B74</f>
        <v/>
      </c>
      <c r="F74" s="208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8" t="n"/>
      <c r="O74" s="208" t="n"/>
      <c r="P74" s="208" t="n"/>
      <c r="Q74" s="8">
        <f>IFERROR(__xludf.DUMMYFUNCTION("iferror(index('지수RAW'!$V$7:$V$12040,MATCH($D74,'지수RAW'!$R$7:$R$12040,0)-1,1),GOOGLEFINANCE(Q$2))"),2277.99)</f>
        <v/>
      </c>
      <c r="R74" s="208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8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3">
      <c r="A75" s="208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8">
        <f>"20"&amp;B75</f>
        <v/>
      </c>
      <c r="F75" s="208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8" t="n"/>
      <c r="O75" s="208" t="n"/>
      <c r="P75" s="208" t="n"/>
      <c r="Q75" s="8">
        <f>IFERROR(__xludf.DUMMYFUNCTION("iferror(index('지수RAW'!$V$7:$V$12040,MATCH($D75,'지수RAW'!$R$7:$R$12040,0)-1,1),GOOGLEFINANCE(Q$2))"),2535.29)</f>
        <v/>
      </c>
      <c r="R75" s="208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8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3">
      <c r="A76" s="208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8">
        <f>"20"&amp;B76</f>
        <v/>
      </c>
      <c r="F76" s="208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8" t="n"/>
      <c r="O76" s="208" t="n"/>
      <c r="P76" s="208" t="n"/>
      <c r="Q76" s="8">
        <f>IFERROR(__xludf.DUMMYFUNCTION("iferror(index('지수RAW'!$V$7:$V$12040,MATCH($D76,'지수RAW'!$R$7:$R$12040,0)-1,1),GOOGLEFINANCE(Q$2))"),2655.28)</f>
        <v/>
      </c>
      <c r="R76" s="208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8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3">
      <c r="A77" s="208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8">
        <f>"20"&amp;B77</f>
        <v/>
      </c>
      <c r="F77" s="208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8" t="n"/>
      <c r="O77" s="208" t="n"/>
      <c r="P77" s="208" t="n"/>
      <c r="Q77" s="8">
        <f>IFERROR(__xludf.DUMMYFUNCTION("iferror(index('지수RAW'!$V$7:$V$12040,MATCH($D77,'지수RAW'!$R$7:$R$12040,0)-1,1),GOOGLEFINANCE(Q$2))"),2497.09)</f>
        <v/>
      </c>
      <c r="R77" s="208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8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3">
      <c r="A78" s="208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8">
        <f>"20"&amp;B78</f>
        <v/>
      </c>
      <c r="F78" s="208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8" t="n"/>
      <c r="O78" s="208" t="n"/>
      <c r="P78" s="208" t="n"/>
      <c r="Q78" s="8">
        <f>IFERROR(__xludf.DUMMYFUNCTION("iferror(index('지수RAW'!$V$7:$V$12040,MATCH($D78,'지수RAW'!$R$7:$R$12040,0)-1,1),GOOGLEFINANCE(Q$2))"),2642.36)</f>
        <v/>
      </c>
      <c r="R78" s="208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8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3">
      <c r="A79" s="208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8">
        <f>"20"&amp;B79</f>
        <v/>
      </c>
      <c r="F79" s="208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8" t="n"/>
      <c r="O79" s="208" t="n"/>
      <c r="P79" s="208" t="n"/>
      <c r="Q79" s="8">
        <f>IFERROR(__xludf.DUMMYFUNCTION("iferror(index('지수RAW'!$V$7:$V$12040,MATCH($D79,'지수RAW'!$R$7:$R$12040,0)-1,1),GOOGLEFINANCE(Q$2))"),2746.63)</f>
        <v/>
      </c>
      <c r="R79" s="208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8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3">
      <c r="A80" s="208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8">
        <f>"20"&amp;B80</f>
        <v/>
      </c>
      <c r="F80" s="208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8" t="n"/>
      <c r="O80" s="208" t="n"/>
      <c r="P80" s="208" t="n"/>
      <c r="Q80" s="8">
        <f>IFERROR(__xludf.DUMMYFUNCTION("iferror(index('지수RAW'!$V$7:$V$12040,MATCH($D80,'지수RAW'!$R$7:$R$12040,0)-1,1),GOOGLEFINANCE(Q$2))"),2692.06)</f>
        <v/>
      </c>
      <c r="R80" s="208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8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3">
      <c r="A81" s="208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8">
        <f>"20"&amp;B81</f>
        <v/>
      </c>
      <c r="F81" s="208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8" t="n"/>
      <c r="O81" s="208" t="n"/>
      <c r="P81" s="208" t="n"/>
      <c r="Q81" s="8">
        <f>IFERROR(__xludf.DUMMYFUNCTION("iferror(index('지수RAW'!$V$7:$V$12040,MATCH($D81,'지수RAW'!$R$7:$R$12040,0)-1,1),GOOGLEFINANCE(Q$2))"),2636.52)</f>
        <v/>
      </c>
      <c r="R81" s="208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8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3">
      <c r="A82" s="208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8">
        <f>"20"&amp;B82</f>
        <v/>
      </c>
      <c r="F82" s="208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8" t="n"/>
      <c r="O82" s="208" t="n"/>
      <c r="P82" s="208" t="n"/>
      <c r="Q82" s="8">
        <f>IFERROR(__xludf.DUMMYFUNCTION("iferror(index('지수RAW'!$V$7:$V$12040,MATCH($D82,'지수RAW'!$R$7:$R$12040,0)-1,1),GOOGLEFINANCE(Q$2))"),2797.82)</f>
        <v/>
      </c>
      <c r="R82" s="208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8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3">
      <c r="A83" s="208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8">
        <f>"20"&amp;B83</f>
        <v/>
      </c>
      <c r="F83" s="208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8" t="n"/>
      <c r="O83" s="208" t="n"/>
      <c r="P83" s="208" t="n"/>
      <c r="Q83" s="8">
        <f>IFERROR(__xludf.DUMMYFUNCTION("iferror(index('지수RAW'!$V$7:$V$12040,MATCH($D83,'지수RAW'!$R$7:$R$12040,0)-1,1),GOOGLEFINANCE(Q$2))"),2770.69)</f>
        <v/>
      </c>
      <c r="R83" s="208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8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3">
      <c r="A84" s="208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8">
        <f>"20"&amp;B84</f>
        <v/>
      </c>
      <c r="F84" s="208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8" t="n"/>
      <c r="O84" s="208" t="n"/>
      <c r="P84" s="208" t="n"/>
      <c r="Q84" s="8">
        <f>IFERROR(__xludf.DUMMYFUNCTION("iferror(index('지수RAW'!$V$7:$V$12040,MATCH($D84,'지수RAW'!$R$7:$R$12040,0)-1,1),GOOGLEFINANCE(Q$2))"),2674.31)</f>
        <v/>
      </c>
      <c r="R84" s="208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8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3">
      <c r="A85" s="208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8">
        <f>"20"&amp;B85</f>
        <v/>
      </c>
      <c r="F85" s="208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8" t="n"/>
      <c r="O85" s="208" t="n"/>
      <c r="P85" s="208" t="n"/>
      <c r="Q85" s="8">
        <f>IFERROR(__xludf.DUMMYFUNCTION("iferror(index('지수RAW'!$V$7:$V$12040,MATCH($D85,'지수RAW'!$R$7:$R$12040,0)-1,1),GOOGLEFINANCE(Q$2))"),2593.27)</f>
        <v/>
      </c>
      <c r="R85" s="208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8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3">
      <c r="A86" s="208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8">
        <f>"20"&amp;B86</f>
        <v/>
      </c>
      <c r="F86" s="208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8" t="n"/>
      <c r="O86" s="208" t="n"/>
      <c r="P86" s="208" t="n"/>
      <c r="Q86" s="8">
        <f>IFERROR(__xludf.DUMMYFUNCTION("iferror(index('지수RAW'!$V$7:$V$12040,MATCH($D86,'지수RAW'!$R$7:$R$12040,0)-1,1),GOOGLEFINANCE(Q$2))"),2556.15)</f>
        <v/>
      </c>
      <c r="R86" s="208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8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3">
      <c r="A87" s="208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8">
        <f>"20"&amp;B87</f>
        <v/>
      </c>
      <c r="F87" s="208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8" t="n"/>
      <c r="O87" s="208" t="n"/>
      <c r="P87" s="208" t="n"/>
      <c r="Q87" s="8">
        <f>IFERROR(__xludf.DUMMYFUNCTION("iferror(index('지수RAW'!$V$7:$V$12040,MATCH($D87,'지수RAW'!$R$7:$R$12040,0)-1,1),GOOGLEFINANCE(Q$2))"),2455.91)</f>
        <v/>
      </c>
      <c r="R87" s="208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8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3">
      <c r="A88" s="208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8">
        <f>"20"&amp;B88</f>
        <v/>
      </c>
      <c r="F88" s="208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8" t="n"/>
      <c r="O88" s="208" t="n"/>
      <c r="P88" s="208" t="n"/>
      <c r="Q88" s="8">
        <f>IFERROR(__xludf.DUMMYFUNCTION("iferror(index('지수RAW'!$V$7:$V$12040,MATCH($D88,'지수RAW'!$R$7:$R$12040,0)-1,1),GOOGLEFINANCE(Q$2))"),2399.49)</f>
        <v/>
      </c>
      <c r="R88" s="208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8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3">
      <c r="A89" s="208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8">
        <f>"20"&amp;B89</f>
        <v/>
      </c>
      <c r="F89" s="208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8" t="n"/>
      <c r="O89" s="208" t="n"/>
      <c r="P89" s="208" t="n"/>
      <c r="Q89" s="8">
        <f>IFERROR(__xludf.DUMMYFUNCTION("iferror(index('지수RAW'!$V$7:$V$12040,MATCH($D89,'지수RAW'!$R$7:$R$12040,0)-1,1),GOOGLEFINANCE(Q$2))"),2517.37)</f>
        <v/>
      </c>
      <c r="R89" s="208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8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3">
      <c r="A90" s="208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8">
        <f>"20"&amp;B90</f>
        <v/>
      </c>
      <c r="F90" s="208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8" t="n"/>
      <c r="O90" s="208" t="n"/>
      <c r="P90" s="208" t="n"/>
      <c r="Q90" s="8">
        <f>IFERROR(__xludf.DUMMYFUNCTION("iferror(index('지수RAW'!$V$7:$V$12040,MATCH($D90,'지수RAW'!$R$7:$R$12040,0)-1,1),GOOGLEFINANCE(Q$2))"),2532.78)</f>
        <v/>
      </c>
      <c r="R90" s="208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8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3">
      <c r="A91" s="208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8">
        <f>"20"&amp;B91</f>
        <v/>
      </c>
      <c r="F91" s="208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8" t="n"/>
      <c r="O91" s="208" t="n"/>
      <c r="P91" s="208" t="n"/>
      <c r="Q91" s="8">
        <f>IFERROR(__xludf.DUMMYFUNCTION("iferror(index('지수RAW'!$V$7:$V$12040,MATCH($D91,'지수RAW'!$R$7:$R$12040,0)-1,1),GOOGLEFINANCE(Q$2))"),2481.12)</f>
        <v/>
      </c>
      <c r="R91" s="208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8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3">
      <c r="A92" s="208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8">
        <f>"20"&amp;B92</f>
        <v/>
      </c>
      <c r="F92" s="208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8" t="n"/>
      <c r="O92" s="208" t="n"/>
      <c r="P92" s="208" t="n"/>
      <c r="Q92" s="8">
        <f>IFERROR(__xludf.DUMMYFUNCTION("iferror(index('지수RAW'!$V$7:$V$12040,MATCH($D92,'지수RAW'!$R$7:$R$12040,0)-1,1),GOOGLEFINANCE(Q$2))"),2556.61)</f>
        <v/>
      </c>
      <c r="R92" s="208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8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3">
      <c r="A93" s="208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8">
        <f>"20"&amp;B93</f>
        <v/>
      </c>
      <c r="F93" s="208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8" t="n"/>
      <c r="O93" s="208" t="n"/>
      <c r="P93" s="208" t="n"/>
      <c r="Q93" s="8">
        <f>IFERROR(__xludf.DUMMYFUNCTION("iferror(index('지수RAW'!$V$7:$V$12040,MATCH($D93,'지수RAW'!$R$7:$R$12040,0)-1,1),GOOGLEFINANCE(Q$2))"),2697.67)</f>
        <v/>
      </c>
      <c r="R93" s="208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8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3">
      <c r="A94" s="208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8">
        <f>"20"&amp;B94</f>
        <v/>
      </c>
      <c r="F94" s="208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8" t="n"/>
      <c r="O94" s="208" t="n"/>
      <c r="P94" s="208" t="n"/>
      <c r="Q94" s="8">
        <f>IFERROR(__xludf.DUMMYFUNCTION("iferror(index('지수RAW'!$V$7:$V$12040,MATCH($D94,'지수RAW'!$R$7:$R$12040,0)-1,1),GOOGLEFINANCE(Q$2))"),3071.7)</f>
        <v/>
      </c>
      <c r="R94" s="208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8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3">
      <c r="A95" s="208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8">
        <f>"20"&amp;B95</f>
        <v/>
      </c>
      <c r="F95" s="208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8" t="n"/>
      <c r="O95" s="208" t="n"/>
      <c r="P95" s="208" t="n"/>
      <c r="Q95" s="8">
        <f>IFERROR(__xludf.DUMMYFUNCTION("iferror(index('지수RAW'!$V$7:$V$12040,MATCH($D95,'지수RAW'!$R$7:$R$12040,0)-1,1),GOOGLEFINANCE(Q$2))"),3245.44)</f>
        <v/>
      </c>
      <c r="R95" s="208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8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3">
      <c r="A96" s="208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8">
        <f>"20"&amp;B96</f>
        <v/>
      </c>
      <c r="F96" s="208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8" t="n"/>
      <c r="O96" s="208" t="n"/>
      <c r="P96" s="208" t="n"/>
      <c r="Q96" s="8">
        <f>IFERROR(__xludf.DUMMYFUNCTION("iferror(index('지수RAW'!$V$7:$V$12040,MATCH($D96,'지수RAW'!$R$7:$R$12040,0)-1,1),GOOGLEFINANCE(Q$2))"),3186.01)</f>
        <v/>
      </c>
      <c r="R96" s="208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8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3">
      <c r="A97" s="208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8">
        <f>"20"&amp;B97</f>
        <v/>
      </c>
      <c r="F97" s="208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8" t="n"/>
      <c r="O97" s="208" t="n"/>
      <c r="P97" s="208" t="n"/>
      <c r="Q97" s="8">
        <f>IFERROR(__xludf.DUMMYFUNCTION("iferror(index('지수RAW'!$V$7:$V$12040,MATCH($D97,'지수RAW'!$R$7:$R$12040,0)-1,1),GOOGLEFINANCE(Q$2))"),3424.6)</f>
        <v/>
      </c>
      <c r="R97" s="208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8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3">
      <c r="A98" s="208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8">
        <f>"20"&amp;B98</f>
        <v/>
      </c>
      <c r="F98" s="208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8" t="n"/>
      <c r="O98" s="208" t="n"/>
      <c r="P98" s="208" t="n"/>
      <c r="Q98" s="8">
        <f>IFERROR(__xludf.DUMMYFUNCTION("iferror(index('지수RAW'!$V$7:$V$12040,MATCH($D98,'지수RAW'!$R$7:$R$12040,0)-1,1),GOOGLEFINANCE(Q$2))"),4107.5)</f>
        <v/>
      </c>
      <c r="R98" s="208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8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3">
      <c r="A99" s="208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8">
        <f>"20"&amp;B99</f>
        <v/>
      </c>
      <c r="F99" s="208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8" t="n"/>
      <c r="O99" s="208" t="n"/>
      <c r="P99" s="208" t="n"/>
      <c r="Q99" s="8">
        <f>IFERROR(__xludf.DUMMYFUNCTION("iferror(index('지수RAW'!$V$7:$V$12040,MATCH($D99,'지수RAW'!$R$7:$R$12040,0)-1,1),GOOGLEFINANCE(Q$2))"),3926.59)</f>
        <v/>
      </c>
      <c r="R99" s="208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8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3">
      <c r="A100" s="208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8">
        <f>"20"&amp;B100</f>
        <v/>
      </c>
      <c r="F100" s="208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8" t="n"/>
      <c r="O100" s="208" t="n"/>
      <c r="P100" s="208" t="n"/>
      <c r="Q100" s="8">
        <f>IFERROR(__xludf.DUMMYFUNCTION("iferror(index('지수RAW'!$V$7:$V$12040,MATCH($D100,'지수RAW'!$R$7:$R$12040,0)-1,1),GOOGLEFINANCE(Q$2))"),4214.17)</f>
        <v/>
      </c>
      <c r="R100" s="208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8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3">
      <c r="A101" s="208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8">
        <f>"20"&amp;B101</f>
        <v/>
      </c>
      <c r="F101" s="208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8" t="n"/>
      <c r="O101" s="208" t="n"/>
      <c r="P101" s="208" t="n"/>
      <c r="Q101" s="8">
        <f>IFERROR(__xludf.DUMMYFUNCTION("iferror(index('지수RAW'!$V$7:$V$12040,MATCH($D101,'지수RAW'!$R$7:$R$12040,0)-1,1),GOOGLEFINANCE(Q$2))"),5224.36)</f>
        <v/>
      </c>
      <c r="R101" s="208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8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3">
      <c r="A102" s="208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8">
        <f>"20"&amp;B102</f>
        <v/>
      </c>
      <c r="F102" s="208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8" t="n"/>
      <c r="O102" s="208" t="n"/>
      <c r="P102" s="208" t="n"/>
      <c r="Q102" s="8">
        <f>IFERROR(__xludf.DUMMYFUNCTION("iferror(index('지수RAW'!$V$7:$V$12040,MATCH($D102,'지수RAW'!$R$7:$R$12040,0)-1,1),GOOGLEFINANCE(Q$2))"),6244.13)</f>
        <v/>
      </c>
      <c r="R102" s="208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8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3">
      <c r="A103" s="208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8">
        <f>"20"&amp;B103</f>
        <v/>
      </c>
      <c r="F103" s="208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8" t="n"/>
      <c r="O103" s="208" t="n"/>
      <c r="P103" s="208" t="n"/>
      <c r="Q103" s="8">
        <f>IFERROR(__xludf.DUMMYFUNCTION("iferror(index('지수RAW'!$V$7:$V$12040,MATCH($D103,'지수RAW'!$R$7:$R$12040,0)-1,1),GOOGLEFINANCE(Q$2))"),5052.46)</f>
        <v/>
      </c>
      <c r="R103" s="208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8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3">
      <c r="A104" s="208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8">
        <f>"20"&amp;B104</f>
        <v/>
      </c>
      <c r="F104" s="208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8" t="n"/>
      <c r="O104" s="208" t="n"/>
      <c r="P104" s="208" t="n"/>
      <c r="Q104" s="8">
        <f>IFERROR(__xludf.DUMMYFUNCTION("iferror(index('지수RAW'!$V$7:$V$12040,MATCH($D104,'지수RAW'!$R$7:$R$12040,0)-1,1),GOOGLEFINANCE(Q$2))"),6598.87)</f>
        <v/>
      </c>
      <c r="R104" s="208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8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3">
      <c r="A105" s="208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8">
        <f>"20"&amp;B105</f>
        <v/>
      </c>
      <c r="F105" s="208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8" t="n"/>
      <c r="O105" s="208" t="n"/>
      <c r="P105" s="208" t="n"/>
      <c r="Q105" s="8">
        <f>IFERROR(__xludf.DUMMYFUNCTION("iferror(index('지수RAW'!$V$7:$V$12040,MATCH($D105,'지수RAW'!$R$7:$R$12040,0)-1,1),GOOGLEFINANCE(Q$2))"),8476.15)</f>
        <v/>
      </c>
      <c r="R105" s="208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8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3">
      <c r="A106" s="208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8">
        <f>"20"&amp;B106</f>
        <v/>
      </c>
      <c r="F106" s="208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8" t="n"/>
      <c r="O106" s="208" t="n"/>
      <c r="P106" s="208" t="n"/>
      <c r="Q106" s="8">
        <f>IFERROR(__xludf.DUMMYFUNCTION("iferror(index('지수RAW'!$V$7:$V$12040,MATCH($D106,'지수RAW'!$R$7:$R$12040,0)-1,1),GOOGLEFINANCE(Q$2))"),8476.48)</f>
        <v/>
      </c>
      <c r="R106" s="208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8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3">
      <c r="A107" s="208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8">
        <f>"20"&amp;B107</f>
        <v/>
      </c>
      <c r="F107" s="208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8" t="n"/>
      <c r="O107" s="208" t="n"/>
      <c r="P107" s="208" t="n"/>
      <c r="Q107" s="8">
        <f>IFERROR(__xludf.DUMMYFUNCTION("iferror(index('지수RAW'!$V$7:$V$12040,MATCH($D107,'지수RAW'!$R$7:$R$12040,0)-1,1),GOOGLEFINANCE(Q$2))"),6820.6)</f>
        <v/>
      </c>
      <c r="R107" s="208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8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3">
      <c r="A108" s="208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8">
        <f>"20"&amp;B108</f>
        <v/>
      </c>
      <c r="F108" s="208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8" t="n"/>
      <c r="O108" s="208" t="n"/>
      <c r="P108" s="208" t="n"/>
      <c r="Q108" s="8">
        <f>IFERROR(__xludf.DUMMYFUNCTION("iferror(index('지수RAW'!$V$7:$V$12040,MATCH($D108,'지수RAW'!$R$7:$R$12040,0)-1,1),GOOGLEFINANCE(Q$2))"),6820.6)</f>
        <v/>
      </c>
      <c r="R108" s="208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8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3">
      <c r="A109" s="208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8">
        <f>"20"&amp;B109</f>
        <v/>
      </c>
      <c r="F109" s="208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8" t="n"/>
      <c r="O109" s="208" t="n"/>
      <c r="P109" s="208" t="n"/>
      <c r="Q109" s="8">
        <f>IFERROR(__xludf.DUMMYFUNCTION("iferror(index('지수RAW'!$V$7:$V$12040,MATCH($D109,'지수RAW'!$R$7:$R$12040,0)-1,1),GOOGLEFINANCE(Q$2))"),6820.6)</f>
        <v/>
      </c>
      <c r="R109" s="208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8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3">
      <c r="A110" s="208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8">
        <f>"20"&amp;B110</f>
        <v/>
      </c>
      <c r="F110" s="208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8" t="n"/>
      <c r="O110" s="208" t="n"/>
      <c r="P110" s="208" t="n"/>
      <c r="Q110" s="8">
        <f>IFERROR(__xludf.DUMMYFUNCTION("iferror(index('지수RAW'!$V$7:$V$12040,MATCH($D110,'지수RAW'!$R$7:$R$12040,0)-1,1),GOOGLEFINANCE(Q$2))"),6820.6)</f>
        <v/>
      </c>
      <c r="R110" s="208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8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3">
      <c r="A111" s="208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8">
        <f>"20"&amp;B111</f>
        <v/>
      </c>
      <c r="F111" s="208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8" t="n"/>
      <c r="O111" s="208" t="n"/>
      <c r="P111" s="208" t="n"/>
      <c r="Q111" s="8">
        <f>IFERROR(__xludf.DUMMYFUNCTION("iferror(index('지수RAW'!$V$7:$V$12040,MATCH($D111,'지수RAW'!$R$7:$R$12040,0)-1,1),GOOGLEFINANCE(Q$2))"),6820.6)</f>
        <v/>
      </c>
      <c r="R111" s="208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8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3">
      <c r="A112" s="208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8">
        <f>"20"&amp;B112</f>
        <v/>
      </c>
      <c r="F112" s="208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8" t="n"/>
      <c r="O112" s="208" t="n"/>
      <c r="P112" s="208" t="n"/>
      <c r="Q112" s="8">
        <f>IFERROR(__xludf.DUMMYFUNCTION("iferror(index('지수RAW'!$V$7:$V$12040,MATCH($D112,'지수RAW'!$R$7:$R$12040,0)-1,1),GOOGLEFINANCE(Q$2))"),6820.6)</f>
        <v/>
      </c>
      <c r="R112" s="208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8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3">
      <c r="A113" s="208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8">
        <f>"20"&amp;B113</f>
        <v/>
      </c>
      <c r="F113" s="208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8" t="n"/>
      <c r="O113" s="208" t="n"/>
      <c r="P113" s="208" t="n"/>
      <c r="Q113" s="8">
        <f>IFERROR(__xludf.DUMMYFUNCTION("iferror(index('지수RAW'!$V$7:$V$12040,MATCH($D113,'지수RAW'!$R$7:$R$12040,0)-1,1),GOOGLEFINANCE(Q$2))"),6820.6)</f>
        <v/>
      </c>
      <c r="R113" s="208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8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3">
      <c r="A114" s="208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8">
        <f>"20"&amp;B114</f>
        <v/>
      </c>
      <c r="F114" s="208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8" t="n"/>
      <c r="O114" s="208" t="n"/>
      <c r="P114" s="208" t="n"/>
      <c r="Q114" s="8">
        <f>IFERROR(__xludf.DUMMYFUNCTION("iferror(index('지수RAW'!$V$7:$V$12040,MATCH($D114,'지수RAW'!$R$7:$R$12040,0)-1,1),GOOGLEFINANCE(Q$2))"),6820.6)</f>
        <v/>
      </c>
      <c r="R114" s="208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8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3">
      <c r="A115" s="208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8">
        <f>"20"&amp;B115</f>
        <v/>
      </c>
      <c r="F115" s="208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8" t="n"/>
      <c r="O115" s="208" t="n"/>
      <c r="P115" s="208" t="n"/>
      <c r="Q115" s="8">
        <f>IFERROR(__xludf.DUMMYFUNCTION("iferror(index('지수RAW'!$V$7:$V$12040,MATCH($D115,'지수RAW'!$R$7:$R$12040,0)-1,1),GOOGLEFINANCE(Q$2))"),6820.6)</f>
        <v/>
      </c>
      <c r="R115" s="208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8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3">
      <c r="A116" s="208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8">
        <f>"20"&amp;B116</f>
        <v/>
      </c>
      <c r="F116" s="208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8" t="n"/>
      <c r="O116" s="208" t="n"/>
      <c r="P116" s="208" t="n"/>
      <c r="Q116" s="8">
        <f>IFERROR(__xludf.DUMMYFUNCTION("iferror(index('지수RAW'!$V$7:$V$12040,MATCH($D116,'지수RAW'!$R$7:$R$12040,0)-1,1),GOOGLEFINANCE(Q$2))"),6820.6)</f>
        <v/>
      </c>
      <c r="R116" s="208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8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3">
      <c r="A117" s="208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8">
        <f>"20"&amp;B117</f>
        <v/>
      </c>
      <c r="F117" s="208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8" t="n"/>
      <c r="O117" s="208" t="n"/>
      <c r="P117" s="208" t="n"/>
      <c r="Q117" s="8">
        <f>IFERROR(__xludf.DUMMYFUNCTION("iferror(index('지수RAW'!$V$7:$V$12040,MATCH($D117,'지수RAW'!$R$7:$R$12040,0)-1,1),GOOGLEFINANCE(Q$2))"),6820.6)</f>
        <v/>
      </c>
      <c r="R117" s="208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8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3">
      <c r="A118" s="208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8">
        <f>"20"&amp;B118</f>
        <v/>
      </c>
      <c r="F118" s="208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8" t="n"/>
      <c r="O118" s="208" t="n"/>
      <c r="P118" s="208" t="n"/>
      <c r="Q118" s="8">
        <f>IFERROR(__xludf.DUMMYFUNCTION("iferror(index('지수RAW'!$V$7:$V$12040,MATCH($D118,'지수RAW'!$R$7:$R$12040,0)-1,1),GOOGLEFINANCE(Q$2))"),6820.6)</f>
        <v/>
      </c>
      <c r="R118" s="208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8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3">
      <c r="A119" s="208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8">
        <f>"20"&amp;B119</f>
        <v/>
      </c>
      <c r="F119" s="208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8" t="n"/>
      <c r="O119" s="208" t="n"/>
      <c r="P119" s="208" t="n"/>
      <c r="Q119" s="8">
        <f>IFERROR(__xludf.DUMMYFUNCTION("iferror(index('지수RAW'!$V$7:$V$12040,MATCH($D119,'지수RAW'!$R$7:$R$12040,0)-1,1),GOOGLEFINANCE(Q$2))"),6820.6)</f>
        <v/>
      </c>
      <c r="R119" s="208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8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3">
      <c r="A120" s="208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8">
        <f>"20"&amp;B120</f>
        <v/>
      </c>
      <c r="F120" s="208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8" t="n"/>
      <c r="O120" s="208" t="n"/>
      <c r="P120" s="208" t="n"/>
      <c r="Q120" s="8">
        <f>IFERROR(__xludf.DUMMYFUNCTION("iferror(index('지수RAW'!$V$7:$V$12040,MATCH($D120,'지수RAW'!$R$7:$R$12040,0)-1,1),GOOGLEFINANCE(Q$2))"),6820.6)</f>
        <v/>
      </c>
      <c r="R120" s="208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8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3">
      <c r="A121" s="208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8">
        <f>"20"&amp;B121</f>
        <v/>
      </c>
      <c r="F121" s="208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8" t="n"/>
      <c r="O121" s="208" t="n"/>
      <c r="P121" s="208" t="n"/>
      <c r="Q121" s="8">
        <f>IFERROR(__xludf.DUMMYFUNCTION("iferror(index('지수RAW'!$V$7:$V$12040,MATCH($D121,'지수RAW'!$R$7:$R$12040,0)-1,1),GOOGLEFINANCE(Q$2))"),6820.6)</f>
        <v/>
      </c>
      <c r="R121" s="208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8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3">
      <c r="A122" s="208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8">
        <f>"20"&amp;B122</f>
        <v/>
      </c>
      <c r="F122" s="208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8" t="n"/>
      <c r="O122" s="208" t="n"/>
      <c r="P122" s="208" t="n"/>
      <c r="Q122" s="8">
        <f>IFERROR(__xludf.DUMMYFUNCTION("iferror(index('지수RAW'!$V$7:$V$12040,MATCH($D122,'지수RAW'!$R$7:$R$12040,0)-1,1),GOOGLEFINANCE(Q$2))"),6820.6)</f>
        <v/>
      </c>
      <c r="R122" s="208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8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3">
      <c r="A123" s="208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8">
        <f>"20"&amp;B123</f>
        <v/>
      </c>
      <c r="F123" s="208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8" t="n"/>
      <c r="O123" s="208" t="n"/>
      <c r="P123" s="208" t="n"/>
      <c r="Q123" s="8">
        <f>IFERROR(__xludf.DUMMYFUNCTION("iferror(index('지수RAW'!$V$7:$V$12040,MATCH($D123,'지수RAW'!$R$7:$R$12040,0)-1,1),GOOGLEFINANCE(Q$2))"),6820.6)</f>
        <v/>
      </c>
      <c r="R123" s="208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8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3">
      <c r="A124" s="208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8">
        <f>"20"&amp;B124</f>
        <v/>
      </c>
      <c r="F124" s="208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8" t="n"/>
      <c r="O124" s="208" t="n"/>
      <c r="P124" s="208" t="n"/>
      <c r="Q124" s="8">
        <f>IFERROR(__xludf.DUMMYFUNCTION("iferror(index('지수RAW'!$V$7:$V$12040,MATCH($D124,'지수RAW'!$R$7:$R$12040,0)-1,1),GOOGLEFINANCE(Q$2))"),6820.6)</f>
        <v/>
      </c>
      <c r="R124" s="208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8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3">
      <c r="A125" s="208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8">
        <f>"20"&amp;B125</f>
        <v/>
      </c>
      <c r="F125" s="208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8" t="n"/>
      <c r="O125" s="208" t="n"/>
      <c r="P125" s="208" t="n"/>
      <c r="Q125" s="8">
        <f>IFERROR(__xludf.DUMMYFUNCTION("iferror(index('지수RAW'!$V$7:$V$12040,MATCH($D125,'지수RAW'!$R$7:$R$12040,0)-1,1),GOOGLEFINANCE(Q$2))"),6820.6)</f>
        <v/>
      </c>
      <c r="R125" s="208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8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3">
      <c r="A126" s="208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8">
        <f>"20"&amp;B126</f>
        <v/>
      </c>
      <c r="F126" s="208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8" t="n"/>
      <c r="O126" s="208" t="n"/>
      <c r="P126" s="208" t="n"/>
      <c r="Q126" s="8">
        <f>IFERROR(__xludf.DUMMYFUNCTION("iferror(index('지수RAW'!$V$7:$V$12040,MATCH($D126,'지수RAW'!$R$7:$R$12040,0)-1,1),GOOGLEFINANCE(Q$2))"),6820.6)</f>
        <v/>
      </c>
      <c r="R126" s="208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8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3">
      <c r="A127" s="208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8">
        <f>"20"&amp;B127</f>
        <v/>
      </c>
      <c r="F127" s="208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8" t="n"/>
      <c r="O127" s="208" t="n"/>
      <c r="P127" s="208" t="n"/>
      <c r="Q127" s="8">
        <f>IFERROR(__xludf.DUMMYFUNCTION("iferror(index('지수RAW'!$V$7:$V$12040,MATCH($D127,'지수RAW'!$R$7:$R$12040,0)-1,1),GOOGLEFINANCE(Q$2))"),6820.6)</f>
        <v/>
      </c>
      <c r="R127" s="208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8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3">
      <c r="A128" s="208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8">
        <f>"20"&amp;B128</f>
        <v/>
      </c>
      <c r="F128" s="208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8" t="n"/>
      <c r="O128" s="208" t="n"/>
      <c r="P128" s="208" t="n"/>
      <c r="Q128" s="8">
        <f>IFERROR(__xludf.DUMMYFUNCTION("iferror(index('지수RAW'!$V$7:$V$12040,MATCH($D128,'지수RAW'!$R$7:$R$12040,0)-1,1),GOOGLEFINANCE(Q$2))"),6820.6)</f>
        <v/>
      </c>
      <c r="R128" s="208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8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3">
      <c r="A129" s="208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8">
        <f>"20"&amp;B129</f>
        <v/>
      </c>
      <c r="F129" s="208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8" t="n"/>
      <c r="O129" s="208" t="n"/>
      <c r="P129" s="208" t="n"/>
      <c r="Q129" s="8">
        <f>IFERROR(__xludf.DUMMYFUNCTION("iferror(index('지수RAW'!$V$7:$V$12040,MATCH($D129,'지수RAW'!$R$7:$R$12040,0)-1,1),GOOGLEFINANCE(Q$2))"),6820.6)</f>
        <v/>
      </c>
      <c r="R129" s="208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8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3">
      <c r="A130" s="208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8">
        <f>"20"&amp;B130</f>
        <v/>
      </c>
      <c r="F130" s="208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8" t="n"/>
      <c r="O130" s="208" t="n"/>
      <c r="P130" s="208" t="n"/>
      <c r="Q130" s="8">
        <f>IFERROR(__xludf.DUMMYFUNCTION("iferror(index('지수RAW'!$V$7:$V$12040,MATCH($D130,'지수RAW'!$R$7:$R$12040,0)-1,1),GOOGLEFINANCE(Q$2))"),6820.6)</f>
        <v/>
      </c>
      <c r="R130" s="208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8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3">
      <c r="A131" s="208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8">
        <f>"20"&amp;B131</f>
        <v/>
      </c>
      <c r="F131" s="208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8" t="n"/>
      <c r="O131" s="208" t="n"/>
      <c r="P131" s="208" t="n"/>
      <c r="Q131" s="8">
        <f>IFERROR(__xludf.DUMMYFUNCTION("iferror(index('지수RAW'!$V$7:$V$12040,MATCH($D131,'지수RAW'!$R$7:$R$12040,0)-1,1),GOOGLEFINANCE(Q$2))"),6820.6)</f>
        <v/>
      </c>
      <c r="R131" s="208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8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3">
      <c r="A132" s="208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8">
        <f>"20"&amp;B132</f>
        <v/>
      </c>
      <c r="F132" s="208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8" t="n"/>
      <c r="O132" s="208" t="n"/>
      <c r="P132" s="208" t="n"/>
      <c r="Q132" s="8">
        <f>IFERROR(__xludf.DUMMYFUNCTION("iferror(index('지수RAW'!$V$7:$V$12040,MATCH($D132,'지수RAW'!$R$7:$R$12040,0)-1,1),GOOGLEFINANCE(Q$2))"),6820.6)</f>
        <v/>
      </c>
      <c r="R132" s="208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8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3">
      <c r="A133" s="208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8">
        <f>"20"&amp;B133</f>
        <v/>
      </c>
      <c r="F133" s="208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8" t="n"/>
      <c r="O133" s="208" t="n"/>
      <c r="P133" s="208" t="n"/>
      <c r="Q133" s="8">
        <f>IFERROR(__xludf.DUMMYFUNCTION("iferror(index('지수RAW'!$V$7:$V$12040,MATCH($D133,'지수RAW'!$R$7:$R$12040,0)-1,1),GOOGLEFINANCE(Q$2))"),6820.6)</f>
        <v/>
      </c>
      <c r="R133" s="208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8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3">
      <c r="A134" s="208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8">
        <f>"20"&amp;B134</f>
        <v/>
      </c>
      <c r="F134" s="208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8" t="n"/>
      <c r="O134" s="208" t="n"/>
      <c r="P134" s="208" t="n"/>
      <c r="Q134" s="8">
        <f>IFERROR(__xludf.DUMMYFUNCTION("iferror(index('지수RAW'!$V$7:$V$12040,MATCH($D134,'지수RAW'!$R$7:$R$12040,0)-1,1),GOOGLEFINANCE(Q$2))"),6820.6)</f>
        <v/>
      </c>
      <c r="R134" s="208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8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3">
      <c r="A135" s="208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8">
        <f>"20"&amp;B135</f>
        <v/>
      </c>
      <c r="F135" s="208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8" t="n"/>
      <c r="O135" s="208" t="n"/>
      <c r="P135" s="208" t="n"/>
      <c r="Q135" s="8">
        <f>IFERROR(__xludf.DUMMYFUNCTION("iferror(index('지수RAW'!$V$7:$V$12040,MATCH($D135,'지수RAW'!$R$7:$R$12040,0)-1,1),GOOGLEFINANCE(Q$2))"),6820.6)</f>
        <v/>
      </c>
      <c r="R135" s="208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8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3">
      <c r="A136" s="208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8">
        <f>"20"&amp;B136</f>
        <v/>
      </c>
      <c r="F136" s="208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8" t="n"/>
      <c r="O136" s="208" t="n"/>
      <c r="P136" s="208" t="n"/>
      <c r="Q136" s="8">
        <f>IFERROR(__xludf.DUMMYFUNCTION("iferror(index('지수RAW'!$V$7:$V$12040,MATCH($D136,'지수RAW'!$R$7:$R$12040,0)-1,1),GOOGLEFINANCE(Q$2))"),6820.6)</f>
        <v/>
      </c>
      <c r="R136" s="208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8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3">
      <c r="A137" s="208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8">
        <f>"20"&amp;B137</f>
        <v/>
      </c>
      <c r="F137" s="208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8" t="n"/>
      <c r="O137" s="208" t="n"/>
      <c r="P137" s="208" t="n"/>
      <c r="Q137" s="8">
        <f>IFERROR(__xludf.DUMMYFUNCTION("iferror(index('지수RAW'!$V$7:$V$12040,MATCH($D137,'지수RAW'!$R$7:$R$12040,0)-1,1),GOOGLEFINANCE(Q$2))"),6820.6)</f>
        <v/>
      </c>
      <c r="R137" s="208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8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3">
      <c r="A138" s="208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8">
        <f>"20"&amp;B138</f>
        <v/>
      </c>
      <c r="F138" s="208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8" t="n"/>
      <c r="O138" s="208" t="n"/>
      <c r="P138" s="208" t="n"/>
      <c r="Q138" s="8">
        <f>IFERROR(__xludf.DUMMYFUNCTION("iferror(index('지수RAW'!$V$7:$V$12040,MATCH($D138,'지수RAW'!$R$7:$R$12040,0)-1,1),GOOGLEFINANCE(Q$2))"),6820.6)</f>
        <v/>
      </c>
      <c r="R138" s="208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8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3">
      <c r="A139" s="208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8">
        <f>"20"&amp;B139</f>
        <v/>
      </c>
      <c r="F139" s="208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8" t="n"/>
      <c r="O139" s="208" t="n"/>
      <c r="P139" s="208" t="n"/>
      <c r="Q139" s="8">
        <f>IFERROR(__xludf.DUMMYFUNCTION("iferror(index('지수RAW'!$V$7:$V$12040,MATCH($D139,'지수RAW'!$R$7:$R$12040,0)-1,1),GOOGLEFINANCE(Q$2))"),6820.6)</f>
        <v/>
      </c>
      <c r="R139" s="208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8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3">
      <c r="A140" s="208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8">
        <f>"20"&amp;B140</f>
        <v/>
      </c>
      <c r="F140" s="208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8" t="n"/>
      <c r="O140" s="208" t="n"/>
      <c r="P140" s="208" t="n"/>
      <c r="Q140" s="8">
        <f>IFERROR(__xludf.DUMMYFUNCTION("iferror(index('지수RAW'!$V$7:$V$12040,MATCH($D140,'지수RAW'!$R$7:$R$12040,0)-1,1),GOOGLEFINANCE(Q$2))"),6820.6)</f>
        <v/>
      </c>
      <c r="R140" s="208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8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3">
      <c r="A141" s="208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8">
        <f>"20"&amp;B141</f>
        <v/>
      </c>
      <c r="F141" s="208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8" t="n"/>
      <c r="O141" s="208" t="n"/>
      <c r="P141" s="208" t="n"/>
      <c r="Q141" s="8">
        <f>IFERROR(__xludf.DUMMYFUNCTION("iferror(index('지수RAW'!$V$7:$V$12040,MATCH($D141,'지수RAW'!$R$7:$R$12040,0)-1,1),GOOGLEFINANCE(Q$2))"),6820.6)</f>
        <v/>
      </c>
      <c r="R141" s="208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8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3">
      <c r="A142" s="208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8">
        <f>"20"&amp;B142</f>
        <v/>
      </c>
      <c r="F142" s="208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8" t="n"/>
      <c r="O142" s="208" t="n"/>
      <c r="P142" s="208" t="n"/>
      <c r="Q142" s="8">
        <f>IFERROR(__xludf.DUMMYFUNCTION("iferror(index('지수RAW'!$V$7:$V$12040,MATCH($D142,'지수RAW'!$R$7:$R$12040,0)-1,1),GOOGLEFINANCE(Q$2))"),6820.6)</f>
        <v/>
      </c>
      <c r="R142" s="208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8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3">
      <c r="A143" s="208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8">
        <f>"20"&amp;B143</f>
        <v/>
      </c>
      <c r="F143" s="208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8" t="n"/>
      <c r="O143" s="208" t="n"/>
      <c r="P143" s="208" t="n"/>
      <c r="Q143" s="8">
        <f>IFERROR(__xludf.DUMMYFUNCTION("iferror(index('지수RAW'!$V$7:$V$12040,MATCH($D143,'지수RAW'!$R$7:$R$12040,0)-1,1),GOOGLEFINANCE(Q$2))"),6820.6)</f>
        <v/>
      </c>
      <c r="R143" s="208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8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3">
      <c r="A144" s="208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8">
        <f>"20"&amp;B144</f>
        <v/>
      </c>
      <c r="F144" s="208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8" t="n"/>
      <c r="O144" s="208" t="n"/>
      <c r="P144" s="208" t="n"/>
      <c r="Q144" s="8">
        <f>IFERROR(__xludf.DUMMYFUNCTION("iferror(index('지수RAW'!$V$7:$V$12040,MATCH($D144,'지수RAW'!$R$7:$R$12040,0)-1,1),GOOGLEFINANCE(Q$2))"),6820.6)</f>
        <v/>
      </c>
      <c r="R144" s="208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8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3">
      <c r="A145" s="208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8">
        <f>"20"&amp;B145</f>
        <v/>
      </c>
      <c r="F145" s="208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8" t="n"/>
      <c r="O145" s="208" t="n"/>
      <c r="P145" s="208" t="n"/>
      <c r="Q145" s="8">
        <f>IFERROR(__xludf.DUMMYFUNCTION("iferror(index('지수RAW'!$V$7:$V$12040,MATCH($D145,'지수RAW'!$R$7:$R$12040,0)-1,1),GOOGLEFINANCE(Q$2))"),6820.6)</f>
        <v/>
      </c>
      <c r="R145" s="208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8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3">
      <c r="A146" s="208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8">
        <f>"20"&amp;B146</f>
        <v/>
      </c>
      <c r="F146" s="208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8" t="n"/>
      <c r="O146" s="208" t="n"/>
      <c r="P146" s="208" t="n"/>
      <c r="Q146" s="8">
        <f>IFERROR(__xludf.DUMMYFUNCTION("iferror(index('지수RAW'!$V$7:$V$12040,MATCH($D146,'지수RAW'!$R$7:$R$12040,0)-1,1),GOOGLEFINANCE(Q$2))"),6820.6)</f>
        <v/>
      </c>
      <c r="R146" s="208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8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3">
      <c r="A147" s="208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8">
        <f>"20"&amp;B147</f>
        <v/>
      </c>
      <c r="F147" s="208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8" t="n"/>
      <c r="O147" s="208" t="n"/>
      <c r="P147" s="208" t="n"/>
      <c r="Q147" s="8">
        <f>IFERROR(__xludf.DUMMYFUNCTION("iferror(index('지수RAW'!$V$7:$V$12040,MATCH($D147,'지수RAW'!$R$7:$R$12040,0)-1,1),GOOGLEFINANCE(Q$2))"),6820.6)</f>
        <v/>
      </c>
      <c r="R147" s="208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8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3">
      <c r="A148" s="208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8">
        <f>"20"&amp;B148</f>
        <v/>
      </c>
      <c r="F148" s="208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8" t="n"/>
      <c r="O148" s="208" t="n"/>
      <c r="P148" s="208" t="n"/>
      <c r="Q148" s="8">
        <f>IFERROR(__xludf.DUMMYFUNCTION("iferror(index('지수RAW'!$V$7:$V$12040,MATCH($D148,'지수RAW'!$R$7:$R$12040,0)-1,1),GOOGLEFINANCE(Q$2))"),6820.6)</f>
        <v/>
      </c>
      <c r="R148" s="208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8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3">
      <c r="A149" s="208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8">
        <f>"20"&amp;B149</f>
        <v/>
      </c>
      <c r="F149" s="208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8" t="n"/>
      <c r="O149" s="208" t="n"/>
      <c r="P149" s="208" t="n"/>
      <c r="Q149" s="8">
        <f>IFERROR(__xludf.DUMMYFUNCTION("iferror(index('지수RAW'!$V$7:$V$12040,MATCH($D149,'지수RAW'!$R$7:$R$12040,0)-1,1),GOOGLEFINANCE(Q$2))"),6820.6)</f>
        <v/>
      </c>
      <c r="R149" s="208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8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3">
      <c r="A150" s="208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8">
        <f>"20"&amp;B150</f>
        <v/>
      </c>
      <c r="F150" s="208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8" t="n"/>
      <c r="O150" s="208" t="n"/>
      <c r="P150" s="208" t="n"/>
      <c r="Q150" s="8">
        <f>IFERROR(__xludf.DUMMYFUNCTION("iferror(index('지수RAW'!$V$7:$V$12040,MATCH($D150,'지수RAW'!$R$7:$R$12040,0)-1,1),GOOGLEFINANCE(Q$2))"),6820.6)</f>
        <v/>
      </c>
      <c r="R150" s="208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8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3">
      <c r="A151" s="208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8">
        <f>"20"&amp;B151</f>
        <v/>
      </c>
      <c r="F151" s="208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8" t="n"/>
      <c r="O151" s="208" t="n"/>
      <c r="P151" s="208" t="n"/>
      <c r="Q151" s="8">
        <f>IFERROR(__xludf.DUMMYFUNCTION("iferror(index('지수RAW'!$V$7:$V$12040,MATCH($D151,'지수RAW'!$R$7:$R$12040,0)-1,1),GOOGLEFINANCE(Q$2))"),6820.6)</f>
        <v/>
      </c>
      <c r="R151" s="208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8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3">
      <c r="A152" s="208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8">
        <f>"20"&amp;B152</f>
        <v/>
      </c>
      <c r="F152" s="208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8" t="n"/>
      <c r="O152" s="208" t="n"/>
      <c r="P152" s="208" t="n"/>
      <c r="Q152" s="8">
        <f>IFERROR(__xludf.DUMMYFUNCTION("iferror(index('지수RAW'!$V$7:$V$12040,MATCH($D152,'지수RAW'!$R$7:$R$12040,0)-1,1),GOOGLEFINANCE(Q$2))"),6820.6)</f>
        <v/>
      </c>
      <c r="R152" s="208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8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3">
      <c r="A153" s="208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8">
        <f>"20"&amp;B153</f>
        <v/>
      </c>
      <c r="F153" s="208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8" t="n"/>
      <c r="O153" s="208" t="n"/>
      <c r="P153" s="208" t="n"/>
      <c r="Q153" s="8">
        <f>IFERROR(__xludf.DUMMYFUNCTION("iferror(index('지수RAW'!$V$7:$V$12040,MATCH($D153,'지수RAW'!$R$7:$R$12040,0)-1,1),GOOGLEFINANCE(Q$2))"),6820.6)</f>
        <v/>
      </c>
      <c r="R153" s="208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8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3">
      <c r="A154" s="208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8">
        <f>"20"&amp;B154</f>
        <v/>
      </c>
      <c r="F154" s="208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8" t="n"/>
      <c r="O154" s="208" t="n"/>
      <c r="P154" s="208" t="n"/>
      <c r="Q154" s="8">
        <f>IFERROR(__xludf.DUMMYFUNCTION("iferror(index('지수RAW'!$V$7:$V$12040,MATCH($D154,'지수RAW'!$R$7:$R$12040,0)-1,1),GOOGLEFINANCE(Q$2))"),6820.6)</f>
        <v/>
      </c>
      <c r="R154" s="208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8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3">
      <c r="A155" s="208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8">
        <f>"20"&amp;B155</f>
        <v/>
      </c>
      <c r="F155" s="208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8" t="n"/>
      <c r="O155" s="208" t="n"/>
      <c r="P155" s="208" t="n"/>
      <c r="Q155" s="8">
        <f>IFERROR(__xludf.DUMMYFUNCTION("iferror(index('지수RAW'!$V$7:$V$12040,MATCH($D155,'지수RAW'!$R$7:$R$12040,0)-1,1),GOOGLEFINANCE(Q$2))"),6820.6)</f>
        <v/>
      </c>
      <c r="R155" s="208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8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3">
      <c r="A156" s="208" t="n"/>
      <c r="B156" s="208" t="n"/>
      <c r="C156" s="208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8" t="n"/>
      <c r="AF156" s="208" t="n"/>
      <c r="AG156" s="208" t="n"/>
    </row>
    <row r="157" ht="12.75" customHeight="1" s="203">
      <c r="A157" s="208" t="n"/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8" t="n"/>
      <c r="AF157" s="208" t="n"/>
      <c r="AG157" s="208" t="n"/>
    </row>
    <row r="158" ht="12.75" customHeight="1" s="203">
      <c r="A158" s="208" t="n"/>
      <c r="B158" s="208" t="n"/>
      <c r="C158" s="208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8" t="n"/>
      <c r="AF158" s="208" t="n"/>
      <c r="AG158" s="208" t="n"/>
    </row>
    <row r="159" ht="12.75" customHeight="1" s="203">
      <c r="A159" s="208" t="n"/>
      <c r="B159" s="208" t="n"/>
      <c r="C159" s="208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8" t="n"/>
      <c r="AF159" s="208" t="n"/>
      <c r="AG159" s="208" t="n"/>
    </row>
    <row r="160" ht="12.75" customHeight="1" s="203">
      <c r="A160" s="208" t="n"/>
      <c r="B160" s="208" t="n"/>
      <c r="C160" s="208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8" t="n"/>
      <c r="AF160" s="208" t="n"/>
      <c r="AG160" s="208" t="n"/>
    </row>
    <row r="161" ht="12.75" customHeight="1" s="203">
      <c r="A161" s="208" t="n"/>
      <c r="B161" s="208" t="n"/>
      <c r="C161" s="208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8" t="n"/>
      <c r="AF161" s="208" t="n"/>
      <c r="AG161" s="208" t="n"/>
    </row>
    <row r="162" ht="12.75" customHeight="1" s="203">
      <c r="A162" s="208" t="n"/>
      <c r="B162" s="208" t="n"/>
      <c r="C162" s="208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8" t="n"/>
      <c r="AF162" s="208" t="n"/>
      <c r="AG162" s="208" t="n"/>
    </row>
    <row r="163" ht="12.75" customHeight="1" s="203">
      <c r="A163" s="208" t="n"/>
      <c r="B163" s="208" t="n"/>
      <c r="C163" s="208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8" t="n"/>
      <c r="AF163" s="208" t="n"/>
      <c r="AG163" s="208" t="n"/>
    </row>
    <row r="164" ht="12.75" customHeight="1" s="203">
      <c r="A164" s="208" t="n"/>
      <c r="B164" s="208" t="n"/>
      <c r="C164" s="208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8" t="n"/>
      <c r="AF164" s="208" t="n"/>
      <c r="AG164" s="208" t="n"/>
    </row>
    <row r="165" ht="12.75" customHeight="1" s="203">
      <c r="A165" s="208" t="n"/>
      <c r="B165" s="208" t="n"/>
      <c r="C165" s="208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8" t="n"/>
      <c r="AF165" s="208" t="n"/>
      <c r="AG165" s="208" t="n"/>
    </row>
    <row r="166" ht="12.75" customHeight="1" s="203">
      <c r="A166" s="208" t="n"/>
      <c r="B166" s="208" t="n"/>
      <c r="C166" s="208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8" t="n"/>
      <c r="AF166" s="208" t="n"/>
      <c r="AG166" s="208" t="n"/>
    </row>
    <row r="167" ht="12.75" customHeight="1" s="203">
      <c r="A167" s="208" t="n"/>
      <c r="B167" s="208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8" t="n"/>
      <c r="AF167" s="208" t="n"/>
      <c r="AG167" s="208" t="n"/>
    </row>
    <row r="168" ht="12.75" customHeight="1" s="203">
      <c r="A168" s="208" t="n"/>
      <c r="B168" s="208" t="n"/>
      <c r="C168" s="208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8" t="n"/>
      <c r="AF168" s="208" t="n"/>
      <c r="AG168" s="208" t="n"/>
    </row>
    <row r="169" ht="12.75" customHeight="1" s="203">
      <c r="A169" s="208" t="n"/>
      <c r="B169" s="208" t="n"/>
      <c r="C169" s="208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8" t="n"/>
      <c r="AF169" s="208" t="n"/>
      <c r="AG169" s="208" t="n"/>
    </row>
    <row r="170" ht="12.75" customHeight="1" s="203">
      <c r="A170" s="208" t="n"/>
      <c r="B170" s="208" t="n"/>
      <c r="C170" s="208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8" t="n"/>
      <c r="AF170" s="208" t="n"/>
      <c r="AG170" s="208" t="n"/>
    </row>
    <row r="171" ht="12.75" customHeight="1" s="203">
      <c r="A171" s="208" t="n"/>
      <c r="B171" s="208" t="n"/>
      <c r="C171" s="208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8" t="n"/>
      <c r="AF171" s="208" t="n"/>
      <c r="AG171" s="208" t="n"/>
    </row>
    <row r="172" ht="12.75" customHeight="1" s="203">
      <c r="A172" s="208" t="n"/>
      <c r="B172" s="208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8" t="n"/>
      <c r="AF172" s="208" t="n"/>
      <c r="AG172" s="208" t="n"/>
    </row>
    <row r="173" ht="12.75" customHeight="1" s="203">
      <c r="A173" s="208" t="n"/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8" t="n"/>
      <c r="AF173" s="208" t="n"/>
      <c r="AG173" s="208" t="n"/>
    </row>
    <row r="174" ht="12.75" customHeight="1" s="203">
      <c r="A174" s="208" t="n"/>
      <c r="B174" s="208" t="n"/>
      <c r="C174" s="208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8" t="n"/>
      <c r="AF174" s="208" t="n"/>
      <c r="AG174" s="208" t="n"/>
    </row>
    <row r="175" ht="12.75" customHeight="1" s="203">
      <c r="A175" s="208" t="n"/>
      <c r="B175" s="208" t="n"/>
      <c r="C175" s="208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8" t="n"/>
      <c r="AF175" s="208" t="n"/>
      <c r="AG175" s="208" t="n"/>
    </row>
    <row r="176" ht="12.75" customHeight="1" s="203">
      <c r="A176" s="208" t="n"/>
      <c r="B176" s="208" t="n"/>
      <c r="C176" s="208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8" t="n"/>
      <c r="AF176" s="208" t="n"/>
      <c r="AG176" s="208" t="n"/>
    </row>
    <row r="177" ht="12.75" customHeight="1" s="203">
      <c r="A177" s="208" t="n"/>
      <c r="B177" s="208" t="n"/>
      <c r="C177" s="208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8" t="n"/>
      <c r="AF177" s="208" t="n"/>
      <c r="AG177" s="208" t="n"/>
    </row>
    <row r="178" ht="12.75" customHeight="1" s="203">
      <c r="A178" s="208" t="n"/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8" t="n"/>
      <c r="AF178" s="208" t="n"/>
      <c r="AG178" s="208" t="n"/>
    </row>
    <row r="179" ht="12.75" customHeight="1" s="203">
      <c r="A179" s="208" t="n"/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8" t="n"/>
      <c r="AF179" s="208" t="n"/>
      <c r="AG179" s="208" t="n"/>
    </row>
    <row r="180" ht="12.75" customHeight="1" s="203">
      <c r="A180" s="208" t="n"/>
      <c r="B180" s="208" t="n"/>
      <c r="C180" s="208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8" t="n"/>
      <c r="AF180" s="208" t="n"/>
      <c r="AG180" s="208" t="n"/>
    </row>
    <row r="181" ht="12.75" customHeight="1" s="203">
      <c r="A181" s="208" t="n"/>
      <c r="B181" s="208" t="n"/>
      <c r="C181" s="208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8" t="n"/>
      <c r="AF181" s="208" t="n"/>
      <c r="AG181" s="208" t="n"/>
    </row>
    <row r="182" ht="12.75" customHeight="1" s="203">
      <c r="A182" s="208" t="n"/>
      <c r="B182" s="208" t="n"/>
      <c r="C182" s="208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8" t="n"/>
      <c r="AF182" s="208" t="n"/>
      <c r="AG182" s="208" t="n"/>
    </row>
    <row r="183" ht="12.75" customHeight="1" s="203">
      <c r="A183" s="208" t="n"/>
      <c r="B183" s="208" t="n"/>
      <c r="C183" s="208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8" t="n"/>
      <c r="AF183" s="208" t="n"/>
      <c r="AG183" s="208" t="n"/>
    </row>
    <row r="184" ht="12.75" customHeight="1" s="203">
      <c r="A184" s="208" t="n"/>
      <c r="B184" s="208" t="n"/>
      <c r="C184" s="208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8" t="n"/>
      <c r="AF184" s="208" t="n"/>
      <c r="AG184" s="208" t="n"/>
    </row>
    <row r="185" ht="12.75" customHeight="1" s="203">
      <c r="A185" s="208" t="n"/>
      <c r="B185" s="208" t="n"/>
      <c r="C185" s="208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8" t="n"/>
      <c r="AF185" s="208" t="n"/>
      <c r="AG185" s="208" t="n"/>
    </row>
    <row r="186" ht="12.75" customHeight="1" s="203">
      <c r="A186" s="208" t="n"/>
      <c r="B186" s="208" t="n"/>
      <c r="C186" s="208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8" t="n"/>
      <c r="AF186" s="208" t="n"/>
      <c r="AG186" s="208" t="n"/>
    </row>
    <row r="187" ht="12.75" customHeight="1" s="203">
      <c r="A187" s="208" t="n"/>
      <c r="B187" s="208" t="n"/>
      <c r="C187" s="208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8" t="n"/>
      <c r="AF187" s="208" t="n"/>
      <c r="AG187" s="208" t="n"/>
    </row>
    <row r="188" ht="12.75" customHeight="1" s="203">
      <c r="A188" s="208" t="n"/>
      <c r="B188" s="208" t="n"/>
      <c r="C188" s="208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8" t="n"/>
      <c r="AF188" s="208" t="n"/>
      <c r="AG188" s="208" t="n"/>
    </row>
    <row r="189" ht="12.75" customHeight="1" s="203">
      <c r="A189" s="208" t="n"/>
      <c r="B189" s="208" t="n"/>
      <c r="C189" s="208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8" t="n"/>
      <c r="AF189" s="208" t="n"/>
      <c r="AG189" s="208" t="n"/>
    </row>
    <row r="190" ht="12.75" customHeight="1" s="203">
      <c r="A190" s="208" t="n"/>
      <c r="B190" s="208" t="n"/>
      <c r="C190" s="208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8" t="n"/>
      <c r="AF190" s="208" t="n"/>
      <c r="AG190" s="208" t="n"/>
    </row>
    <row r="191" ht="12.75" customHeight="1" s="203">
      <c r="A191" s="208" t="n"/>
      <c r="B191" s="208" t="n"/>
      <c r="C191" s="208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8" t="n"/>
      <c r="AF191" s="208" t="n"/>
      <c r="AG191" s="208" t="n"/>
    </row>
    <row r="192" ht="12.75" customHeight="1" s="203">
      <c r="A192" s="208" t="n"/>
      <c r="B192" s="208" t="n"/>
      <c r="C192" s="208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8" t="n"/>
      <c r="AF192" s="208" t="n"/>
      <c r="AG192" s="208" t="n"/>
    </row>
    <row r="193" ht="12.75" customHeight="1" s="203">
      <c r="A193" s="208" t="n"/>
      <c r="B193" s="208" t="n"/>
      <c r="C193" s="208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8" t="n"/>
      <c r="AF193" s="208" t="n"/>
      <c r="AG193" s="208" t="n"/>
    </row>
    <row r="194" ht="12.75" customHeight="1" s="203">
      <c r="A194" s="208" t="n"/>
      <c r="B194" s="208" t="n"/>
      <c r="C194" s="208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8" t="n"/>
      <c r="AF194" s="208" t="n"/>
      <c r="AG194" s="208" t="n"/>
    </row>
    <row r="195" ht="12.75" customHeight="1" s="203">
      <c r="A195" s="208" t="n"/>
      <c r="B195" s="208" t="n"/>
      <c r="C195" s="208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8" t="n"/>
      <c r="AF195" s="208" t="n"/>
      <c r="AG195" s="208" t="n"/>
    </row>
    <row r="196" ht="12.75" customHeight="1" s="203">
      <c r="A196" s="208" t="n"/>
      <c r="B196" s="208" t="n"/>
      <c r="C196" s="208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8" t="n"/>
      <c r="AF196" s="208" t="n"/>
      <c r="AG196" s="208" t="n"/>
    </row>
    <row r="197" ht="12.75" customHeight="1" s="203">
      <c r="A197" s="208" t="n"/>
      <c r="B197" s="208" t="n"/>
      <c r="C197" s="208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8" t="n"/>
      <c r="AF197" s="208" t="n"/>
      <c r="AG197" s="208" t="n"/>
    </row>
    <row r="198" ht="12.75" customHeight="1" s="203">
      <c r="A198" s="208" t="n"/>
      <c r="B198" s="208" t="n"/>
      <c r="C198" s="208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8" t="n"/>
      <c r="AF198" s="208" t="n"/>
      <c r="AG198" s="208" t="n"/>
    </row>
    <row r="199" ht="12.75" customHeight="1" s="203">
      <c r="A199" s="208" t="n"/>
      <c r="B199" s="208" t="n"/>
      <c r="C199" s="208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8" t="n"/>
      <c r="AF199" s="208" t="n"/>
      <c r="AG199" s="208" t="n"/>
    </row>
    <row r="200" ht="12.75" customHeight="1" s="203">
      <c r="A200" s="208" t="n"/>
      <c r="B200" s="208" t="n"/>
      <c r="C200" s="208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8" t="n"/>
      <c r="AF200" s="208" t="n"/>
      <c r="AG200" s="208" t="n"/>
    </row>
    <row r="201" ht="12.75" customHeight="1" s="203">
      <c r="A201" s="208" t="n"/>
      <c r="B201" s="208" t="n"/>
      <c r="C201" s="208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8" t="n"/>
      <c r="AF201" s="208" t="n"/>
      <c r="AG201" s="208" t="n"/>
    </row>
    <row r="202" ht="12.75" customHeight="1" s="203">
      <c r="A202" s="208" t="n"/>
      <c r="B202" s="208" t="n"/>
      <c r="C202" s="208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8" t="n"/>
      <c r="AF202" s="208" t="n"/>
      <c r="AG202" s="208" t="n"/>
    </row>
    <row r="203" ht="12.75" customHeight="1" s="203">
      <c r="A203" s="208" t="n"/>
      <c r="B203" s="208" t="n"/>
      <c r="C203" s="208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8" t="n"/>
      <c r="AF203" s="208" t="n"/>
      <c r="AG203" s="208" t="n"/>
    </row>
    <row r="204" ht="12.75" customHeight="1" s="203">
      <c r="A204" s="208" t="n"/>
      <c r="B204" s="208" t="n"/>
      <c r="C204" s="208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8" t="n"/>
      <c r="AF204" s="208" t="n"/>
      <c r="AG204" s="208" t="n"/>
    </row>
    <row r="205" ht="12.75" customHeight="1" s="203">
      <c r="A205" s="208" t="n"/>
      <c r="B205" s="208" t="n"/>
      <c r="C205" s="208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8" t="n"/>
      <c r="AF205" s="208" t="n"/>
      <c r="AG205" s="208" t="n"/>
    </row>
    <row r="206" ht="12.75" customHeight="1" s="203">
      <c r="A206" s="208" t="n"/>
      <c r="B206" s="208" t="n"/>
      <c r="C206" s="208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8" t="n"/>
      <c r="AF206" s="208" t="n"/>
      <c r="AG206" s="208" t="n"/>
    </row>
    <row r="207" ht="12.75" customHeight="1" s="203">
      <c r="A207" s="208" t="n"/>
      <c r="B207" s="208" t="n"/>
      <c r="C207" s="208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8" t="n"/>
      <c r="AF207" s="208" t="n"/>
      <c r="AG207" s="208" t="n"/>
    </row>
    <row r="208" ht="12.75" customHeight="1" s="203">
      <c r="A208" s="208" t="n"/>
      <c r="B208" s="208" t="n"/>
      <c r="C208" s="208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8" t="n"/>
      <c r="AF208" s="208" t="n"/>
      <c r="AG208" s="208" t="n"/>
    </row>
    <row r="209" ht="12.75" customHeight="1" s="203">
      <c r="A209" s="208" t="n"/>
      <c r="B209" s="208" t="n"/>
      <c r="C209" s="208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8" t="n"/>
      <c r="AF209" s="208" t="n"/>
      <c r="AG209" s="208" t="n"/>
    </row>
    <row r="210" ht="12.75" customHeight="1" s="203">
      <c r="A210" s="208" t="n"/>
      <c r="B210" s="208" t="n"/>
      <c r="C210" s="208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8" t="n"/>
      <c r="AF210" s="208" t="n"/>
      <c r="AG210" s="208" t="n"/>
    </row>
    <row r="211" ht="12.75" customHeight="1" s="203">
      <c r="A211" s="208" t="n"/>
      <c r="B211" s="208" t="n"/>
      <c r="C211" s="208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8" t="n"/>
      <c r="AF211" s="208" t="n"/>
      <c r="AG211" s="208" t="n"/>
    </row>
    <row r="212" ht="12.75" customHeight="1" s="203">
      <c r="A212" s="208" t="n"/>
      <c r="B212" s="208" t="n"/>
      <c r="C212" s="208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8" t="n"/>
      <c r="AF212" s="208" t="n"/>
      <c r="AG212" s="208" t="n"/>
    </row>
    <row r="213" ht="12.75" customHeight="1" s="203">
      <c r="A213" s="208" t="n"/>
      <c r="B213" s="208" t="n"/>
      <c r="C213" s="208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8" t="n"/>
      <c r="AF213" s="208" t="n"/>
      <c r="AG213" s="208" t="n"/>
    </row>
    <row r="214" ht="12.75" customHeight="1" s="203">
      <c r="A214" s="208" t="n"/>
      <c r="B214" s="208" t="n"/>
      <c r="C214" s="208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8" t="n"/>
      <c r="AF214" s="208" t="n"/>
      <c r="AG214" s="208" t="n"/>
    </row>
    <row r="215" ht="12.75" customHeight="1" s="203">
      <c r="A215" s="208" t="n"/>
      <c r="B215" s="208" t="n"/>
      <c r="C215" s="208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8" t="n"/>
      <c r="AF215" s="208" t="n"/>
      <c r="AG215" s="208" t="n"/>
    </row>
    <row r="216" ht="12.75" customHeight="1" s="203">
      <c r="A216" s="208" t="n"/>
      <c r="B216" s="208" t="n"/>
      <c r="C216" s="208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8" t="n"/>
      <c r="AF216" s="208" t="n"/>
      <c r="AG216" s="208" t="n"/>
    </row>
    <row r="217" ht="12.75" customHeight="1" s="203">
      <c r="A217" s="208" t="n"/>
      <c r="B217" s="208" t="n"/>
      <c r="C217" s="208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8" t="n"/>
      <c r="AF217" s="208" t="n"/>
      <c r="AG217" s="208" t="n"/>
    </row>
    <row r="218" ht="12.75" customHeight="1" s="203">
      <c r="A218" s="208" t="n"/>
      <c r="B218" s="208" t="n"/>
      <c r="C218" s="208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8" t="n"/>
      <c r="AF218" s="208" t="n"/>
      <c r="AG218" s="208" t="n"/>
    </row>
    <row r="219" ht="12.75" customHeight="1" s="203">
      <c r="A219" s="208" t="n"/>
      <c r="B219" s="208" t="n"/>
      <c r="C219" s="208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8" t="n"/>
      <c r="AF219" s="208" t="n"/>
      <c r="AG219" s="208" t="n"/>
    </row>
    <row r="220" ht="12.75" customHeight="1" s="203">
      <c r="A220" s="208" t="n"/>
      <c r="B220" s="208" t="n"/>
      <c r="C220" s="208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8" t="n"/>
      <c r="AF220" s="208" t="n"/>
      <c r="AG220" s="208" t="n"/>
    </row>
    <row r="221" ht="12.75" customHeight="1" s="203">
      <c r="A221" s="208" t="n"/>
      <c r="B221" s="208" t="n"/>
      <c r="C221" s="208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8" t="n"/>
      <c r="AF221" s="208" t="n"/>
      <c r="AG221" s="208" t="n"/>
    </row>
    <row r="222" ht="12.75" customHeight="1" s="203">
      <c r="A222" s="208" t="n"/>
      <c r="B222" s="208" t="n"/>
      <c r="C222" s="208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8" t="n"/>
      <c r="AF222" s="208" t="n"/>
      <c r="AG222" s="208" t="n"/>
    </row>
    <row r="223" ht="12.75" customHeight="1" s="203">
      <c r="A223" s="208" t="n"/>
      <c r="B223" s="208" t="n"/>
      <c r="C223" s="208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8" t="n"/>
      <c r="AF223" s="208" t="n"/>
      <c r="AG223" s="208" t="n"/>
    </row>
    <row r="224" ht="12.75" customHeight="1" s="203">
      <c r="A224" s="208" t="n"/>
      <c r="B224" s="208" t="n"/>
      <c r="C224" s="208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8" t="n"/>
      <c r="AF224" s="208" t="n"/>
      <c r="AG224" s="208" t="n"/>
    </row>
    <row r="225" ht="12.75" customHeight="1" s="203">
      <c r="A225" s="208" t="n"/>
      <c r="B225" s="208" t="n"/>
      <c r="C225" s="208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8" t="n"/>
      <c r="AF225" s="208" t="n"/>
      <c r="AG225" s="208" t="n"/>
    </row>
    <row r="226" ht="12.75" customHeight="1" s="203">
      <c r="A226" s="208" t="n"/>
      <c r="B226" s="208" t="n"/>
      <c r="C226" s="208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8" t="n"/>
      <c r="AF226" s="208" t="n"/>
      <c r="AG226" s="208" t="n"/>
    </row>
    <row r="227" ht="12.75" customHeight="1" s="203">
      <c r="A227" s="208" t="n"/>
      <c r="B227" s="208" t="n"/>
      <c r="C227" s="208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8" t="n"/>
      <c r="AF227" s="208" t="n"/>
      <c r="AG227" s="208" t="n"/>
    </row>
    <row r="228" ht="12.75" customHeight="1" s="203">
      <c r="A228" s="208" t="n"/>
      <c r="B228" s="208" t="n"/>
      <c r="C228" s="208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8" t="n"/>
      <c r="AF228" s="208" t="n"/>
      <c r="AG228" s="208" t="n"/>
    </row>
    <row r="229" ht="12.75" customHeight="1" s="203">
      <c r="A229" s="208" t="n"/>
      <c r="B229" s="208" t="n"/>
      <c r="C229" s="208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8" t="n"/>
      <c r="AF229" s="208" t="n"/>
      <c r="AG229" s="208" t="n"/>
    </row>
    <row r="230" ht="12.75" customHeight="1" s="203">
      <c r="A230" s="208" t="n"/>
      <c r="B230" s="208" t="n"/>
      <c r="C230" s="208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8" t="n"/>
      <c r="AF230" s="208" t="n"/>
      <c r="AG230" s="208" t="n"/>
    </row>
    <row r="231" ht="12.75" customHeight="1" s="203">
      <c r="A231" s="208" t="n"/>
      <c r="B231" s="208" t="n"/>
      <c r="C231" s="208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8" t="n"/>
      <c r="AF231" s="208" t="n"/>
      <c r="AG231" s="208" t="n"/>
    </row>
    <row r="232" ht="12.75" customHeight="1" s="203">
      <c r="A232" s="208" t="n"/>
      <c r="B232" s="208" t="n"/>
      <c r="C232" s="208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8" t="n"/>
      <c r="AF232" s="208" t="n"/>
      <c r="AG232" s="208" t="n"/>
    </row>
    <row r="233" ht="12.75" customHeight="1" s="203">
      <c r="A233" s="208" t="n"/>
      <c r="B233" s="208" t="n"/>
      <c r="C233" s="208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8" t="n"/>
      <c r="AF233" s="208" t="n"/>
      <c r="AG233" s="208" t="n"/>
    </row>
    <row r="234" ht="12.75" customHeight="1" s="203">
      <c r="A234" s="208" t="n"/>
      <c r="B234" s="208" t="n"/>
      <c r="C234" s="208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8" t="n"/>
      <c r="AF234" s="208" t="n"/>
      <c r="AG234" s="208" t="n"/>
    </row>
    <row r="235" ht="12.75" customHeight="1" s="203">
      <c r="A235" s="208" t="n"/>
      <c r="B235" s="208" t="n"/>
      <c r="C235" s="208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8" t="n"/>
      <c r="AF235" s="208" t="n"/>
      <c r="AG235" s="208" t="n"/>
    </row>
    <row r="236" ht="12.75" customHeight="1" s="203">
      <c r="A236" s="208" t="n"/>
      <c r="B236" s="208" t="n"/>
      <c r="C236" s="208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8" t="n"/>
      <c r="AF236" s="208" t="n"/>
      <c r="AG236" s="208" t="n"/>
    </row>
    <row r="237" ht="12.75" customHeight="1" s="203">
      <c r="A237" s="208" t="n"/>
      <c r="B237" s="208" t="n"/>
      <c r="C237" s="208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8" t="n"/>
      <c r="AF237" s="208" t="n"/>
      <c r="AG237" s="208" t="n"/>
    </row>
    <row r="238" ht="12.75" customHeight="1" s="203">
      <c r="A238" s="208" t="n"/>
      <c r="B238" s="208" t="n"/>
      <c r="C238" s="208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8" t="n"/>
      <c r="AF238" s="208" t="n"/>
      <c r="AG238" s="208" t="n"/>
    </row>
    <row r="239" ht="12.75" customHeight="1" s="203">
      <c r="A239" s="208" t="n"/>
      <c r="B239" s="208" t="n"/>
      <c r="C239" s="208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8" t="n"/>
      <c r="AF239" s="208" t="n"/>
      <c r="AG239" s="208" t="n"/>
    </row>
    <row r="240" ht="12.75" customHeight="1" s="203">
      <c r="A240" s="208" t="n"/>
      <c r="B240" s="208" t="n"/>
      <c r="C240" s="208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8" t="n"/>
      <c r="AF240" s="208" t="n"/>
      <c r="AG240" s="208" t="n"/>
    </row>
    <row r="241" ht="12.75" customHeight="1" s="203">
      <c r="A241" s="208" t="n"/>
      <c r="B241" s="208" t="n"/>
      <c r="C241" s="208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8" t="n"/>
      <c r="AF241" s="208" t="n"/>
      <c r="AG241" s="208" t="n"/>
    </row>
    <row r="242" ht="12.75" customHeight="1" s="203">
      <c r="A242" s="208" t="n"/>
      <c r="B242" s="208" t="n"/>
      <c r="C242" s="208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8" t="n"/>
      <c r="AF242" s="208" t="n"/>
      <c r="AG242" s="208" t="n"/>
    </row>
    <row r="243" ht="12.75" customHeight="1" s="203">
      <c r="A243" s="208" t="n"/>
      <c r="B243" s="208" t="n"/>
      <c r="C243" s="208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8" t="n"/>
      <c r="AF243" s="208" t="n"/>
      <c r="AG243" s="208" t="n"/>
    </row>
    <row r="244" ht="12.75" customHeight="1" s="203">
      <c r="A244" s="208" t="n"/>
      <c r="B244" s="208" t="n"/>
      <c r="C244" s="208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8" t="n"/>
      <c r="AF244" s="208" t="n"/>
      <c r="AG244" s="208" t="n"/>
    </row>
    <row r="245" ht="12.75" customHeight="1" s="203">
      <c r="A245" s="208" t="n"/>
      <c r="B245" s="208" t="n"/>
      <c r="C245" s="208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8" t="n"/>
      <c r="AF245" s="208" t="n"/>
      <c r="AG245" s="208" t="n"/>
    </row>
    <row r="246" ht="12.75" customHeight="1" s="203">
      <c r="A246" s="208" t="n"/>
      <c r="B246" s="208" t="n"/>
      <c r="C246" s="208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8" t="n"/>
      <c r="AF246" s="208" t="n"/>
      <c r="AG246" s="208" t="n"/>
    </row>
    <row r="247" ht="12.75" customHeight="1" s="203">
      <c r="A247" s="208" t="n"/>
      <c r="B247" s="208" t="n"/>
      <c r="C247" s="208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8" t="n"/>
      <c r="AF247" s="208" t="n"/>
      <c r="AG247" s="208" t="n"/>
    </row>
    <row r="248" ht="12.75" customHeight="1" s="203">
      <c r="A248" s="208" t="n"/>
      <c r="B248" s="208" t="n"/>
      <c r="C248" s="208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8" t="n"/>
      <c r="AF248" s="208" t="n"/>
      <c r="AG248" s="208" t="n"/>
    </row>
    <row r="249" ht="12.75" customHeight="1" s="203">
      <c r="A249" s="208" t="n"/>
      <c r="B249" s="208" t="n"/>
      <c r="C249" s="208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8" t="n"/>
      <c r="AF249" s="208" t="n"/>
      <c r="AG249" s="208" t="n"/>
    </row>
    <row r="250" ht="12.75" customHeight="1" s="203">
      <c r="A250" s="208" t="n"/>
      <c r="B250" s="208" t="n"/>
      <c r="C250" s="208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8" t="n"/>
      <c r="AF250" s="208" t="n"/>
      <c r="AG250" s="208" t="n"/>
    </row>
    <row r="251" ht="12.75" customHeight="1" s="203">
      <c r="A251" s="208" t="n"/>
      <c r="B251" s="208" t="n"/>
      <c r="C251" s="208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8" t="n"/>
      <c r="AF251" s="208" t="n"/>
      <c r="AG251" s="208" t="n"/>
    </row>
    <row r="252" ht="12.75" customHeight="1" s="203">
      <c r="A252" s="208" t="n"/>
      <c r="B252" s="208" t="n"/>
      <c r="C252" s="208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8" t="n"/>
      <c r="AF252" s="208" t="n"/>
      <c r="AG252" s="208" t="n"/>
    </row>
    <row r="253" ht="12.75" customHeight="1" s="203">
      <c r="A253" s="208" t="n"/>
      <c r="B253" s="208" t="n"/>
      <c r="C253" s="208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8" t="n"/>
      <c r="AF253" s="208" t="n"/>
      <c r="AG253" s="208" t="n"/>
    </row>
    <row r="254" ht="12.75" customHeight="1" s="203">
      <c r="A254" s="208" t="n"/>
      <c r="B254" s="208" t="n"/>
      <c r="C254" s="208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8" t="n"/>
      <c r="AF254" s="208" t="n"/>
      <c r="AG254" s="208" t="n"/>
    </row>
    <row r="255" ht="12.75" customHeight="1" s="203">
      <c r="A255" s="208" t="n"/>
      <c r="B255" s="208" t="n"/>
      <c r="C255" s="208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8" t="n"/>
      <c r="AF255" s="208" t="n"/>
      <c r="AG255" s="208" t="n"/>
    </row>
    <row r="256" ht="12.75" customHeight="1" s="203">
      <c r="A256" s="208" t="n"/>
      <c r="B256" s="208" t="n"/>
      <c r="C256" s="208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8" t="n"/>
      <c r="AF256" s="208" t="n"/>
      <c r="AG256" s="208" t="n"/>
    </row>
    <row r="257" ht="12.75" customHeight="1" s="203">
      <c r="A257" s="208" t="n"/>
      <c r="B257" s="208" t="n"/>
      <c r="C257" s="208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8" t="n"/>
      <c r="AF257" s="208" t="n"/>
      <c r="AG257" s="208" t="n"/>
    </row>
    <row r="258" ht="12.75" customHeight="1" s="203">
      <c r="A258" s="208" t="n"/>
      <c r="B258" s="208" t="n"/>
      <c r="C258" s="208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8" t="n"/>
      <c r="AF258" s="208" t="n"/>
      <c r="AG258" s="208" t="n"/>
    </row>
    <row r="259" ht="12.75" customHeight="1" s="203">
      <c r="A259" s="208" t="n"/>
      <c r="B259" s="208" t="n"/>
      <c r="C259" s="208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8" t="n"/>
      <c r="AF259" s="208" t="n"/>
      <c r="AG259" s="208" t="n"/>
    </row>
    <row r="260" ht="12.75" customHeight="1" s="203">
      <c r="A260" s="208" t="n"/>
      <c r="B260" s="208" t="n"/>
      <c r="C260" s="208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8" t="n"/>
      <c r="AF260" s="208" t="n"/>
      <c r="AG260" s="208" t="n"/>
    </row>
    <row r="261" ht="12.75" customHeight="1" s="203">
      <c r="A261" s="208" t="n"/>
      <c r="B261" s="208" t="n"/>
      <c r="C261" s="208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8" t="n"/>
      <c r="AF261" s="208" t="n"/>
      <c r="AG261" s="208" t="n"/>
    </row>
    <row r="262" ht="12.75" customHeight="1" s="203">
      <c r="A262" s="208" t="n"/>
      <c r="B262" s="208" t="n"/>
      <c r="C262" s="208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8" t="n"/>
      <c r="AF262" s="208" t="n"/>
      <c r="AG262" s="208" t="n"/>
    </row>
    <row r="263" ht="12.75" customHeight="1" s="203">
      <c r="A263" s="208" t="n"/>
      <c r="B263" s="208" t="n"/>
      <c r="C263" s="208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8" t="n"/>
      <c r="AF263" s="208" t="n"/>
      <c r="AG263" s="208" t="n"/>
    </row>
    <row r="264" ht="12.75" customHeight="1" s="203">
      <c r="A264" s="208" t="n"/>
      <c r="B264" s="208" t="n"/>
      <c r="C264" s="208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8" t="n"/>
      <c r="AF264" s="208" t="n"/>
      <c r="AG264" s="208" t="n"/>
    </row>
    <row r="265" ht="12.75" customHeight="1" s="203">
      <c r="A265" s="208" t="n"/>
      <c r="B265" s="208" t="n"/>
      <c r="C265" s="208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8" t="n"/>
      <c r="AF265" s="208" t="n"/>
      <c r="AG265" s="208" t="n"/>
    </row>
    <row r="266" ht="12.75" customHeight="1" s="203">
      <c r="A266" s="208" t="n"/>
      <c r="B266" s="208" t="n"/>
      <c r="C266" s="208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8" t="n"/>
      <c r="AF266" s="208" t="n"/>
      <c r="AG266" s="208" t="n"/>
    </row>
    <row r="267" ht="12.75" customHeight="1" s="203">
      <c r="A267" s="208" t="n"/>
      <c r="B267" s="208" t="n"/>
      <c r="C267" s="208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8" t="n"/>
      <c r="AF267" s="208" t="n"/>
      <c r="AG267" s="208" t="n"/>
    </row>
    <row r="268" ht="12.75" customHeight="1" s="203">
      <c r="A268" s="208" t="n"/>
      <c r="B268" s="208" t="n"/>
      <c r="C268" s="208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8" t="n"/>
      <c r="AF268" s="208" t="n"/>
      <c r="AG268" s="208" t="n"/>
    </row>
    <row r="269" ht="12.75" customHeight="1" s="203">
      <c r="A269" s="208" t="n"/>
      <c r="B269" s="208" t="n"/>
      <c r="C269" s="208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8" t="n"/>
      <c r="AF269" s="208" t="n"/>
      <c r="AG269" s="208" t="n"/>
    </row>
    <row r="270" ht="12.75" customHeight="1" s="203">
      <c r="A270" s="208" t="n"/>
      <c r="B270" s="208" t="n"/>
      <c r="C270" s="208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8" t="n"/>
      <c r="AF270" s="208" t="n"/>
      <c r="AG270" s="208" t="n"/>
    </row>
    <row r="271" ht="12.75" customHeight="1" s="203">
      <c r="A271" s="208" t="n"/>
      <c r="B271" s="208" t="n"/>
      <c r="C271" s="208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8" t="n"/>
      <c r="AF271" s="208" t="n"/>
      <c r="AG271" s="208" t="n"/>
    </row>
    <row r="272" ht="12.75" customHeight="1" s="203">
      <c r="A272" s="208" t="n"/>
      <c r="B272" s="208" t="n"/>
      <c r="C272" s="208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8" t="n"/>
      <c r="AF272" s="208" t="n"/>
      <c r="AG272" s="208" t="n"/>
    </row>
    <row r="273" ht="12.75" customHeight="1" s="203">
      <c r="A273" s="208" t="n"/>
      <c r="B273" s="208" t="n"/>
      <c r="C273" s="208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8" t="n"/>
      <c r="AF273" s="208" t="n"/>
      <c r="AG273" s="208" t="n"/>
    </row>
    <row r="274" ht="12.75" customHeight="1" s="203">
      <c r="A274" s="208" t="n"/>
      <c r="B274" s="208" t="n"/>
      <c r="C274" s="208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8" t="n"/>
      <c r="AF274" s="208" t="n"/>
      <c r="AG274" s="208" t="n"/>
    </row>
    <row r="275" ht="12.75" customHeight="1" s="203">
      <c r="A275" s="208" t="n"/>
      <c r="B275" s="208" t="n"/>
      <c r="C275" s="208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8" t="n"/>
      <c r="AF275" s="208" t="n"/>
      <c r="AG275" s="208" t="n"/>
    </row>
    <row r="276" ht="12.75" customHeight="1" s="203">
      <c r="A276" s="208" t="n"/>
      <c r="B276" s="208" t="n"/>
      <c r="C276" s="208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8" t="n"/>
      <c r="AF276" s="208" t="n"/>
      <c r="AG276" s="208" t="n"/>
    </row>
    <row r="277" ht="12.75" customHeight="1" s="203">
      <c r="A277" s="208" t="n"/>
      <c r="B277" s="208" t="n"/>
      <c r="C277" s="208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8" t="n"/>
      <c r="AF277" s="208" t="n"/>
      <c r="AG277" s="208" t="n"/>
    </row>
    <row r="278" ht="12.75" customHeight="1" s="203">
      <c r="A278" s="208" t="n"/>
      <c r="B278" s="208" t="n"/>
      <c r="C278" s="208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8" t="n"/>
      <c r="AF278" s="208" t="n"/>
      <c r="AG278" s="208" t="n"/>
    </row>
    <row r="279" ht="12.75" customHeight="1" s="203">
      <c r="A279" s="208" t="n"/>
      <c r="B279" s="208" t="n"/>
      <c r="C279" s="208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8" t="n"/>
      <c r="AF279" s="208" t="n"/>
      <c r="AG279" s="208" t="n"/>
    </row>
    <row r="280" ht="12.75" customHeight="1" s="203">
      <c r="A280" s="208" t="n"/>
      <c r="B280" s="208" t="n"/>
      <c r="C280" s="208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8" t="n"/>
      <c r="AF280" s="208" t="n"/>
      <c r="AG280" s="208" t="n"/>
    </row>
    <row r="281" ht="12.75" customHeight="1" s="203">
      <c r="A281" s="208" t="n"/>
      <c r="B281" s="208" t="n"/>
      <c r="C281" s="208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8" t="n"/>
      <c r="AF281" s="208" t="n"/>
      <c r="AG281" s="208" t="n"/>
    </row>
    <row r="282" ht="12.75" customHeight="1" s="203">
      <c r="A282" s="208" t="n"/>
      <c r="B282" s="208" t="n"/>
      <c r="C282" s="208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8" t="n"/>
      <c r="AF282" s="208" t="n"/>
      <c r="AG282" s="208" t="n"/>
    </row>
    <row r="283" ht="12.75" customHeight="1" s="203">
      <c r="A283" s="208" t="n"/>
      <c r="B283" s="208" t="n"/>
      <c r="C283" s="208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8" t="n"/>
      <c r="AF283" s="208" t="n"/>
      <c r="AG283" s="208" t="n"/>
    </row>
    <row r="284" ht="12.75" customHeight="1" s="203">
      <c r="A284" s="208" t="n"/>
      <c r="B284" s="208" t="n"/>
      <c r="C284" s="208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8" t="n"/>
      <c r="AF284" s="208" t="n"/>
      <c r="AG284" s="208" t="n"/>
    </row>
    <row r="285" ht="12.75" customHeight="1" s="203">
      <c r="A285" s="208" t="n"/>
      <c r="B285" s="208" t="n"/>
      <c r="C285" s="208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8" t="n"/>
      <c r="AF285" s="208" t="n"/>
      <c r="AG285" s="208" t="n"/>
    </row>
    <row r="286" ht="12.75" customHeight="1" s="203">
      <c r="A286" s="208" t="n"/>
      <c r="B286" s="208" t="n"/>
      <c r="C286" s="208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8" t="n"/>
      <c r="AF286" s="208" t="n"/>
      <c r="AG286" s="208" t="n"/>
    </row>
    <row r="287" ht="12.75" customHeight="1" s="203">
      <c r="A287" s="208" t="n"/>
      <c r="B287" s="208" t="n"/>
      <c r="C287" s="208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8" t="n"/>
      <c r="AF287" s="208" t="n"/>
      <c r="AG287" s="208" t="n"/>
    </row>
    <row r="288" ht="12.75" customHeight="1" s="203">
      <c r="A288" s="208" t="n"/>
      <c r="B288" s="208" t="n"/>
      <c r="C288" s="208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8" t="n"/>
      <c r="AF288" s="208" t="n"/>
      <c r="AG288" s="208" t="n"/>
    </row>
    <row r="289" ht="12.75" customHeight="1" s="203">
      <c r="A289" s="208" t="n"/>
      <c r="B289" s="208" t="n"/>
      <c r="C289" s="208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8" t="n"/>
      <c r="AF289" s="208" t="n"/>
      <c r="AG289" s="208" t="n"/>
    </row>
    <row r="290" ht="12.75" customHeight="1" s="203">
      <c r="A290" s="208" t="n"/>
      <c r="B290" s="208" t="n"/>
      <c r="C290" s="208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8" t="n"/>
      <c r="AF290" s="208" t="n"/>
      <c r="AG290" s="208" t="n"/>
    </row>
    <row r="291" ht="12.75" customHeight="1" s="203">
      <c r="A291" s="208" t="n"/>
      <c r="B291" s="208" t="n"/>
      <c r="C291" s="208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8" t="n"/>
      <c r="AF291" s="208" t="n"/>
      <c r="AG291" s="208" t="n"/>
    </row>
    <row r="292" ht="12.75" customHeight="1" s="203">
      <c r="A292" s="208" t="n"/>
      <c r="B292" s="208" t="n"/>
      <c r="C292" s="208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8" t="n"/>
      <c r="AF292" s="208" t="n"/>
      <c r="AG292" s="208" t="n"/>
    </row>
    <row r="293" ht="12.75" customHeight="1" s="203">
      <c r="A293" s="208" t="n"/>
      <c r="B293" s="208" t="n"/>
      <c r="C293" s="208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8" t="n"/>
      <c r="AF293" s="208" t="n"/>
      <c r="AG293" s="208" t="n"/>
    </row>
    <row r="294" ht="12.75" customHeight="1" s="203">
      <c r="A294" s="208" t="n"/>
      <c r="B294" s="208" t="n"/>
      <c r="C294" s="208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8" t="n"/>
      <c r="AF294" s="208" t="n"/>
      <c r="AG294" s="208" t="n"/>
    </row>
    <row r="295" ht="12.75" customHeight="1" s="203">
      <c r="A295" s="208" t="n"/>
      <c r="B295" s="208" t="n"/>
      <c r="C295" s="208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8" t="n"/>
      <c r="AF295" s="208" t="n"/>
      <c r="AG295" s="208" t="n"/>
    </row>
    <row r="296" ht="12.75" customHeight="1" s="203">
      <c r="A296" s="208" t="n"/>
      <c r="B296" s="208" t="n"/>
      <c r="C296" s="208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8" t="n"/>
      <c r="AF296" s="208" t="n"/>
      <c r="AG296" s="208" t="n"/>
    </row>
    <row r="297" ht="12.75" customHeight="1" s="203">
      <c r="A297" s="208" t="n"/>
      <c r="B297" s="208" t="n"/>
      <c r="C297" s="208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8" t="n"/>
      <c r="AF297" s="208" t="n"/>
      <c r="AG297" s="208" t="n"/>
    </row>
    <row r="298" ht="12.75" customHeight="1" s="203">
      <c r="A298" s="208" t="n"/>
      <c r="B298" s="208" t="n"/>
      <c r="C298" s="208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8" t="n"/>
      <c r="AF298" s="208" t="n"/>
      <c r="AG298" s="208" t="n"/>
    </row>
    <row r="299" ht="12.75" customHeight="1" s="203">
      <c r="A299" s="208" t="n"/>
      <c r="B299" s="208" t="n"/>
      <c r="C299" s="208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8" t="n"/>
      <c r="AF299" s="208" t="n"/>
      <c r="AG299" s="208" t="n"/>
    </row>
    <row r="300" ht="12.75" customHeight="1" s="203">
      <c r="A300" s="208" t="n"/>
      <c r="B300" s="208" t="n"/>
      <c r="C300" s="208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8" t="n"/>
      <c r="AF300" s="208" t="n"/>
      <c r="AG300" s="208" t="n"/>
    </row>
    <row r="301" ht="12.75" customHeight="1" s="203">
      <c r="A301" s="208" t="n"/>
      <c r="B301" s="208" t="n"/>
      <c r="C301" s="208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8" t="n"/>
      <c r="AF301" s="208" t="n"/>
      <c r="AG301" s="208" t="n"/>
    </row>
    <row r="302" ht="12.75" customHeight="1" s="203">
      <c r="A302" s="208" t="n"/>
      <c r="B302" s="208" t="n"/>
      <c r="C302" s="208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8" t="n"/>
      <c r="AF302" s="208" t="n"/>
      <c r="AG302" s="208" t="n"/>
    </row>
    <row r="303" ht="12.75" customHeight="1" s="203">
      <c r="A303" s="208" t="n"/>
      <c r="B303" s="208" t="n"/>
      <c r="C303" s="208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8" t="n"/>
      <c r="AF303" s="208" t="n"/>
      <c r="AG303" s="208" t="n"/>
    </row>
    <row r="304" ht="12.75" customHeight="1" s="203">
      <c r="A304" s="208" t="n"/>
      <c r="B304" s="208" t="n"/>
      <c r="C304" s="208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8" t="n"/>
      <c r="AF304" s="208" t="n"/>
      <c r="AG304" s="208" t="n"/>
    </row>
    <row r="305" ht="12.75" customHeight="1" s="203">
      <c r="A305" s="208" t="n"/>
      <c r="B305" s="208" t="n"/>
      <c r="C305" s="208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8" t="n"/>
      <c r="AF305" s="208" t="n"/>
      <c r="AG305" s="208" t="n"/>
    </row>
    <row r="306" ht="12.75" customHeight="1" s="203">
      <c r="A306" s="208" t="n"/>
      <c r="B306" s="208" t="n"/>
      <c r="C306" s="208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8" t="n"/>
      <c r="AF306" s="208" t="n"/>
      <c r="AG306" s="208" t="n"/>
    </row>
    <row r="307" ht="12.75" customHeight="1" s="203">
      <c r="A307" s="208" t="n"/>
      <c r="B307" s="208" t="n"/>
      <c r="C307" s="208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8" t="n"/>
      <c r="AF307" s="208" t="n"/>
      <c r="AG307" s="208" t="n"/>
    </row>
    <row r="308" ht="12.75" customHeight="1" s="203">
      <c r="A308" s="208" t="n"/>
      <c r="B308" s="208" t="n"/>
      <c r="C308" s="208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8" t="n"/>
      <c r="AF308" s="208" t="n"/>
      <c r="AG308" s="208" t="n"/>
    </row>
    <row r="309" ht="12.75" customHeight="1" s="203">
      <c r="A309" s="208" t="n"/>
      <c r="B309" s="208" t="n"/>
      <c r="C309" s="208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8" t="n"/>
      <c r="AF309" s="208" t="n"/>
      <c r="AG309" s="208" t="n"/>
    </row>
    <row r="310" ht="12.75" customHeight="1" s="203">
      <c r="A310" s="208" t="n"/>
      <c r="B310" s="208" t="n"/>
      <c r="C310" s="208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8" t="n"/>
      <c r="AF310" s="208" t="n"/>
      <c r="AG310" s="208" t="n"/>
    </row>
    <row r="311" ht="12.75" customHeight="1" s="203">
      <c r="A311" s="208" t="n"/>
      <c r="B311" s="208" t="n"/>
      <c r="C311" s="208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8" t="n"/>
      <c r="AF311" s="208" t="n"/>
      <c r="AG311" s="208" t="n"/>
    </row>
    <row r="312" ht="12.75" customHeight="1" s="203">
      <c r="A312" s="208" t="n"/>
      <c r="B312" s="208" t="n"/>
      <c r="C312" s="208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8" t="n"/>
      <c r="AF312" s="208" t="n"/>
      <c r="AG312" s="208" t="n"/>
    </row>
    <row r="313" ht="12.75" customHeight="1" s="203">
      <c r="A313" s="208" t="n"/>
      <c r="B313" s="208" t="n"/>
      <c r="C313" s="208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8" t="n"/>
      <c r="AF313" s="208" t="n"/>
      <c r="AG313" s="208" t="n"/>
    </row>
    <row r="314" ht="12.75" customHeight="1" s="203">
      <c r="A314" s="208" t="n"/>
      <c r="B314" s="208" t="n"/>
      <c r="C314" s="208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8" t="n"/>
      <c r="AF314" s="208" t="n"/>
      <c r="AG314" s="208" t="n"/>
    </row>
    <row r="315" ht="12.75" customHeight="1" s="203">
      <c r="A315" s="208" t="n"/>
      <c r="B315" s="208" t="n"/>
      <c r="C315" s="208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8" t="n"/>
      <c r="AF315" s="208" t="n"/>
      <c r="AG315" s="208" t="n"/>
    </row>
    <row r="316" ht="12.75" customHeight="1" s="203">
      <c r="A316" s="208" t="n"/>
      <c r="B316" s="208" t="n"/>
      <c r="C316" s="208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8" t="n"/>
      <c r="AF316" s="208" t="n"/>
      <c r="AG316" s="208" t="n"/>
    </row>
    <row r="317" ht="12.75" customHeight="1" s="203">
      <c r="A317" s="208" t="n"/>
      <c r="B317" s="208" t="n"/>
      <c r="C317" s="208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8" t="n"/>
      <c r="AF317" s="208" t="n"/>
      <c r="AG317" s="208" t="n"/>
    </row>
    <row r="318" ht="12.75" customHeight="1" s="203">
      <c r="A318" s="208" t="n"/>
      <c r="B318" s="208" t="n"/>
      <c r="C318" s="208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8" t="n"/>
      <c r="AF318" s="208" t="n"/>
      <c r="AG318" s="208" t="n"/>
    </row>
    <row r="319" ht="12.75" customHeight="1" s="203">
      <c r="A319" s="208" t="n"/>
      <c r="B319" s="208" t="n"/>
      <c r="C319" s="208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8" t="n"/>
      <c r="AF319" s="208" t="n"/>
      <c r="AG319" s="208" t="n"/>
    </row>
    <row r="320" ht="12.75" customHeight="1" s="203">
      <c r="A320" s="208" t="n"/>
      <c r="B320" s="208" t="n"/>
      <c r="C320" s="208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8" t="n"/>
      <c r="AF320" s="208" t="n"/>
      <c r="AG320" s="208" t="n"/>
    </row>
    <row r="321" ht="12.75" customHeight="1" s="203">
      <c r="A321" s="208" t="n"/>
      <c r="B321" s="208" t="n"/>
      <c r="C321" s="208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8" t="n"/>
      <c r="AF321" s="208" t="n"/>
      <c r="AG321" s="208" t="n"/>
    </row>
    <row r="322" ht="12.75" customHeight="1" s="203">
      <c r="A322" s="208" t="n"/>
      <c r="B322" s="208" t="n"/>
      <c r="C322" s="208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8" t="n"/>
      <c r="AF322" s="208" t="n"/>
      <c r="AG322" s="208" t="n"/>
    </row>
    <row r="323" ht="12.75" customHeight="1" s="203">
      <c r="A323" s="208" t="n"/>
      <c r="B323" s="208" t="n"/>
      <c r="C323" s="208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8" t="n"/>
      <c r="AF323" s="208" t="n"/>
      <c r="AG323" s="208" t="n"/>
    </row>
    <row r="324" ht="12.75" customHeight="1" s="203">
      <c r="A324" s="208" t="n"/>
      <c r="B324" s="208" t="n"/>
      <c r="C324" s="208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8" t="n"/>
      <c r="AF324" s="208" t="n"/>
      <c r="AG324" s="208" t="n"/>
    </row>
    <row r="325" ht="12.75" customHeight="1" s="203">
      <c r="A325" s="208" t="n"/>
      <c r="B325" s="208" t="n"/>
      <c r="C325" s="208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8" t="n"/>
      <c r="AF325" s="208" t="n"/>
      <c r="AG325" s="208" t="n"/>
    </row>
    <row r="326" ht="12.75" customHeight="1" s="203">
      <c r="A326" s="208" t="n"/>
      <c r="B326" s="208" t="n"/>
      <c r="C326" s="208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8" t="n"/>
      <c r="AF326" s="208" t="n"/>
      <c r="AG326" s="208" t="n"/>
    </row>
    <row r="327" ht="12.75" customHeight="1" s="203">
      <c r="A327" s="208" t="n"/>
      <c r="B327" s="208" t="n"/>
      <c r="C327" s="208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8" t="n"/>
      <c r="AF327" s="208" t="n"/>
      <c r="AG327" s="208" t="n"/>
    </row>
    <row r="328" ht="12.75" customHeight="1" s="203">
      <c r="A328" s="208" t="n"/>
      <c r="B328" s="208" t="n"/>
      <c r="C328" s="208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8" t="n"/>
      <c r="AF328" s="208" t="n"/>
      <c r="AG328" s="208" t="n"/>
    </row>
    <row r="329" ht="12.75" customHeight="1" s="203">
      <c r="A329" s="208" t="n"/>
      <c r="B329" s="208" t="n"/>
      <c r="C329" s="208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8" t="n"/>
      <c r="AF329" s="208" t="n"/>
      <c r="AG329" s="208" t="n"/>
    </row>
    <row r="330" ht="12.75" customHeight="1" s="203">
      <c r="A330" s="208" t="n"/>
      <c r="B330" s="208" t="n"/>
      <c r="C330" s="208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8" t="n"/>
      <c r="AF330" s="208" t="n"/>
      <c r="AG330" s="208" t="n"/>
    </row>
    <row r="331" ht="12.75" customHeight="1" s="203">
      <c r="A331" s="208" t="n"/>
      <c r="B331" s="208" t="n"/>
      <c r="C331" s="208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8" t="n"/>
      <c r="AF331" s="208" t="n"/>
      <c r="AG331" s="208" t="n"/>
    </row>
    <row r="332" ht="12.75" customHeight="1" s="203">
      <c r="A332" s="208" t="n"/>
      <c r="B332" s="208" t="n"/>
      <c r="C332" s="208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8" t="n"/>
      <c r="AF332" s="208" t="n"/>
      <c r="AG332" s="208" t="n"/>
    </row>
    <row r="333" ht="12.75" customHeight="1" s="203">
      <c r="A333" s="208" t="n"/>
      <c r="B333" s="208" t="n"/>
      <c r="C333" s="208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8" t="n"/>
      <c r="AF333" s="208" t="n"/>
      <c r="AG333" s="208" t="n"/>
    </row>
    <row r="334" ht="12.75" customHeight="1" s="203">
      <c r="A334" s="208" t="n"/>
      <c r="B334" s="208" t="n"/>
      <c r="C334" s="208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8" t="n"/>
      <c r="AF334" s="208" t="n"/>
      <c r="AG334" s="208" t="n"/>
    </row>
    <row r="335" ht="12.75" customHeight="1" s="203">
      <c r="A335" s="208" t="n"/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8" t="n"/>
      <c r="AF335" s="208" t="n"/>
      <c r="AG335" s="208" t="n"/>
    </row>
    <row r="336" ht="12.75" customHeight="1" s="203">
      <c r="A336" s="208" t="n"/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8" t="n"/>
      <c r="AF336" s="208" t="n"/>
      <c r="AG336" s="208" t="n"/>
    </row>
    <row r="337" ht="12.75" customHeight="1" s="203">
      <c r="A337" s="208" t="n"/>
      <c r="B337" s="208" t="n"/>
      <c r="C337" s="208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8" t="n"/>
      <c r="AF337" s="208" t="n"/>
      <c r="AG337" s="208" t="n"/>
    </row>
    <row r="338" ht="12.75" customHeight="1" s="203">
      <c r="A338" s="208" t="n"/>
      <c r="B338" s="208" t="n"/>
      <c r="C338" s="208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8" t="n"/>
      <c r="AF338" s="208" t="n"/>
      <c r="AG338" s="208" t="n"/>
    </row>
    <row r="339" ht="12.75" customHeight="1" s="203">
      <c r="A339" s="208" t="n"/>
      <c r="B339" s="208" t="n"/>
      <c r="C339" s="208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8" t="n"/>
      <c r="AF339" s="208" t="n"/>
      <c r="AG339" s="208" t="n"/>
    </row>
    <row r="340" ht="12.75" customHeight="1" s="203">
      <c r="A340" s="208" t="n"/>
      <c r="B340" s="208" t="n"/>
      <c r="C340" s="208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8" t="n"/>
      <c r="AF340" s="208" t="n"/>
      <c r="AG340" s="208" t="n"/>
    </row>
    <row r="341" ht="12.75" customHeight="1" s="203">
      <c r="A341" s="208" t="n"/>
      <c r="B341" s="208" t="n"/>
      <c r="C341" s="208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8" t="n"/>
      <c r="AF341" s="208" t="n"/>
      <c r="AG341" s="208" t="n"/>
    </row>
    <row r="342" ht="12.75" customHeight="1" s="203">
      <c r="A342" s="208" t="n"/>
      <c r="B342" s="208" t="n"/>
      <c r="C342" s="208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8" t="n"/>
      <c r="AF342" s="208" t="n"/>
      <c r="AG342" s="208" t="n"/>
    </row>
    <row r="343" ht="12.75" customHeight="1" s="203">
      <c r="A343" s="208" t="n"/>
      <c r="B343" s="208" t="n"/>
      <c r="C343" s="208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8" t="n"/>
      <c r="AF343" s="208" t="n"/>
      <c r="AG343" s="208" t="n"/>
    </row>
    <row r="344" ht="12.75" customHeight="1" s="203">
      <c r="A344" s="208" t="n"/>
      <c r="B344" s="208" t="n"/>
      <c r="C344" s="208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8" t="n"/>
      <c r="AF344" s="208" t="n"/>
      <c r="AG344" s="208" t="n"/>
    </row>
    <row r="345" ht="12.75" customHeight="1" s="203">
      <c r="A345" s="208" t="n"/>
      <c r="B345" s="208" t="n"/>
      <c r="C345" s="208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8" t="n"/>
      <c r="AF345" s="208" t="n"/>
      <c r="AG345" s="208" t="n"/>
    </row>
    <row r="346" ht="12.75" customHeight="1" s="203">
      <c r="A346" s="208" t="n"/>
      <c r="B346" s="208" t="n"/>
      <c r="C346" s="208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8" t="n"/>
      <c r="AF346" s="208" t="n"/>
      <c r="AG346" s="208" t="n"/>
    </row>
    <row r="347" ht="12.75" customHeight="1" s="203">
      <c r="A347" s="208" t="n"/>
      <c r="B347" s="208" t="n"/>
      <c r="C347" s="208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8" t="n"/>
      <c r="AF347" s="208" t="n"/>
      <c r="AG347" s="208" t="n"/>
    </row>
    <row r="348" ht="12.75" customHeight="1" s="203">
      <c r="A348" s="208" t="n"/>
      <c r="B348" s="208" t="n"/>
      <c r="C348" s="208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8" t="n"/>
      <c r="AF348" s="208" t="n"/>
      <c r="AG348" s="208" t="n"/>
    </row>
    <row r="349" ht="12.75" customHeight="1" s="203">
      <c r="A349" s="208" t="n"/>
      <c r="B349" s="208" t="n"/>
      <c r="C349" s="208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8" t="n"/>
      <c r="AF349" s="208" t="n"/>
      <c r="AG349" s="208" t="n"/>
    </row>
    <row r="350" ht="12.75" customHeight="1" s="203">
      <c r="A350" s="208" t="n"/>
      <c r="B350" s="208" t="n"/>
      <c r="C350" s="208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8" t="n"/>
      <c r="AF350" s="208" t="n"/>
      <c r="AG350" s="208" t="n"/>
    </row>
    <row r="351" ht="12.75" customHeight="1" s="203">
      <c r="A351" s="208" t="n"/>
      <c r="B351" s="208" t="n"/>
      <c r="C351" s="208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8" t="n"/>
      <c r="AF351" s="208" t="n"/>
      <c r="AG351" s="208" t="n"/>
    </row>
    <row r="352" ht="12.75" customHeight="1" s="203">
      <c r="A352" s="208" t="n"/>
      <c r="B352" s="208" t="n"/>
      <c r="C352" s="208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8" t="n"/>
      <c r="AF352" s="208" t="n"/>
      <c r="AG352" s="208" t="n"/>
    </row>
    <row r="353" ht="12.75" customHeight="1" s="203">
      <c r="A353" s="208" t="n"/>
      <c r="B353" s="208" t="n"/>
      <c r="C353" s="208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8" t="n"/>
      <c r="AF353" s="208" t="n"/>
      <c r="AG353" s="208" t="n"/>
    </row>
    <row r="354" ht="12.75" customHeight="1" s="203">
      <c r="A354" s="208" t="n"/>
      <c r="B354" s="208" t="n"/>
      <c r="C354" s="208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8" t="n"/>
      <c r="AF354" s="208" t="n"/>
      <c r="AG354" s="208" t="n"/>
    </row>
    <row r="355" ht="12.75" customHeight="1" s="203">
      <c r="A355" s="208" t="n"/>
      <c r="B355" s="208" t="n"/>
      <c r="C355" s="208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8" t="n"/>
      <c r="AF355" s="208" t="n"/>
      <c r="AG355" s="208" t="n"/>
    </row>
    <row r="356" ht="12.75" customHeight="1" s="203">
      <c r="A356" s="208" t="n"/>
      <c r="B356" s="208" t="n"/>
      <c r="C356" s="208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8" t="n"/>
      <c r="AF356" s="208" t="n"/>
      <c r="AG356" s="208" t="n"/>
    </row>
    <row r="357" ht="12.75" customHeight="1" s="203">
      <c r="A357" s="208" t="n"/>
      <c r="B357" s="208" t="n"/>
      <c r="C357" s="208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8" t="n"/>
      <c r="AF357" s="208" t="n"/>
      <c r="AG357" s="208" t="n"/>
    </row>
    <row r="358" ht="12.75" customHeight="1" s="203">
      <c r="A358" s="208" t="n"/>
      <c r="B358" s="208" t="n"/>
      <c r="C358" s="208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8" t="n"/>
      <c r="AF358" s="208" t="n"/>
      <c r="AG358" s="208" t="n"/>
    </row>
    <row r="359" ht="12.75" customHeight="1" s="203">
      <c r="A359" s="208" t="n"/>
      <c r="B359" s="208" t="n"/>
      <c r="C359" s="208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8" t="n"/>
      <c r="AF359" s="208" t="n"/>
      <c r="AG359" s="208" t="n"/>
    </row>
    <row r="360" ht="12.75" customHeight="1" s="203">
      <c r="A360" s="208" t="n"/>
      <c r="B360" s="208" t="n"/>
      <c r="C360" s="208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8" t="n"/>
      <c r="AF360" s="208" t="n"/>
      <c r="AG360" s="208" t="n"/>
    </row>
    <row r="361" ht="12.75" customHeight="1" s="203">
      <c r="A361" s="208" t="n"/>
      <c r="B361" s="208" t="n"/>
      <c r="C361" s="208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8" t="n"/>
      <c r="AF361" s="208" t="n"/>
      <c r="AG361" s="208" t="n"/>
    </row>
    <row r="362" ht="12.75" customHeight="1" s="203">
      <c r="A362" s="208" t="n"/>
      <c r="B362" s="208" t="n"/>
      <c r="C362" s="208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8" t="n"/>
      <c r="AF362" s="208" t="n"/>
      <c r="AG362" s="208" t="n"/>
    </row>
    <row r="363" ht="12.75" customHeight="1" s="203">
      <c r="A363" s="208" t="n"/>
      <c r="B363" s="208" t="n"/>
      <c r="C363" s="208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8" t="n"/>
      <c r="AF363" s="208" t="n"/>
      <c r="AG363" s="208" t="n"/>
    </row>
    <row r="364" ht="12.75" customHeight="1" s="203">
      <c r="A364" s="208" t="n"/>
      <c r="B364" s="208" t="n"/>
      <c r="C364" s="208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8" t="n"/>
      <c r="AF364" s="208" t="n"/>
      <c r="AG364" s="208" t="n"/>
    </row>
    <row r="365" ht="12.75" customHeight="1" s="203">
      <c r="A365" s="208" t="n"/>
      <c r="B365" s="208" t="n"/>
      <c r="C365" s="208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8" t="n"/>
      <c r="AF365" s="208" t="n"/>
      <c r="AG365" s="208" t="n"/>
    </row>
    <row r="366" ht="12.75" customHeight="1" s="203">
      <c r="A366" s="208" t="n"/>
      <c r="B366" s="208" t="n"/>
      <c r="C366" s="208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8" t="n"/>
      <c r="AF366" s="208" t="n"/>
      <c r="AG366" s="208" t="n"/>
    </row>
    <row r="367" ht="12.75" customHeight="1" s="203">
      <c r="A367" s="208" t="n"/>
      <c r="B367" s="208" t="n"/>
      <c r="C367" s="208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8" t="n"/>
      <c r="AF367" s="208" t="n"/>
      <c r="AG367" s="208" t="n"/>
    </row>
    <row r="368" ht="12.75" customHeight="1" s="203">
      <c r="A368" s="208" t="n"/>
      <c r="B368" s="208" t="n"/>
      <c r="C368" s="208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8" t="n"/>
      <c r="AF368" s="208" t="n"/>
      <c r="AG368" s="208" t="n"/>
    </row>
    <row r="369" ht="12.75" customHeight="1" s="203">
      <c r="A369" s="208" t="n"/>
      <c r="B369" s="208" t="n"/>
      <c r="C369" s="208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8" t="n"/>
      <c r="AF369" s="208" t="n"/>
      <c r="AG369" s="208" t="n"/>
    </row>
    <row r="370" ht="12.75" customHeight="1" s="203">
      <c r="A370" s="208" t="n"/>
      <c r="B370" s="208" t="n"/>
      <c r="C370" s="208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8" t="n"/>
      <c r="AF370" s="208" t="n"/>
      <c r="AG370" s="208" t="n"/>
    </row>
    <row r="371" ht="12.75" customHeight="1" s="203">
      <c r="A371" s="208" t="n"/>
      <c r="B371" s="208" t="n"/>
      <c r="C371" s="208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8" t="n"/>
      <c r="AF371" s="208" t="n"/>
      <c r="AG371" s="208" t="n"/>
    </row>
    <row r="372" ht="12.75" customHeight="1" s="203">
      <c r="A372" s="208" t="n"/>
      <c r="B372" s="208" t="n"/>
      <c r="C372" s="208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8" t="n"/>
      <c r="AF372" s="208" t="n"/>
      <c r="AG372" s="208" t="n"/>
    </row>
    <row r="373" ht="12.75" customHeight="1" s="203">
      <c r="A373" s="208" t="n"/>
      <c r="B373" s="208" t="n"/>
      <c r="C373" s="208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8" t="n"/>
      <c r="AF373" s="208" t="n"/>
      <c r="AG373" s="208" t="n"/>
    </row>
    <row r="374" ht="12.75" customHeight="1" s="203">
      <c r="A374" s="208" t="n"/>
      <c r="B374" s="208" t="n"/>
      <c r="C374" s="208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8" t="n"/>
      <c r="AF374" s="208" t="n"/>
      <c r="AG374" s="208" t="n"/>
    </row>
    <row r="375" ht="12.75" customHeight="1" s="203">
      <c r="A375" s="208" t="n"/>
      <c r="B375" s="208" t="n"/>
      <c r="C375" s="208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8" t="n"/>
      <c r="AF375" s="208" t="n"/>
      <c r="AG375" s="208" t="n"/>
    </row>
    <row r="376" ht="12.75" customHeight="1" s="203">
      <c r="A376" s="208" t="n"/>
      <c r="B376" s="208" t="n"/>
      <c r="C376" s="208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8" t="n"/>
      <c r="AF376" s="208" t="n"/>
      <c r="AG376" s="208" t="n"/>
    </row>
    <row r="377" ht="12.75" customHeight="1" s="203">
      <c r="A377" s="208" t="n"/>
      <c r="B377" s="208" t="n"/>
      <c r="C377" s="208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8" t="n"/>
      <c r="AF377" s="208" t="n"/>
      <c r="AG377" s="208" t="n"/>
    </row>
    <row r="378" ht="12.75" customHeight="1" s="203">
      <c r="A378" s="208" t="n"/>
      <c r="B378" s="208" t="n"/>
      <c r="C378" s="208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8" t="n"/>
      <c r="AF378" s="208" t="n"/>
      <c r="AG378" s="208" t="n"/>
    </row>
    <row r="379" ht="12.75" customHeight="1" s="203">
      <c r="A379" s="208" t="n"/>
      <c r="B379" s="208" t="n"/>
      <c r="C379" s="208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8" t="n"/>
      <c r="AF379" s="208" t="n"/>
      <c r="AG379" s="208" t="n"/>
    </row>
    <row r="380" ht="12.75" customHeight="1" s="203">
      <c r="A380" s="208" t="n"/>
      <c r="B380" s="208" t="n"/>
      <c r="C380" s="208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8" t="n"/>
      <c r="AF380" s="208" t="n"/>
      <c r="AG380" s="208" t="n"/>
    </row>
    <row r="381" ht="12.75" customHeight="1" s="203">
      <c r="A381" s="208" t="n"/>
      <c r="B381" s="208" t="n"/>
      <c r="C381" s="208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8" t="n"/>
      <c r="AF381" s="208" t="n"/>
      <c r="AG381" s="208" t="n"/>
    </row>
    <row r="382" ht="12.75" customHeight="1" s="203">
      <c r="A382" s="208" t="n"/>
      <c r="B382" s="208" t="n"/>
      <c r="C382" s="208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8" t="n"/>
      <c r="AF382" s="208" t="n"/>
      <c r="AG382" s="208" t="n"/>
    </row>
    <row r="383" ht="12.75" customHeight="1" s="203">
      <c r="A383" s="208" t="n"/>
      <c r="B383" s="208" t="n"/>
      <c r="C383" s="208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8" t="n"/>
      <c r="AF383" s="208" t="n"/>
      <c r="AG383" s="208" t="n"/>
    </row>
    <row r="384" ht="12.75" customHeight="1" s="203">
      <c r="A384" s="208" t="n"/>
      <c r="B384" s="208" t="n"/>
      <c r="C384" s="208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8" t="n"/>
      <c r="AF384" s="208" t="n"/>
      <c r="AG384" s="208" t="n"/>
    </row>
    <row r="385" ht="12.75" customHeight="1" s="203">
      <c r="A385" s="208" t="n"/>
      <c r="B385" s="208" t="n"/>
      <c r="C385" s="208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8" t="n"/>
      <c r="AF385" s="208" t="n"/>
      <c r="AG385" s="208" t="n"/>
    </row>
    <row r="386" ht="12.75" customHeight="1" s="203">
      <c r="A386" s="208" t="n"/>
      <c r="B386" s="208" t="n"/>
      <c r="C386" s="208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8" t="n"/>
      <c r="AF386" s="208" t="n"/>
      <c r="AG386" s="208" t="n"/>
    </row>
    <row r="387" ht="12.75" customHeight="1" s="203">
      <c r="A387" s="208" t="n"/>
      <c r="B387" s="208" t="n"/>
      <c r="C387" s="208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8" t="n"/>
      <c r="AF387" s="208" t="n"/>
      <c r="AG387" s="208" t="n"/>
    </row>
    <row r="388" ht="12.75" customHeight="1" s="203">
      <c r="A388" s="208" t="n"/>
      <c r="B388" s="208" t="n"/>
      <c r="C388" s="208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8" t="n"/>
      <c r="AF388" s="208" t="n"/>
      <c r="AG388" s="208" t="n"/>
    </row>
    <row r="389" ht="12.75" customHeight="1" s="203">
      <c r="A389" s="208" t="n"/>
      <c r="B389" s="208" t="n"/>
      <c r="C389" s="208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8" t="n"/>
      <c r="AF389" s="208" t="n"/>
      <c r="AG389" s="208" t="n"/>
    </row>
    <row r="390" ht="12.75" customHeight="1" s="203">
      <c r="A390" s="208" t="n"/>
      <c r="B390" s="208" t="n"/>
      <c r="C390" s="208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8" t="n"/>
      <c r="AF390" s="208" t="n"/>
      <c r="AG390" s="208" t="n"/>
    </row>
    <row r="391" ht="12.75" customHeight="1" s="203">
      <c r="A391" s="208" t="n"/>
      <c r="B391" s="208" t="n"/>
      <c r="C391" s="208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8" t="n"/>
      <c r="AF391" s="208" t="n"/>
      <c r="AG391" s="208" t="n"/>
    </row>
    <row r="392" ht="12.75" customHeight="1" s="203">
      <c r="A392" s="208" t="n"/>
      <c r="B392" s="208" t="n"/>
      <c r="C392" s="208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8" t="n"/>
      <c r="AF392" s="208" t="n"/>
      <c r="AG392" s="208" t="n"/>
    </row>
    <row r="393" ht="12.75" customHeight="1" s="203">
      <c r="A393" s="208" t="n"/>
      <c r="B393" s="208" t="n"/>
      <c r="C393" s="208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8" t="n"/>
      <c r="AF393" s="208" t="n"/>
      <c r="AG393" s="208" t="n"/>
    </row>
    <row r="394" ht="12.75" customHeight="1" s="203">
      <c r="A394" s="208" t="n"/>
      <c r="B394" s="208" t="n"/>
      <c r="C394" s="208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8" t="n"/>
      <c r="AF394" s="208" t="n"/>
      <c r="AG394" s="208" t="n"/>
    </row>
    <row r="395" ht="12.75" customHeight="1" s="203">
      <c r="A395" s="208" t="n"/>
      <c r="B395" s="208" t="n"/>
      <c r="C395" s="208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8" t="n"/>
      <c r="AF395" s="208" t="n"/>
      <c r="AG395" s="208" t="n"/>
    </row>
    <row r="396" ht="12.75" customHeight="1" s="203">
      <c r="A396" s="208" t="n"/>
      <c r="B396" s="208" t="n"/>
      <c r="C396" s="208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8" t="n"/>
      <c r="AF396" s="208" t="n"/>
      <c r="AG396" s="208" t="n"/>
    </row>
    <row r="397" ht="12.75" customHeight="1" s="203">
      <c r="A397" s="208" t="n"/>
      <c r="B397" s="208" t="n"/>
      <c r="C397" s="208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8" t="n"/>
      <c r="AF397" s="208" t="n"/>
      <c r="AG397" s="208" t="n"/>
    </row>
    <row r="398" ht="12.75" customHeight="1" s="203">
      <c r="A398" s="208" t="n"/>
      <c r="B398" s="208" t="n"/>
      <c r="C398" s="208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8" t="n"/>
      <c r="AF398" s="208" t="n"/>
      <c r="AG398" s="208" t="n"/>
    </row>
    <row r="399" ht="12.75" customHeight="1" s="203">
      <c r="A399" s="208" t="n"/>
      <c r="B399" s="208" t="n"/>
      <c r="C399" s="208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8" t="n"/>
      <c r="AF399" s="208" t="n"/>
      <c r="AG399" s="208" t="n"/>
    </row>
    <row r="400" ht="12.75" customHeight="1" s="203">
      <c r="A400" s="208" t="n"/>
      <c r="B400" s="208" t="n"/>
      <c r="C400" s="208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8" t="n"/>
      <c r="AF400" s="208" t="n"/>
      <c r="AG400" s="208" t="n"/>
    </row>
    <row r="401" ht="12.75" customHeight="1" s="203">
      <c r="A401" s="208" t="n"/>
      <c r="B401" s="208" t="n"/>
      <c r="C401" s="208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8" t="n"/>
      <c r="AF401" s="208" t="n"/>
      <c r="AG401" s="208" t="n"/>
    </row>
    <row r="402" ht="12.75" customHeight="1" s="203">
      <c r="A402" s="208" t="n"/>
      <c r="B402" s="208" t="n"/>
      <c r="C402" s="208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8" t="n"/>
      <c r="AF402" s="208" t="n"/>
      <c r="AG402" s="208" t="n"/>
    </row>
    <row r="403" ht="12.75" customHeight="1" s="203">
      <c r="A403" s="208" t="n"/>
      <c r="B403" s="208" t="n"/>
      <c r="C403" s="208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8" t="n"/>
      <c r="AF403" s="208" t="n"/>
      <c r="AG403" s="208" t="n"/>
    </row>
    <row r="404" ht="12.75" customHeight="1" s="203">
      <c r="A404" s="208" t="n"/>
      <c r="B404" s="208" t="n"/>
      <c r="C404" s="208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8" t="n"/>
      <c r="AF404" s="208" t="n"/>
      <c r="AG404" s="208" t="n"/>
    </row>
    <row r="405" ht="12.75" customHeight="1" s="203">
      <c r="A405" s="208" t="n"/>
      <c r="B405" s="208" t="n"/>
      <c r="C405" s="208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8" t="n"/>
      <c r="AF405" s="208" t="n"/>
      <c r="AG405" s="208" t="n"/>
    </row>
    <row r="406" ht="12.75" customHeight="1" s="203">
      <c r="A406" s="208" t="n"/>
      <c r="B406" s="208" t="n"/>
      <c r="C406" s="208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8" t="n"/>
      <c r="AF406" s="208" t="n"/>
      <c r="AG406" s="208" t="n"/>
    </row>
    <row r="407" ht="12.75" customHeight="1" s="203">
      <c r="A407" s="208" t="n"/>
      <c r="B407" s="208" t="n"/>
      <c r="C407" s="208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8" t="n"/>
      <c r="AF407" s="208" t="n"/>
      <c r="AG407" s="208" t="n"/>
    </row>
    <row r="408" ht="12.75" customHeight="1" s="203">
      <c r="A408" s="208" t="n"/>
      <c r="B408" s="208" t="n"/>
      <c r="C408" s="208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8" t="n"/>
      <c r="AF408" s="208" t="n"/>
      <c r="AG408" s="208" t="n"/>
    </row>
    <row r="409" ht="12.75" customHeight="1" s="203">
      <c r="A409" s="208" t="n"/>
      <c r="B409" s="208" t="n"/>
      <c r="C409" s="208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8" t="n"/>
      <c r="AF409" s="208" t="n"/>
      <c r="AG409" s="208" t="n"/>
    </row>
    <row r="410" ht="12.75" customHeight="1" s="203">
      <c r="A410" s="208" t="n"/>
      <c r="B410" s="208" t="n"/>
      <c r="C410" s="208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8" t="n"/>
      <c r="AF410" s="208" t="n"/>
      <c r="AG410" s="208" t="n"/>
    </row>
    <row r="411" ht="12.75" customHeight="1" s="203">
      <c r="A411" s="208" t="n"/>
      <c r="B411" s="208" t="n"/>
      <c r="C411" s="208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8" t="n"/>
      <c r="AF411" s="208" t="n"/>
      <c r="AG411" s="208" t="n"/>
    </row>
    <row r="412" ht="12.75" customHeight="1" s="203">
      <c r="A412" s="208" t="n"/>
      <c r="B412" s="208" t="n"/>
      <c r="C412" s="208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8" t="n"/>
      <c r="AF412" s="208" t="n"/>
      <c r="AG412" s="208" t="n"/>
    </row>
    <row r="413" ht="12.75" customHeight="1" s="203">
      <c r="A413" s="208" t="n"/>
      <c r="B413" s="208" t="n"/>
      <c r="C413" s="208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8" t="n"/>
      <c r="AF413" s="208" t="n"/>
      <c r="AG413" s="208" t="n"/>
    </row>
    <row r="414" ht="12.75" customHeight="1" s="203">
      <c r="A414" s="208" t="n"/>
      <c r="B414" s="208" t="n"/>
      <c r="C414" s="208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8" t="n"/>
      <c r="AF414" s="208" t="n"/>
      <c r="AG414" s="208" t="n"/>
    </row>
    <row r="415" ht="12.75" customHeight="1" s="203">
      <c r="A415" s="208" t="n"/>
      <c r="B415" s="208" t="n"/>
      <c r="C415" s="208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8" t="n"/>
      <c r="AF415" s="208" t="n"/>
      <c r="AG415" s="208" t="n"/>
    </row>
    <row r="416" ht="12.75" customHeight="1" s="203">
      <c r="A416" s="208" t="n"/>
      <c r="B416" s="208" t="n"/>
      <c r="C416" s="208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8" t="n"/>
      <c r="AF416" s="208" t="n"/>
      <c r="AG416" s="208" t="n"/>
    </row>
    <row r="417" ht="12.75" customHeight="1" s="203">
      <c r="A417" s="208" t="n"/>
      <c r="B417" s="208" t="n"/>
      <c r="C417" s="208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8" t="n"/>
      <c r="AF417" s="208" t="n"/>
      <c r="AG417" s="208" t="n"/>
    </row>
    <row r="418" ht="12.75" customHeight="1" s="203">
      <c r="A418" s="208" t="n"/>
      <c r="B418" s="208" t="n"/>
      <c r="C418" s="208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8" t="n"/>
      <c r="AF418" s="208" t="n"/>
      <c r="AG418" s="208" t="n"/>
    </row>
    <row r="419" ht="12.75" customHeight="1" s="203">
      <c r="A419" s="208" t="n"/>
      <c r="B419" s="208" t="n"/>
      <c r="C419" s="208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8" t="n"/>
      <c r="AF419" s="208" t="n"/>
      <c r="AG419" s="208" t="n"/>
    </row>
    <row r="420" ht="12.75" customHeight="1" s="203">
      <c r="A420" s="208" t="n"/>
      <c r="B420" s="208" t="n"/>
      <c r="C420" s="208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8" t="n"/>
      <c r="AF420" s="208" t="n"/>
      <c r="AG420" s="208" t="n"/>
    </row>
    <row r="421" ht="12.75" customHeight="1" s="203">
      <c r="A421" s="208" t="n"/>
      <c r="B421" s="208" t="n"/>
      <c r="C421" s="208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8" t="n"/>
      <c r="AF421" s="208" t="n"/>
      <c r="AG421" s="208" t="n"/>
    </row>
    <row r="422" ht="12.75" customHeight="1" s="203">
      <c r="A422" s="208" t="n"/>
      <c r="B422" s="208" t="n"/>
      <c r="C422" s="208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8" t="n"/>
      <c r="AF422" s="208" t="n"/>
      <c r="AG422" s="208" t="n"/>
    </row>
    <row r="423" ht="12.75" customHeight="1" s="203">
      <c r="A423" s="208" t="n"/>
      <c r="B423" s="208" t="n"/>
      <c r="C423" s="208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8" t="n"/>
      <c r="AF423" s="208" t="n"/>
      <c r="AG423" s="208" t="n"/>
    </row>
    <row r="424" ht="12.75" customHeight="1" s="203">
      <c r="A424" s="208" t="n"/>
      <c r="B424" s="208" t="n"/>
      <c r="C424" s="208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8" t="n"/>
      <c r="AF424" s="208" t="n"/>
      <c r="AG424" s="208" t="n"/>
    </row>
    <row r="425" ht="12.75" customHeight="1" s="203">
      <c r="A425" s="208" t="n"/>
      <c r="B425" s="208" t="n"/>
      <c r="C425" s="208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8" t="n"/>
      <c r="AF425" s="208" t="n"/>
      <c r="AG425" s="208" t="n"/>
    </row>
    <row r="426" ht="12.75" customHeight="1" s="203">
      <c r="A426" s="208" t="n"/>
      <c r="B426" s="208" t="n"/>
      <c r="C426" s="208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8" t="n"/>
      <c r="AF426" s="208" t="n"/>
      <c r="AG426" s="208" t="n"/>
    </row>
    <row r="427" ht="12.75" customHeight="1" s="203">
      <c r="A427" s="208" t="n"/>
      <c r="B427" s="208" t="n"/>
      <c r="C427" s="208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8" t="n"/>
      <c r="AF427" s="208" t="n"/>
      <c r="AG427" s="208" t="n"/>
    </row>
    <row r="428" ht="12.75" customHeight="1" s="203">
      <c r="A428" s="208" t="n"/>
      <c r="B428" s="208" t="n"/>
      <c r="C428" s="208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8" t="n"/>
      <c r="AF428" s="208" t="n"/>
      <c r="AG428" s="208" t="n"/>
    </row>
    <row r="429" ht="12.75" customHeight="1" s="203">
      <c r="A429" s="208" t="n"/>
      <c r="B429" s="208" t="n"/>
      <c r="C429" s="208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8" t="n"/>
      <c r="AF429" s="208" t="n"/>
      <c r="AG429" s="208" t="n"/>
    </row>
    <row r="430" ht="12.75" customHeight="1" s="203">
      <c r="A430" s="208" t="n"/>
      <c r="B430" s="208" t="n"/>
      <c r="C430" s="208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8" t="n"/>
      <c r="AF430" s="208" t="n"/>
      <c r="AG430" s="208" t="n"/>
    </row>
    <row r="431" ht="12.75" customHeight="1" s="203">
      <c r="A431" s="208" t="n"/>
      <c r="B431" s="208" t="n"/>
      <c r="C431" s="208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8" t="n"/>
      <c r="AF431" s="208" t="n"/>
      <c r="AG431" s="208" t="n"/>
    </row>
    <row r="432" ht="12.75" customHeight="1" s="203">
      <c r="A432" s="208" t="n"/>
      <c r="B432" s="208" t="n"/>
      <c r="C432" s="208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8" t="n"/>
      <c r="AF432" s="208" t="n"/>
      <c r="AG432" s="208" t="n"/>
    </row>
    <row r="433" ht="12.75" customHeight="1" s="203">
      <c r="A433" s="208" t="n"/>
      <c r="B433" s="208" t="n"/>
      <c r="C433" s="208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8" t="n"/>
      <c r="AF433" s="208" t="n"/>
      <c r="AG433" s="208" t="n"/>
    </row>
    <row r="434" ht="12.75" customHeight="1" s="203">
      <c r="A434" s="208" t="n"/>
      <c r="B434" s="208" t="n"/>
      <c r="C434" s="208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8" t="n"/>
      <c r="AF434" s="208" t="n"/>
      <c r="AG434" s="208" t="n"/>
    </row>
    <row r="435" ht="12.75" customHeight="1" s="203">
      <c r="A435" s="208" t="n"/>
      <c r="B435" s="208" t="n"/>
      <c r="C435" s="208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8" t="n"/>
      <c r="AF435" s="208" t="n"/>
      <c r="AG435" s="208" t="n"/>
    </row>
    <row r="436" ht="12.75" customHeight="1" s="203">
      <c r="A436" s="208" t="n"/>
      <c r="B436" s="208" t="n"/>
      <c r="C436" s="208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8" t="n"/>
      <c r="AF436" s="208" t="n"/>
      <c r="AG436" s="208" t="n"/>
    </row>
    <row r="437" ht="12.75" customHeight="1" s="203">
      <c r="A437" s="208" t="n"/>
      <c r="B437" s="208" t="n"/>
      <c r="C437" s="208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8" t="n"/>
      <c r="AF437" s="208" t="n"/>
      <c r="AG437" s="208" t="n"/>
    </row>
    <row r="438" ht="12.75" customHeight="1" s="203">
      <c r="A438" s="208" t="n"/>
      <c r="B438" s="208" t="n"/>
      <c r="C438" s="208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8" t="n"/>
      <c r="AF438" s="208" t="n"/>
      <c r="AG438" s="208" t="n"/>
    </row>
    <row r="439" ht="12.75" customHeight="1" s="203">
      <c r="A439" s="208" t="n"/>
      <c r="B439" s="208" t="n"/>
      <c r="C439" s="208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8" t="n"/>
      <c r="AF439" s="208" t="n"/>
      <c r="AG439" s="208" t="n"/>
    </row>
    <row r="440" ht="12.75" customHeight="1" s="203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8" t="n"/>
      <c r="AF440" s="208" t="n"/>
      <c r="AG440" s="208" t="n"/>
    </row>
    <row r="441" ht="12.75" customHeight="1" s="203">
      <c r="A441" s="208" t="n"/>
      <c r="B441" s="208" t="n"/>
      <c r="C441" s="208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8" t="n"/>
      <c r="AF441" s="208" t="n"/>
      <c r="AG441" s="208" t="n"/>
    </row>
    <row r="442" ht="12.75" customHeight="1" s="203">
      <c r="A442" s="208" t="n"/>
      <c r="B442" s="208" t="n"/>
      <c r="C442" s="208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8" t="n"/>
      <c r="AF442" s="208" t="n"/>
      <c r="AG442" s="208" t="n"/>
    </row>
    <row r="443" ht="12.75" customHeight="1" s="203">
      <c r="A443" s="208" t="n"/>
      <c r="B443" s="208" t="n"/>
      <c r="C443" s="208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8" t="n"/>
      <c r="AF443" s="208" t="n"/>
      <c r="AG443" s="208" t="n"/>
    </row>
    <row r="444" ht="12.75" customHeight="1" s="203">
      <c r="A444" s="208" t="n"/>
      <c r="B444" s="208" t="n"/>
      <c r="C444" s="208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8" t="n"/>
      <c r="AF444" s="208" t="n"/>
      <c r="AG444" s="208" t="n"/>
    </row>
    <row r="445" ht="12.75" customHeight="1" s="203">
      <c r="A445" s="208" t="n"/>
      <c r="B445" s="208" t="n"/>
      <c r="C445" s="208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8" t="n"/>
      <c r="AF445" s="208" t="n"/>
      <c r="AG445" s="208" t="n"/>
    </row>
    <row r="446" ht="12.75" customHeight="1" s="203">
      <c r="A446" s="208" t="n"/>
      <c r="B446" s="208" t="n"/>
      <c r="C446" s="208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8" t="n"/>
      <c r="AF446" s="208" t="n"/>
      <c r="AG446" s="208" t="n"/>
    </row>
    <row r="447" ht="12.75" customHeight="1" s="203">
      <c r="A447" s="208" t="n"/>
      <c r="B447" s="208" t="n"/>
      <c r="C447" s="208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8" t="n"/>
      <c r="AF447" s="208" t="n"/>
      <c r="AG447" s="208" t="n"/>
    </row>
    <row r="448" ht="12.75" customHeight="1" s="203">
      <c r="A448" s="208" t="n"/>
      <c r="B448" s="208" t="n"/>
      <c r="C448" s="208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8" t="n"/>
      <c r="AF448" s="208" t="n"/>
      <c r="AG448" s="208" t="n"/>
    </row>
    <row r="449" ht="12.75" customHeight="1" s="203">
      <c r="A449" s="208" t="n"/>
      <c r="B449" s="208" t="n"/>
      <c r="C449" s="208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8" t="n"/>
      <c r="AF449" s="208" t="n"/>
      <c r="AG449" s="208" t="n"/>
    </row>
    <row r="450" ht="12.75" customHeight="1" s="203">
      <c r="A450" s="208" t="n"/>
      <c r="B450" s="208" t="n"/>
      <c r="C450" s="208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8" t="n"/>
      <c r="AF450" s="208" t="n"/>
      <c r="AG450" s="208" t="n"/>
    </row>
    <row r="451" ht="12.75" customHeight="1" s="203">
      <c r="A451" s="208" t="n"/>
      <c r="B451" s="208" t="n"/>
      <c r="C451" s="208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8" t="n"/>
      <c r="AF451" s="208" t="n"/>
      <c r="AG451" s="208" t="n"/>
    </row>
    <row r="452" ht="12.75" customHeight="1" s="203">
      <c r="A452" s="208" t="n"/>
      <c r="B452" s="208" t="n"/>
      <c r="C452" s="208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8" t="n"/>
      <c r="AF452" s="208" t="n"/>
      <c r="AG452" s="208" t="n"/>
    </row>
    <row r="453" ht="12.75" customHeight="1" s="203">
      <c r="A453" s="208" t="n"/>
      <c r="B453" s="208" t="n"/>
      <c r="C453" s="208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8" t="n"/>
      <c r="AF453" s="208" t="n"/>
      <c r="AG453" s="208" t="n"/>
    </row>
    <row r="454" ht="12.75" customHeight="1" s="203">
      <c r="A454" s="208" t="n"/>
      <c r="B454" s="208" t="n"/>
      <c r="C454" s="208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8" t="n"/>
      <c r="AF454" s="208" t="n"/>
      <c r="AG454" s="208" t="n"/>
    </row>
    <row r="455" ht="12.75" customHeight="1" s="203">
      <c r="A455" s="208" t="n"/>
      <c r="B455" s="208" t="n"/>
      <c r="C455" s="208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8" t="n"/>
      <c r="AF455" s="208" t="n"/>
      <c r="AG455" s="208" t="n"/>
    </row>
    <row r="456" ht="12.75" customHeight="1" s="203">
      <c r="A456" s="208" t="n"/>
      <c r="B456" s="208" t="n"/>
      <c r="C456" s="208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8" t="n"/>
      <c r="AF456" s="208" t="n"/>
      <c r="AG456" s="208" t="n"/>
    </row>
    <row r="457" ht="12.75" customHeight="1" s="203">
      <c r="A457" s="208" t="n"/>
      <c r="B457" s="208" t="n"/>
      <c r="C457" s="208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8" t="n"/>
      <c r="AF457" s="208" t="n"/>
      <c r="AG457" s="208" t="n"/>
    </row>
    <row r="458" ht="12.75" customHeight="1" s="203">
      <c r="A458" s="208" t="n"/>
      <c r="B458" s="208" t="n"/>
      <c r="C458" s="208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8" t="n"/>
      <c r="AF458" s="208" t="n"/>
      <c r="AG458" s="208" t="n"/>
    </row>
    <row r="459" ht="12.75" customHeight="1" s="203">
      <c r="A459" s="208" t="n"/>
      <c r="B459" s="208" t="n"/>
      <c r="C459" s="208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8" t="n"/>
      <c r="AF459" s="208" t="n"/>
      <c r="AG459" s="208" t="n"/>
    </row>
    <row r="460" ht="12.75" customHeight="1" s="203">
      <c r="A460" s="208" t="n"/>
      <c r="B460" s="208" t="n"/>
      <c r="C460" s="208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8" t="n"/>
      <c r="AF460" s="208" t="n"/>
      <c r="AG460" s="208" t="n"/>
    </row>
    <row r="461" ht="12.75" customHeight="1" s="203">
      <c r="A461" s="208" t="n"/>
      <c r="B461" s="208" t="n"/>
      <c r="C461" s="208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8" t="n"/>
      <c r="AF461" s="208" t="n"/>
      <c r="AG461" s="208" t="n"/>
    </row>
    <row r="462" ht="12.75" customHeight="1" s="203">
      <c r="A462" s="208" t="n"/>
      <c r="B462" s="208" t="n"/>
      <c r="C462" s="208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8" t="n"/>
      <c r="AF462" s="208" t="n"/>
      <c r="AG462" s="208" t="n"/>
    </row>
    <row r="463" ht="12.75" customHeight="1" s="203">
      <c r="A463" s="208" t="n"/>
      <c r="B463" s="208" t="n"/>
      <c r="C463" s="208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8" t="n"/>
      <c r="AF463" s="208" t="n"/>
      <c r="AG463" s="208" t="n"/>
    </row>
    <row r="464" ht="12.75" customHeight="1" s="203">
      <c r="A464" s="208" t="n"/>
      <c r="B464" s="208" t="n"/>
      <c r="C464" s="208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8" t="n"/>
      <c r="AF464" s="208" t="n"/>
      <c r="AG464" s="208" t="n"/>
    </row>
    <row r="465" ht="12.75" customHeight="1" s="203">
      <c r="A465" s="208" t="n"/>
      <c r="B465" s="208" t="n"/>
      <c r="C465" s="208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8" t="n"/>
      <c r="AF465" s="208" t="n"/>
      <c r="AG465" s="208" t="n"/>
    </row>
    <row r="466" ht="12.75" customHeight="1" s="203">
      <c r="A466" s="208" t="n"/>
      <c r="B466" s="208" t="n"/>
      <c r="C466" s="208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8" t="n"/>
      <c r="AF466" s="208" t="n"/>
      <c r="AG466" s="208" t="n"/>
    </row>
    <row r="467" ht="12.75" customHeight="1" s="203">
      <c r="A467" s="208" t="n"/>
      <c r="B467" s="208" t="n"/>
      <c r="C467" s="208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8" t="n"/>
      <c r="AF467" s="208" t="n"/>
      <c r="AG467" s="208" t="n"/>
    </row>
    <row r="468" ht="12.75" customHeight="1" s="203">
      <c r="A468" s="208" t="n"/>
      <c r="B468" s="208" t="n"/>
      <c r="C468" s="208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8" t="n"/>
      <c r="AF468" s="208" t="n"/>
      <c r="AG468" s="208" t="n"/>
    </row>
    <row r="469" ht="12.75" customHeight="1" s="203">
      <c r="A469" s="208" t="n"/>
      <c r="B469" s="208" t="n"/>
      <c r="C469" s="208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8" t="n"/>
      <c r="AF469" s="208" t="n"/>
      <c r="AG469" s="208" t="n"/>
    </row>
    <row r="470" ht="12.75" customHeight="1" s="203">
      <c r="A470" s="208" t="n"/>
      <c r="B470" s="208" t="n"/>
      <c r="C470" s="208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8" t="n"/>
      <c r="AF470" s="208" t="n"/>
      <c r="AG470" s="208" t="n"/>
    </row>
    <row r="471" ht="12.75" customHeight="1" s="203">
      <c r="A471" s="208" t="n"/>
      <c r="B471" s="208" t="n"/>
      <c r="C471" s="208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8" t="n"/>
      <c r="AF471" s="208" t="n"/>
      <c r="AG471" s="208" t="n"/>
    </row>
    <row r="472" ht="12.75" customHeight="1" s="203">
      <c r="A472" s="208" t="n"/>
      <c r="B472" s="208" t="n"/>
      <c r="C472" s="208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8" t="n"/>
      <c r="AF472" s="208" t="n"/>
      <c r="AG472" s="208" t="n"/>
    </row>
    <row r="473" ht="12.75" customHeight="1" s="203">
      <c r="A473" s="208" t="n"/>
      <c r="B473" s="208" t="n"/>
      <c r="C473" s="208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8" t="n"/>
      <c r="AF473" s="208" t="n"/>
      <c r="AG473" s="208" t="n"/>
    </row>
    <row r="474" ht="12.75" customHeight="1" s="203">
      <c r="A474" s="208" t="n"/>
      <c r="B474" s="208" t="n"/>
      <c r="C474" s="208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8" t="n"/>
      <c r="AF474" s="208" t="n"/>
      <c r="AG474" s="208" t="n"/>
    </row>
    <row r="475" ht="12.75" customHeight="1" s="203">
      <c r="A475" s="208" t="n"/>
      <c r="B475" s="208" t="n"/>
      <c r="C475" s="208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8" t="n"/>
      <c r="AF475" s="208" t="n"/>
      <c r="AG475" s="208" t="n"/>
    </row>
    <row r="476" ht="12.75" customHeight="1" s="203">
      <c r="A476" s="208" t="n"/>
      <c r="B476" s="208" t="n"/>
      <c r="C476" s="208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8" t="n"/>
      <c r="AF476" s="208" t="n"/>
      <c r="AG476" s="208" t="n"/>
    </row>
    <row r="477" ht="12.75" customHeight="1" s="203">
      <c r="A477" s="208" t="n"/>
      <c r="B477" s="208" t="n"/>
      <c r="C477" s="208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8" t="n"/>
      <c r="AF477" s="208" t="n"/>
      <c r="AG477" s="208" t="n"/>
    </row>
    <row r="478" ht="12.75" customHeight="1" s="203">
      <c r="A478" s="208" t="n"/>
      <c r="B478" s="208" t="n"/>
      <c r="C478" s="208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8" t="n"/>
      <c r="AF478" s="208" t="n"/>
      <c r="AG478" s="208" t="n"/>
    </row>
    <row r="479" ht="12.75" customHeight="1" s="203">
      <c r="A479" s="208" t="n"/>
      <c r="B479" s="208" t="n"/>
      <c r="C479" s="208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8" t="n"/>
      <c r="AF479" s="208" t="n"/>
      <c r="AG479" s="208" t="n"/>
    </row>
    <row r="480" ht="12.75" customHeight="1" s="203">
      <c r="A480" s="208" t="n"/>
      <c r="B480" s="208" t="n"/>
      <c r="C480" s="208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8" t="n"/>
      <c r="AF480" s="208" t="n"/>
      <c r="AG480" s="208" t="n"/>
    </row>
    <row r="481" ht="12.75" customHeight="1" s="203">
      <c r="A481" s="208" t="n"/>
      <c r="B481" s="208" t="n"/>
      <c r="C481" s="208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8" t="n"/>
      <c r="AF481" s="208" t="n"/>
      <c r="AG481" s="208" t="n"/>
    </row>
    <row r="482" ht="12.75" customHeight="1" s="203">
      <c r="A482" s="208" t="n"/>
      <c r="B482" s="208" t="n"/>
      <c r="C482" s="208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8" t="n"/>
      <c r="AF482" s="208" t="n"/>
      <c r="AG482" s="208" t="n"/>
    </row>
    <row r="483" ht="12.75" customHeight="1" s="203">
      <c r="A483" s="208" t="n"/>
      <c r="B483" s="208" t="n"/>
      <c r="C483" s="208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8" t="n"/>
      <c r="AF483" s="208" t="n"/>
      <c r="AG483" s="208" t="n"/>
    </row>
    <row r="484" ht="12.75" customHeight="1" s="203">
      <c r="A484" s="208" t="n"/>
      <c r="B484" s="208" t="n"/>
      <c r="C484" s="208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8" t="n"/>
      <c r="AF484" s="208" t="n"/>
      <c r="AG484" s="208" t="n"/>
    </row>
    <row r="485" ht="12.75" customHeight="1" s="203">
      <c r="A485" s="208" t="n"/>
      <c r="B485" s="208" t="n"/>
      <c r="C485" s="208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8" t="n"/>
      <c r="AF485" s="208" t="n"/>
      <c r="AG485" s="208" t="n"/>
    </row>
    <row r="486" ht="12.75" customHeight="1" s="203">
      <c r="A486" s="208" t="n"/>
      <c r="B486" s="208" t="n"/>
      <c r="C486" s="208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8" t="n"/>
      <c r="AF486" s="208" t="n"/>
      <c r="AG486" s="208" t="n"/>
    </row>
    <row r="487" ht="12.75" customHeight="1" s="203">
      <c r="A487" s="208" t="n"/>
      <c r="B487" s="208" t="n"/>
      <c r="C487" s="208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8" t="n"/>
      <c r="AF487" s="208" t="n"/>
      <c r="AG487" s="208" t="n"/>
    </row>
    <row r="488" ht="12.75" customHeight="1" s="203">
      <c r="A488" s="208" t="n"/>
      <c r="B488" s="208" t="n"/>
      <c r="C488" s="208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8" t="n"/>
      <c r="AF488" s="208" t="n"/>
      <c r="AG488" s="208" t="n"/>
    </row>
    <row r="489" ht="12.75" customHeight="1" s="203">
      <c r="A489" s="208" t="n"/>
      <c r="B489" s="208" t="n"/>
      <c r="C489" s="208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8" t="n"/>
      <c r="AF489" s="208" t="n"/>
      <c r="AG489" s="208" t="n"/>
    </row>
    <row r="490" ht="12.75" customHeight="1" s="203">
      <c r="A490" s="208" t="n"/>
      <c r="B490" s="208" t="n"/>
      <c r="C490" s="208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8" t="n"/>
      <c r="AF490" s="208" t="n"/>
      <c r="AG490" s="208" t="n"/>
    </row>
    <row r="491" ht="12.75" customHeight="1" s="203">
      <c r="A491" s="208" t="n"/>
      <c r="B491" s="208" t="n"/>
      <c r="C491" s="208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8" t="n"/>
      <c r="AF491" s="208" t="n"/>
      <c r="AG491" s="208" t="n"/>
    </row>
    <row r="492" ht="12.75" customHeight="1" s="203">
      <c r="A492" s="208" t="n"/>
      <c r="B492" s="208" t="n"/>
      <c r="C492" s="208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8" t="n"/>
      <c r="AF492" s="208" t="n"/>
      <c r="AG492" s="208" t="n"/>
    </row>
    <row r="493" ht="12.75" customHeight="1" s="203">
      <c r="A493" s="208" t="n"/>
      <c r="B493" s="208" t="n"/>
      <c r="C493" s="208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8" t="n"/>
      <c r="AF493" s="208" t="n"/>
      <c r="AG493" s="208" t="n"/>
    </row>
    <row r="494" ht="12.75" customHeight="1" s="203">
      <c r="A494" s="208" t="n"/>
      <c r="B494" s="208" t="n"/>
      <c r="C494" s="208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8" t="n"/>
      <c r="AF494" s="208" t="n"/>
      <c r="AG494" s="208" t="n"/>
    </row>
    <row r="495" ht="12.75" customHeight="1" s="203">
      <c r="A495" s="208" t="n"/>
      <c r="B495" s="208" t="n"/>
      <c r="C495" s="208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8" t="n"/>
      <c r="AF495" s="208" t="n"/>
      <c r="AG495" s="208" t="n"/>
    </row>
    <row r="496" ht="12.75" customHeight="1" s="203">
      <c r="A496" s="208" t="n"/>
      <c r="B496" s="208" t="n"/>
      <c r="C496" s="208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8" t="n"/>
      <c r="AF496" s="208" t="n"/>
      <c r="AG496" s="208" t="n"/>
    </row>
    <row r="497" ht="12.75" customHeight="1" s="203">
      <c r="A497" s="208" t="n"/>
      <c r="B497" s="208" t="n"/>
      <c r="C497" s="208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8" t="n"/>
      <c r="AF497" s="208" t="n"/>
      <c r="AG497" s="208" t="n"/>
    </row>
    <row r="498" ht="12.75" customHeight="1" s="203">
      <c r="A498" s="208" t="n"/>
      <c r="B498" s="208" t="n"/>
      <c r="C498" s="208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8" t="n"/>
      <c r="AF498" s="208" t="n"/>
      <c r="AG498" s="208" t="n"/>
    </row>
    <row r="499" ht="12.75" customHeight="1" s="203">
      <c r="A499" s="208" t="n"/>
      <c r="B499" s="208" t="n"/>
      <c r="C499" s="208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8" t="n"/>
      <c r="AF499" s="208" t="n"/>
      <c r="AG499" s="208" t="n"/>
    </row>
    <row r="500" ht="12.75" customHeight="1" s="203">
      <c r="A500" s="208" t="n"/>
      <c r="B500" s="208" t="n"/>
      <c r="C500" s="208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8" t="n"/>
      <c r="AF500" s="208" t="n"/>
      <c r="AG500" s="208" t="n"/>
    </row>
    <row r="501" ht="12.75" customHeight="1" s="203">
      <c r="A501" s="208" t="n"/>
      <c r="B501" s="208" t="n"/>
      <c r="C501" s="208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8" t="n"/>
      <c r="AF501" s="208" t="n"/>
      <c r="AG501" s="208" t="n"/>
    </row>
    <row r="502" ht="12.75" customHeight="1" s="203">
      <c r="A502" s="208" t="n"/>
      <c r="B502" s="208" t="n"/>
      <c r="C502" s="208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8" t="n"/>
      <c r="AF502" s="208" t="n"/>
      <c r="AG502" s="208" t="n"/>
    </row>
    <row r="503" ht="12.75" customHeight="1" s="203">
      <c r="A503" s="208" t="n"/>
      <c r="B503" s="208" t="n"/>
      <c r="C503" s="208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8" t="n"/>
      <c r="AF503" s="208" t="n"/>
      <c r="AG503" s="208" t="n"/>
    </row>
    <row r="504" ht="12.75" customHeight="1" s="203">
      <c r="A504" s="208" t="n"/>
      <c r="B504" s="208" t="n"/>
      <c r="C504" s="208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8" t="n"/>
      <c r="AF504" s="208" t="n"/>
      <c r="AG504" s="208" t="n"/>
    </row>
    <row r="505" ht="12.75" customHeight="1" s="203">
      <c r="A505" s="208" t="n"/>
      <c r="B505" s="208" t="n"/>
      <c r="C505" s="208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8" t="n"/>
      <c r="AF505" s="208" t="n"/>
      <c r="AG505" s="208" t="n"/>
    </row>
    <row r="506" ht="12.75" customHeight="1" s="203">
      <c r="A506" s="208" t="n"/>
      <c r="B506" s="208" t="n"/>
      <c r="C506" s="208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8" t="n"/>
      <c r="AF506" s="208" t="n"/>
      <c r="AG506" s="208" t="n"/>
    </row>
    <row r="507" ht="12.75" customHeight="1" s="203">
      <c r="A507" s="208" t="n"/>
      <c r="B507" s="208" t="n"/>
      <c r="C507" s="208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8" t="n"/>
      <c r="AF507" s="208" t="n"/>
      <c r="AG507" s="208" t="n"/>
    </row>
    <row r="508" ht="12.75" customHeight="1" s="203">
      <c r="A508" s="208" t="n"/>
      <c r="B508" s="208" t="n"/>
      <c r="C508" s="208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8" t="n"/>
      <c r="AF508" s="208" t="n"/>
      <c r="AG508" s="208" t="n"/>
    </row>
    <row r="509" ht="12.75" customHeight="1" s="203">
      <c r="A509" s="208" t="n"/>
      <c r="B509" s="208" t="n"/>
      <c r="C509" s="208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8" t="n"/>
      <c r="AF509" s="208" t="n"/>
      <c r="AG509" s="208" t="n"/>
    </row>
    <row r="510" ht="12.75" customHeight="1" s="203">
      <c r="A510" s="208" t="n"/>
      <c r="B510" s="208" t="n"/>
      <c r="C510" s="208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8" t="n"/>
      <c r="AF510" s="208" t="n"/>
      <c r="AG510" s="208" t="n"/>
    </row>
    <row r="511" ht="12.75" customHeight="1" s="203">
      <c r="A511" s="208" t="n"/>
      <c r="B511" s="208" t="n"/>
      <c r="C511" s="208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8" t="n"/>
      <c r="AF511" s="208" t="n"/>
      <c r="AG511" s="208" t="n"/>
    </row>
    <row r="512" ht="12.75" customHeight="1" s="203">
      <c r="A512" s="208" t="n"/>
      <c r="B512" s="208" t="n"/>
      <c r="C512" s="208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8" t="n"/>
      <c r="AF512" s="208" t="n"/>
      <c r="AG512" s="208" t="n"/>
    </row>
    <row r="513" ht="12.75" customHeight="1" s="203">
      <c r="A513" s="208" t="n"/>
      <c r="B513" s="208" t="n"/>
      <c r="C513" s="208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8" t="n"/>
      <c r="AF513" s="208" t="n"/>
      <c r="AG513" s="208" t="n"/>
    </row>
    <row r="514" ht="12.75" customHeight="1" s="203">
      <c r="A514" s="208" t="n"/>
      <c r="B514" s="208" t="n"/>
      <c r="C514" s="208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8" t="n"/>
      <c r="AF514" s="208" t="n"/>
      <c r="AG514" s="208" t="n"/>
    </row>
    <row r="515" ht="12.75" customHeight="1" s="203">
      <c r="A515" s="208" t="n"/>
      <c r="B515" s="208" t="n"/>
      <c r="C515" s="208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8" t="n"/>
      <c r="AF515" s="208" t="n"/>
      <c r="AG515" s="208" t="n"/>
    </row>
    <row r="516" ht="12.75" customHeight="1" s="203">
      <c r="A516" s="208" t="n"/>
      <c r="B516" s="208" t="n"/>
      <c r="C516" s="208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8" t="n"/>
      <c r="AF516" s="208" t="n"/>
      <c r="AG516" s="208" t="n"/>
    </row>
    <row r="517" ht="12.75" customHeight="1" s="203">
      <c r="A517" s="208" t="n"/>
      <c r="B517" s="208" t="n"/>
      <c r="C517" s="208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8" t="n"/>
      <c r="AF517" s="208" t="n"/>
      <c r="AG517" s="208" t="n"/>
    </row>
    <row r="518" ht="12.75" customHeight="1" s="203">
      <c r="A518" s="208" t="n"/>
      <c r="B518" s="208" t="n"/>
      <c r="C518" s="208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8" t="n"/>
      <c r="AF518" s="208" t="n"/>
      <c r="AG518" s="208" t="n"/>
    </row>
    <row r="519" ht="12.75" customHeight="1" s="203">
      <c r="A519" s="208" t="n"/>
      <c r="B519" s="208" t="n"/>
      <c r="C519" s="208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8" t="n"/>
      <c r="AF519" s="208" t="n"/>
      <c r="AG519" s="208" t="n"/>
    </row>
    <row r="520" ht="12.75" customHeight="1" s="203">
      <c r="A520" s="208" t="n"/>
      <c r="B520" s="208" t="n"/>
      <c r="C520" s="208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8" t="n"/>
      <c r="AF520" s="208" t="n"/>
      <c r="AG520" s="208" t="n"/>
    </row>
    <row r="521" ht="12.75" customHeight="1" s="203">
      <c r="A521" s="208" t="n"/>
      <c r="B521" s="208" t="n"/>
      <c r="C521" s="208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8" t="n"/>
      <c r="AF521" s="208" t="n"/>
      <c r="AG521" s="208" t="n"/>
    </row>
    <row r="522" ht="12.75" customHeight="1" s="203">
      <c r="A522" s="208" t="n"/>
      <c r="B522" s="208" t="n"/>
      <c r="C522" s="208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8" t="n"/>
      <c r="AF522" s="208" t="n"/>
      <c r="AG522" s="208" t="n"/>
    </row>
    <row r="523" ht="12.75" customHeight="1" s="203">
      <c r="A523" s="208" t="n"/>
      <c r="B523" s="208" t="n"/>
      <c r="C523" s="208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8" t="n"/>
      <c r="AF523" s="208" t="n"/>
      <c r="AG523" s="208" t="n"/>
    </row>
    <row r="524" ht="12.75" customHeight="1" s="203">
      <c r="A524" s="208" t="n"/>
      <c r="B524" s="208" t="n"/>
      <c r="C524" s="208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8" t="n"/>
      <c r="AF524" s="208" t="n"/>
      <c r="AG524" s="208" t="n"/>
    </row>
    <row r="525" ht="12.75" customHeight="1" s="203">
      <c r="A525" s="208" t="n"/>
      <c r="B525" s="208" t="n"/>
      <c r="C525" s="208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8" t="n"/>
      <c r="AF525" s="208" t="n"/>
      <c r="AG525" s="208" t="n"/>
    </row>
    <row r="526" ht="12.75" customHeight="1" s="203">
      <c r="A526" s="208" t="n"/>
      <c r="B526" s="208" t="n"/>
      <c r="C526" s="208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8" t="n"/>
      <c r="AF526" s="208" t="n"/>
      <c r="AG526" s="208" t="n"/>
    </row>
    <row r="527" ht="12.75" customHeight="1" s="203">
      <c r="A527" s="208" t="n"/>
      <c r="B527" s="208" t="n"/>
      <c r="C527" s="208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8" t="n"/>
      <c r="AF527" s="208" t="n"/>
      <c r="AG527" s="208" t="n"/>
    </row>
    <row r="528" ht="12.75" customHeight="1" s="203">
      <c r="A528" s="208" t="n"/>
      <c r="B528" s="208" t="n"/>
      <c r="C528" s="208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8" t="n"/>
      <c r="AF528" s="208" t="n"/>
      <c r="AG528" s="208" t="n"/>
    </row>
    <row r="529" ht="12.75" customHeight="1" s="203">
      <c r="A529" s="208" t="n"/>
      <c r="B529" s="208" t="n"/>
      <c r="C529" s="208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8" t="n"/>
      <c r="AF529" s="208" t="n"/>
      <c r="AG529" s="208" t="n"/>
    </row>
    <row r="530" ht="12.75" customHeight="1" s="203">
      <c r="A530" s="208" t="n"/>
      <c r="B530" s="208" t="n"/>
      <c r="C530" s="208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8" t="n"/>
      <c r="AF530" s="208" t="n"/>
      <c r="AG530" s="208" t="n"/>
    </row>
    <row r="531" ht="12.75" customHeight="1" s="203">
      <c r="A531" s="208" t="n"/>
      <c r="B531" s="208" t="n"/>
      <c r="C531" s="208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8" t="n"/>
      <c r="AF531" s="208" t="n"/>
      <c r="AG531" s="208" t="n"/>
    </row>
    <row r="532" ht="12.75" customHeight="1" s="203">
      <c r="A532" s="208" t="n"/>
      <c r="B532" s="208" t="n"/>
      <c r="C532" s="208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8" t="n"/>
      <c r="AF532" s="208" t="n"/>
      <c r="AG532" s="208" t="n"/>
    </row>
    <row r="533" ht="12.75" customHeight="1" s="203">
      <c r="A533" s="208" t="n"/>
      <c r="B533" s="208" t="n"/>
      <c r="C533" s="208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8" t="n"/>
      <c r="AF533" s="208" t="n"/>
      <c r="AG533" s="208" t="n"/>
    </row>
    <row r="534" ht="12.75" customHeight="1" s="203">
      <c r="A534" s="208" t="n"/>
      <c r="B534" s="208" t="n"/>
      <c r="C534" s="208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8" t="n"/>
      <c r="AF534" s="208" t="n"/>
      <c r="AG534" s="208" t="n"/>
    </row>
    <row r="535" ht="12.75" customHeight="1" s="203">
      <c r="A535" s="208" t="n"/>
      <c r="B535" s="208" t="n"/>
      <c r="C535" s="208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8" t="n"/>
      <c r="AF535" s="208" t="n"/>
      <c r="AG535" s="208" t="n"/>
    </row>
    <row r="536" ht="12.75" customHeight="1" s="203">
      <c r="A536" s="208" t="n"/>
      <c r="B536" s="208" t="n"/>
      <c r="C536" s="208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8" t="n"/>
      <c r="AF536" s="208" t="n"/>
      <c r="AG536" s="208" t="n"/>
    </row>
    <row r="537" ht="12.75" customHeight="1" s="203">
      <c r="A537" s="208" t="n"/>
      <c r="B537" s="208" t="n"/>
      <c r="C537" s="208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8" t="n"/>
      <c r="AF537" s="208" t="n"/>
      <c r="AG537" s="208" t="n"/>
    </row>
    <row r="538" ht="12.75" customHeight="1" s="203">
      <c r="A538" s="208" t="n"/>
      <c r="B538" s="208" t="n"/>
      <c r="C538" s="208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8" t="n"/>
      <c r="AF538" s="208" t="n"/>
      <c r="AG538" s="208" t="n"/>
    </row>
    <row r="539" ht="12.75" customHeight="1" s="203">
      <c r="A539" s="208" t="n"/>
      <c r="B539" s="208" t="n"/>
      <c r="C539" s="208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8" t="n"/>
      <c r="AF539" s="208" t="n"/>
      <c r="AG539" s="208" t="n"/>
    </row>
    <row r="540" ht="12.75" customHeight="1" s="203">
      <c r="A540" s="208" t="n"/>
      <c r="B540" s="208" t="n"/>
      <c r="C540" s="208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8" t="n"/>
      <c r="AF540" s="208" t="n"/>
      <c r="AG540" s="208" t="n"/>
    </row>
    <row r="541" ht="12.75" customHeight="1" s="203">
      <c r="A541" s="208" t="n"/>
      <c r="B541" s="208" t="n"/>
      <c r="C541" s="208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8" t="n"/>
      <c r="AF541" s="208" t="n"/>
      <c r="AG541" s="208" t="n"/>
    </row>
    <row r="542" ht="12.75" customHeight="1" s="203">
      <c r="A542" s="208" t="n"/>
      <c r="B542" s="208" t="n"/>
      <c r="C542" s="208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8" t="n"/>
      <c r="AF542" s="208" t="n"/>
      <c r="AG542" s="208" t="n"/>
    </row>
    <row r="543" ht="12.75" customHeight="1" s="203">
      <c r="A543" s="208" t="n"/>
      <c r="B543" s="208" t="n"/>
      <c r="C543" s="208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8" t="n"/>
      <c r="AF543" s="208" t="n"/>
      <c r="AG543" s="208" t="n"/>
    </row>
    <row r="544" ht="12.75" customHeight="1" s="203">
      <c r="A544" s="208" t="n"/>
      <c r="B544" s="208" t="n"/>
      <c r="C544" s="208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8" t="n"/>
      <c r="AF544" s="208" t="n"/>
      <c r="AG544" s="208" t="n"/>
    </row>
    <row r="545" ht="12.75" customHeight="1" s="203">
      <c r="A545" s="208" t="n"/>
      <c r="B545" s="208" t="n"/>
      <c r="C545" s="208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8" t="n"/>
      <c r="AF545" s="208" t="n"/>
      <c r="AG545" s="208" t="n"/>
    </row>
    <row r="546" ht="12.75" customHeight="1" s="203">
      <c r="A546" s="208" t="n"/>
      <c r="B546" s="208" t="n"/>
      <c r="C546" s="208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8" t="n"/>
      <c r="AF546" s="208" t="n"/>
      <c r="AG546" s="208" t="n"/>
    </row>
    <row r="547" ht="12.75" customHeight="1" s="203">
      <c r="A547" s="208" t="n"/>
      <c r="B547" s="208" t="n"/>
      <c r="C547" s="208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8" t="n"/>
      <c r="AF547" s="208" t="n"/>
      <c r="AG547" s="208" t="n"/>
    </row>
    <row r="548" ht="12.75" customHeight="1" s="203">
      <c r="A548" s="208" t="n"/>
      <c r="B548" s="208" t="n"/>
      <c r="C548" s="208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8" t="n"/>
      <c r="AF548" s="208" t="n"/>
      <c r="AG548" s="208" t="n"/>
    </row>
    <row r="549" ht="12.75" customHeight="1" s="203">
      <c r="A549" s="208" t="n"/>
      <c r="B549" s="208" t="n"/>
      <c r="C549" s="208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8" t="n"/>
      <c r="AF549" s="208" t="n"/>
      <c r="AG549" s="208" t="n"/>
    </row>
    <row r="550" ht="12.75" customHeight="1" s="203">
      <c r="A550" s="208" t="n"/>
      <c r="B550" s="208" t="n"/>
      <c r="C550" s="208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8" t="n"/>
      <c r="AF550" s="208" t="n"/>
      <c r="AG550" s="208" t="n"/>
    </row>
    <row r="551" ht="12.75" customHeight="1" s="203">
      <c r="A551" s="208" t="n"/>
      <c r="B551" s="208" t="n"/>
      <c r="C551" s="208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8" t="n"/>
      <c r="AF551" s="208" t="n"/>
      <c r="AG551" s="208" t="n"/>
    </row>
    <row r="552" ht="12.75" customHeight="1" s="203">
      <c r="A552" s="208" t="n"/>
      <c r="B552" s="208" t="n"/>
      <c r="C552" s="208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8" t="n"/>
      <c r="AF552" s="208" t="n"/>
      <c r="AG552" s="208" t="n"/>
    </row>
    <row r="553" ht="12.75" customHeight="1" s="203">
      <c r="A553" s="208" t="n"/>
      <c r="B553" s="208" t="n"/>
      <c r="C553" s="208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8" t="n"/>
      <c r="AF553" s="208" t="n"/>
      <c r="AG553" s="208" t="n"/>
    </row>
    <row r="554" ht="12.75" customHeight="1" s="203">
      <c r="A554" s="208" t="n"/>
      <c r="B554" s="208" t="n"/>
      <c r="C554" s="208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8" t="n"/>
      <c r="AF554" s="208" t="n"/>
      <c r="AG554" s="208" t="n"/>
    </row>
    <row r="555" ht="12.75" customHeight="1" s="203">
      <c r="A555" s="208" t="n"/>
      <c r="B555" s="208" t="n"/>
      <c r="C555" s="208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8" t="n"/>
      <c r="AF555" s="208" t="n"/>
      <c r="AG555" s="208" t="n"/>
    </row>
    <row r="556" ht="12.75" customHeight="1" s="203">
      <c r="A556" s="208" t="n"/>
      <c r="B556" s="208" t="n"/>
      <c r="C556" s="208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8" t="n"/>
      <c r="AF556" s="208" t="n"/>
      <c r="AG556" s="208" t="n"/>
    </row>
    <row r="557" ht="12.75" customHeight="1" s="203">
      <c r="A557" s="208" t="n"/>
      <c r="B557" s="208" t="n"/>
      <c r="C557" s="208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8" t="n"/>
      <c r="AF557" s="208" t="n"/>
      <c r="AG557" s="208" t="n"/>
    </row>
    <row r="558" ht="12.75" customHeight="1" s="203">
      <c r="A558" s="208" t="n"/>
      <c r="B558" s="208" t="n"/>
      <c r="C558" s="208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8" t="n"/>
      <c r="AF558" s="208" t="n"/>
      <c r="AG558" s="208" t="n"/>
    </row>
    <row r="559" ht="12.75" customHeight="1" s="203">
      <c r="A559" s="208" t="n"/>
      <c r="B559" s="208" t="n"/>
      <c r="C559" s="208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8" t="n"/>
      <c r="AF559" s="208" t="n"/>
      <c r="AG559" s="208" t="n"/>
    </row>
    <row r="560" ht="12.75" customHeight="1" s="203">
      <c r="A560" s="208" t="n"/>
      <c r="B560" s="208" t="n"/>
      <c r="C560" s="208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8" t="n"/>
      <c r="AF560" s="208" t="n"/>
      <c r="AG560" s="208" t="n"/>
    </row>
    <row r="561" ht="12.75" customHeight="1" s="203">
      <c r="A561" s="208" t="n"/>
      <c r="B561" s="208" t="n"/>
      <c r="C561" s="208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8" t="n"/>
      <c r="AF561" s="208" t="n"/>
      <c r="AG561" s="208" t="n"/>
    </row>
    <row r="562" ht="12.75" customHeight="1" s="203">
      <c r="A562" s="208" t="n"/>
      <c r="B562" s="208" t="n"/>
      <c r="C562" s="208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8" t="n"/>
      <c r="AF562" s="208" t="n"/>
      <c r="AG562" s="208" t="n"/>
    </row>
    <row r="563" ht="12.75" customHeight="1" s="203">
      <c r="A563" s="208" t="n"/>
      <c r="B563" s="208" t="n"/>
      <c r="C563" s="208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8" t="n"/>
      <c r="AF563" s="208" t="n"/>
      <c r="AG563" s="208" t="n"/>
    </row>
    <row r="564" ht="12.75" customHeight="1" s="203">
      <c r="A564" s="208" t="n"/>
      <c r="B564" s="208" t="n"/>
      <c r="C564" s="208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8" t="n"/>
      <c r="AF564" s="208" t="n"/>
      <c r="AG564" s="208" t="n"/>
    </row>
    <row r="565" ht="12.75" customHeight="1" s="203">
      <c r="A565" s="208" t="n"/>
      <c r="B565" s="208" t="n"/>
      <c r="C565" s="208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8" t="n"/>
      <c r="AF565" s="208" t="n"/>
      <c r="AG565" s="208" t="n"/>
    </row>
    <row r="566" ht="12.75" customHeight="1" s="203">
      <c r="A566" s="208" t="n"/>
      <c r="B566" s="208" t="n"/>
      <c r="C566" s="208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8" t="n"/>
      <c r="AF566" s="208" t="n"/>
      <c r="AG566" s="208" t="n"/>
    </row>
    <row r="567" ht="12.75" customHeight="1" s="203">
      <c r="A567" s="208" t="n"/>
      <c r="B567" s="208" t="n"/>
      <c r="C567" s="208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8" t="n"/>
      <c r="AF567" s="208" t="n"/>
      <c r="AG567" s="208" t="n"/>
    </row>
    <row r="568" ht="12.75" customHeight="1" s="203">
      <c r="A568" s="208" t="n"/>
      <c r="B568" s="208" t="n"/>
      <c r="C568" s="208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8" t="n"/>
      <c r="AF568" s="208" t="n"/>
      <c r="AG568" s="208" t="n"/>
    </row>
    <row r="569" ht="12.75" customHeight="1" s="203">
      <c r="A569" s="208" t="n"/>
      <c r="B569" s="208" t="n"/>
      <c r="C569" s="208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8" t="n"/>
      <c r="AF569" s="208" t="n"/>
      <c r="AG569" s="208" t="n"/>
    </row>
    <row r="570" ht="12.75" customHeight="1" s="203">
      <c r="A570" s="208" t="n"/>
      <c r="B570" s="208" t="n"/>
      <c r="C570" s="208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8" t="n"/>
      <c r="AF570" s="208" t="n"/>
      <c r="AG570" s="208" t="n"/>
    </row>
    <row r="571" ht="12.75" customHeight="1" s="203">
      <c r="A571" s="208" t="n"/>
      <c r="B571" s="208" t="n"/>
      <c r="C571" s="208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8" t="n"/>
      <c r="AF571" s="208" t="n"/>
      <c r="AG571" s="208" t="n"/>
    </row>
    <row r="572" ht="12.75" customHeight="1" s="203">
      <c r="A572" s="208" t="n"/>
      <c r="B572" s="208" t="n"/>
      <c r="C572" s="208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8" t="n"/>
      <c r="AF572" s="208" t="n"/>
      <c r="AG572" s="208" t="n"/>
    </row>
    <row r="573" ht="12.75" customHeight="1" s="203">
      <c r="A573" s="208" t="n"/>
      <c r="B573" s="208" t="n"/>
      <c r="C573" s="208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8" t="n"/>
      <c r="AF573" s="208" t="n"/>
      <c r="AG573" s="208" t="n"/>
    </row>
    <row r="574" ht="12.75" customHeight="1" s="203">
      <c r="A574" s="208" t="n"/>
      <c r="B574" s="208" t="n"/>
      <c r="C574" s="208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8" t="n"/>
      <c r="AF574" s="208" t="n"/>
      <c r="AG574" s="208" t="n"/>
    </row>
    <row r="575" ht="12.75" customHeight="1" s="203">
      <c r="A575" s="208" t="n"/>
      <c r="B575" s="208" t="n"/>
      <c r="C575" s="208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8" t="n"/>
      <c r="AF575" s="208" t="n"/>
      <c r="AG575" s="208" t="n"/>
    </row>
    <row r="576" ht="12.75" customHeight="1" s="203">
      <c r="A576" s="208" t="n"/>
      <c r="B576" s="208" t="n"/>
      <c r="C576" s="208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8" t="n"/>
      <c r="AF576" s="208" t="n"/>
      <c r="AG576" s="208" t="n"/>
    </row>
    <row r="577" ht="12.75" customHeight="1" s="203">
      <c r="A577" s="208" t="n"/>
      <c r="B577" s="208" t="n"/>
      <c r="C577" s="208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8" t="n"/>
      <c r="AF577" s="208" t="n"/>
      <c r="AG577" s="208" t="n"/>
    </row>
    <row r="578" ht="12.75" customHeight="1" s="203">
      <c r="A578" s="208" t="n"/>
      <c r="B578" s="208" t="n"/>
      <c r="C578" s="208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8" t="n"/>
      <c r="AF578" s="208" t="n"/>
      <c r="AG578" s="208" t="n"/>
    </row>
    <row r="579" ht="12.75" customHeight="1" s="203">
      <c r="A579" s="208" t="n"/>
      <c r="B579" s="208" t="n"/>
      <c r="C579" s="208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8" t="n"/>
      <c r="AF579" s="208" t="n"/>
      <c r="AG579" s="208" t="n"/>
    </row>
    <row r="580" ht="12.75" customHeight="1" s="203">
      <c r="A580" s="208" t="n"/>
      <c r="B580" s="208" t="n"/>
      <c r="C580" s="208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8" t="n"/>
      <c r="AF580" s="208" t="n"/>
      <c r="AG580" s="208" t="n"/>
    </row>
    <row r="581" ht="12.75" customHeight="1" s="203">
      <c r="A581" s="208" t="n"/>
      <c r="B581" s="208" t="n"/>
      <c r="C581" s="208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8" t="n"/>
      <c r="AF581" s="208" t="n"/>
      <c r="AG581" s="208" t="n"/>
    </row>
    <row r="582" ht="12.75" customHeight="1" s="203">
      <c r="A582" s="208" t="n"/>
      <c r="B582" s="208" t="n"/>
      <c r="C582" s="208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8" t="n"/>
      <c r="AF582" s="208" t="n"/>
      <c r="AG582" s="208" t="n"/>
    </row>
    <row r="583" ht="12.75" customHeight="1" s="203">
      <c r="A583" s="208" t="n"/>
      <c r="B583" s="208" t="n"/>
      <c r="C583" s="208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8" t="n"/>
      <c r="AF583" s="208" t="n"/>
      <c r="AG583" s="208" t="n"/>
    </row>
    <row r="584" ht="12.75" customHeight="1" s="203">
      <c r="A584" s="208" t="n"/>
      <c r="B584" s="208" t="n"/>
      <c r="C584" s="208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8" t="n"/>
      <c r="AF584" s="208" t="n"/>
      <c r="AG584" s="208" t="n"/>
    </row>
    <row r="585" ht="12.75" customHeight="1" s="203">
      <c r="A585" s="208" t="n"/>
      <c r="B585" s="208" t="n"/>
      <c r="C585" s="208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8" t="n"/>
      <c r="AF585" s="208" t="n"/>
      <c r="AG585" s="208" t="n"/>
    </row>
    <row r="586" ht="12.75" customHeight="1" s="203">
      <c r="A586" s="208" t="n"/>
      <c r="B586" s="208" t="n"/>
      <c r="C586" s="208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8" t="n"/>
      <c r="AF586" s="208" t="n"/>
      <c r="AG586" s="208" t="n"/>
    </row>
    <row r="587" ht="12.75" customHeight="1" s="203">
      <c r="A587" s="208" t="n"/>
      <c r="B587" s="208" t="n"/>
      <c r="C587" s="208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8" t="n"/>
      <c r="AF587" s="208" t="n"/>
      <c r="AG587" s="208" t="n"/>
    </row>
    <row r="588" ht="12.75" customHeight="1" s="203">
      <c r="A588" s="208" t="n"/>
      <c r="B588" s="208" t="n"/>
      <c r="C588" s="208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8" t="n"/>
      <c r="AF588" s="208" t="n"/>
      <c r="AG588" s="208" t="n"/>
    </row>
    <row r="589" ht="12.75" customHeight="1" s="203">
      <c r="A589" s="208" t="n"/>
      <c r="B589" s="208" t="n"/>
      <c r="C589" s="208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8" t="n"/>
      <c r="AF589" s="208" t="n"/>
      <c r="AG589" s="208" t="n"/>
    </row>
    <row r="590" ht="12.75" customHeight="1" s="203">
      <c r="A590" s="208" t="n"/>
      <c r="B590" s="208" t="n"/>
      <c r="C590" s="208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8" t="n"/>
      <c r="AF590" s="208" t="n"/>
      <c r="AG590" s="208" t="n"/>
    </row>
    <row r="591" ht="12.75" customHeight="1" s="203">
      <c r="A591" s="208" t="n"/>
      <c r="B591" s="208" t="n"/>
      <c r="C591" s="208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8" t="n"/>
      <c r="AF591" s="208" t="n"/>
      <c r="AG591" s="208" t="n"/>
    </row>
    <row r="592" ht="12.75" customHeight="1" s="203">
      <c r="A592" s="208" t="n"/>
      <c r="B592" s="208" t="n"/>
      <c r="C592" s="208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8" t="n"/>
      <c r="AF592" s="208" t="n"/>
      <c r="AG592" s="208" t="n"/>
    </row>
    <row r="593" ht="12.75" customHeight="1" s="203">
      <c r="A593" s="208" t="n"/>
      <c r="B593" s="208" t="n"/>
      <c r="C593" s="208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8" t="n"/>
      <c r="AF593" s="208" t="n"/>
      <c r="AG593" s="208" t="n"/>
    </row>
    <row r="594" ht="12.75" customHeight="1" s="203">
      <c r="A594" s="208" t="n"/>
      <c r="B594" s="208" t="n"/>
      <c r="C594" s="208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8" t="n"/>
      <c r="AF594" s="208" t="n"/>
      <c r="AG594" s="208" t="n"/>
    </row>
    <row r="595" ht="12.75" customHeight="1" s="203">
      <c r="A595" s="208" t="n"/>
      <c r="B595" s="208" t="n"/>
      <c r="C595" s="208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8" t="n"/>
      <c r="AF595" s="208" t="n"/>
      <c r="AG595" s="208" t="n"/>
    </row>
    <row r="596" ht="12.75" customHeight="1" s="203">
      <c r="A596" s="208" t="n"/>
      <c r="B596" s="208" t="n"/>
      <c r="C596" s="208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8" t="n"/>
      <c r="AF596" s="208" t="n"/>
      <c r="AG596" s="208" t="n"/>
    </row>
    <row r="597" ht="12.75" customHeight="1" s="203">
      <c r="A597" s="208" t="n"/>
      <c r="B597" s="208" t="n"/>
      <c r="C597" s="208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8" t="n"/>
      <c r="AF597" s="208" t="n"/>
      <c r="AG597" s="208" t="n"/>
    </row>
    <row r="598" ht="12.75" customHeight="1" s="203">
      <c r="A598" s="208" t="n"/>
      <c r="B598" s="208" t="n"/>
      <c r="C598" s="208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8" t="n"/>
      <c r="AF598" s="208" t="n"/>
      <c r="AG598" s="208" t="n"/>
    </row>
    <row r="599" ht="12.75" customHeight="1" s="203">
      <c r="A599" s="208" t="n"/>
      <c r="B599" s="208" t="n"/>
      <c r="C599" s="208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8" t="n"/>
      <c r="AF599" s="208" t="n"/>
      <c r="AG599" s="208" t="n"/>
    </row>
    <row r="600" ht="12.75" customHeight="1" s="203">
      <c r="A600" s="208" t="n"/>
      <c r="B600" s="208" t="n"/>
      <c r="C600" s="208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8" t="n"/>
      <c r="AF600" s="208" t="n"/>
      <c r="AG600" s="208" t="n"/>
    </row>
    <row r="601" ht="12.75" customHeight="1" s="203">
      <c r="A601" s="208" t="n"/>
      <c r="B601" s="208" t="n"/>
      <c r="C601" s="208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8" t="n"/>
      <c r="AF601" s="208" t="n"/>
      <c r="AG601" s="208" t="n"/>
    </row>
    <row r="602" ht="12.75" customHeight="1" s="203">
      <c r="A602" s="208" t="n"/>
      <c r="B602" s="208" t="n"/>
      <c r="C602" s="208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8" t="n"/>
      <c r="AF602" s="208" t="n"/>
      <c r="AG602" s="208" t="n"/>
    </row>
    <row r="603" ht="12.75" customHeight="1" s="203">
      <c r="A603" s="208" t="n"/>
      <c r="B603" s="208" t="n"/>
      <c r="C603" s="208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8" t="n"/>
      <c r="AF603" s="208" t="n"/>
      <c r="AG603" s="208" t="n"/>
    </row>
    <row r="604" ht="12.75" customHeight="1" s="203">
      <c r="A604" s="208" t="n"/>
      <c r="B604" s="208" t="n"/>
      <c r="C604" s="208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8" t="n"/>
      <c r="AF604" s="208" t="n"/>
      <c r="AG604" s="208" t="n"/>
    </row>
    <row r="605" ht="12.75" customHeight="1" s="203">
      <c r="A605" s="208" t="n"/>
      <c r="B605" s="208" t="n"/>
      <c r="C605" s="208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8" t="n"/>
      <c r="AF605" s="208" t="n"/>
      <c r="AG605" s="208" t="n"/>
    </row>
    <row r="606" ht="12.75" customHeight="1" s="203">
      <c r="A606" s="208" t="n"/>
      <c r="B606" s="208" t="n"/>
      <c r="C606" s="208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8" t="n"/>
      <c r="AF606" s="208" t="n"/>
      <c r="AG606" s="208" t="n"/>
    </row>
    <row r="607" ht="12.75" customHeight="1" s="203">
      <c r="A607" s="208" t="n"/>
      <c r="B607" s="208" t="n"/>
      <c r="C607" s="208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8" t="n"/>
      <c r="AF607" s="208" t="n"/>
      <c r="AG607" s="208" t="n"/>
    </row>
    <row r="608" ht="12.75" customHeight="1" s="203">
      <c r="A608" s="208" t="n"/>
      <c r="B608" s="208" t="n"/>
      <c r="C608" s="208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8" t="n"/>
      <c r="AF608" s="208" t="n"/>
      <c r="AG608" s="208" t="n"/>
    </row>
    <row r="609" ht="12.75" customHeight="1" s="203">
      <c r="A609" s="208" t="n"/>
      <c r="B609" s="208" t="n"/>
      <c r="C609" s="208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8" t="n"/>
      <c r="AF609" s="208" t="n"/>
      <c r="AG609" s="208" t="n"/>
    </row>
    <row r="610" ht="12.75" customHeight="1" s="203">
      <c r="A610" s="208" t="n"/>
      <c r="B610" s="208" t="n"/>
      <c r="C610" s="208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8" t="n"/>
      <c r="AF610" s="208" t="n"/>
      <c r="AG610" s="208" t="n"/>
    </row>
    <row r="611" ht="12.75" customHeight="1" s="203">
      <c r="A611" s="208" t="n"/>
      <c r="B611" s="208" t="n"/>
      <c r="C611" s="208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8" t="n"/>
      <c r="AF611" s="208" t="n"/>
      <c r="AG611" s="208" t="n"/>
    </row>
    <row r="612" ht="12.75" customHeight="1" s="203">
      <c r="A612" s="208" t="n"/>
      <c r="B612" s="208" t="n"/>
      <c r="C612" s="208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8" t="n"/>
      <c r="AF612" s="208" t="n"/>
      <c r="AG612" s="208" t="n"/>
    </row>
    <row r="613" ht="12.75" customHeight="1" s="203">
      <c r="A613" s="208" t="n"/>
      <c r="B613" s="208" t="n"/>
      <c r="C613" s="208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8" t="n"/>
      <c r="AF613" s="208" t="n"/>
      <c r="AG613" s="208" t="n"/>
    </row>
    <row r="614" ht="12.75" customHeight="1" s="203">
      <c r="A614" s="208" t="n"/>
      <c r="B614" s="208" t="n"/>
      <c r="C614" s="208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8" t="n"/>
      <c r="AF614" s="208" t="n"/>
      <c r="AG614" s="208" t="n"/>
    </row>
    <row r="615" ht="12.75" customHeight="1" s="203">
      <c r="A615" s="208" t="n"/>
      <c r="B615" s="208" t="n"/>
      <c r="C615" s="208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8" t="n"/>
      <c r="AF615" s="208" t="n"/>
      <c r="AG615" s="208" t="n"/>
    </row>
    <row r="616" ht="12.75" customHeight="1" s="203">
      <c r="A616" s="208" t="n"/>
      <c r="B616" s="208" t="n"/>
      <c r="C616" s="208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8" t="n"/>
      <c r="AF616" s="208" t="n"/>
      <c r="AG616" s="208" t="n"/>
    </row>
    <row r="617" ht="12.75" customHeight="1" s="203">
      <c r="A617" s="208" t="n"/>
      <c r="B617" s="208" t="n"/>
      <c r="C617" s="208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8" t="n"/>
      <c r="AF617" s="208" t="n"/>
      <c r="AG617" s="208" t="n"/>
    </row>
    <row r="618" ht="12.75" customHeight="1" s="203">
      <c r="A618" s="208" t="n"/>
      <c r="B618" s="208" t="n"/>
      <c r="C618" s="208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8" t="n"/>
      <c r="AF618" s="208" t="n"/>
      <c r="AG618" s="208" t="n"/>
    </row>
    <row r="619" ht="12.75" customHeight="1" s="203">
      <c r="A619" s="208" t="n"/>
      <c r="B619" s="208" t="n"/>
      <c r="C619" s="208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8" t="n"/>
      <c r="AF619" s="208" t="n"/>
      <c r="AG619" s="208" t="n"/>
    </row>
    <row r="620" ht="12.75" customHeight="1" s="203">
      <c r="A620" s="208" t="n"/>
      <c r="B620" s="208" t="n"/>
      <c r="C620" s="208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8" t="n"/>
      <c r="AF620" s="208" t="n"/>
      <c r="AG620" s="208" t="n"/>
    </row>
    <row r="621" ht="12.75" customHeight="1" s="203">
      <c r="A621" s="208" t="n"/>
      <c r="B621" s="208" t="n"/>
      <c r="C621" s="208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8" t="n"/>
      <c r="AF621" s="208" t="n"/>
      <c r="AG621" s="208" t="n"/>
    </row>
    <row r="622" ht="12.75" customHeight="1" s="203">
      <c r="A622" s="208" t="n"/>
      <c r="B622" s="208" t="n"/>
      <c r="C622" s="208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8" t="n"/>
      <c r="AF622" s="208" t="n"/>
      <c r="AG622" s="208" t="n"/>
    </row>
    <row r="623" ht="12.75" customHeight="1" s="203">
      <c r="A623" s="208" t="n"/>
      <c r="B623" s="208" t="n"/>
      <c r="C623" s="208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8" t="n"/>
      <c r="AF623" s="208" t="n"/>
      <c r="AG623" s="208" t="n"/>
    </row>
    <row r="624" ht="12.75" customHeight="1" s="203">
      <c r="A624" s="208" t="n"/>
      <c r="B624" s="208" t="n"/>
      <c r="C624" s="208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8" t="n"/>
      <c r="AF624" s="208" t="n"/>
      <c r="AG624" s="208" t="n"/>
    </row>
    <row r="625" ht="12.75" customHeight="1" s="203">
      <c r="A625" s="208" t="n"/>
      <c r="B625" s="208" t="n"/>
      <c r="C625" s="208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8" t="n"/>
      <c r="AF625" s="208" t="n"/>
      <c r="AG625" s="208" t="n"/>
    </row>
    <row r="626" ht="12.75" customHeight="1" s="203">
      <c r="A626" s="208" t="n"/>
      <c r="B626" s="208" t="n"/>
      <c r="C626" s="208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8" t="n"/>
      <c r="AF626" s="208" t="n"/>
      <c r="AG626" s="208" t="n"/>
    </row>
    <row r="627" ht="12.75" customHeight="1" s="203">
      <c r="A627" s="208" t="n"/>
      <c r="B627" s="208" t="n"/>
      <c r="C627" s="208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8" t="n"/>
      <c r="AF627" s="208" t="n"/>
      <c r="AG627" s="208" t="n"/>
    </row>
    <row r="628" ht="12.75" customHeight="1" s="203">
      <c r="A628" s="208" t="n"/>
      <c r="B628" s="208" t="n"/>
      <c r="C628" s="208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8" t="n"/>
      <c r="AF628" s="208" t="n"/>
      <c r="AG628" s="208" t="n"/>
    </row>
    <row r="629" ht="12.75" customHeight="1" s="203">
      <c r="A629" s="208" t="n"/>
      <c r="B629" s="208" t="n"/>
      <c r="C629" s="208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8" t="n"/>
      <c r="AF629" s="208" t="n"/>
      <c r="AG629" s="208" t="n"/>
    </row>
    <row r="630" ht="12.75" customHeight="1" s="203">
      <c r="A630" s="208" t="n"/>
      <c r="B630" s="208" t="n"/>
      <c r="C630" s="208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8" t="n"/>
      <c r="AF630" s="208" t="n"/>
      <c r="AG630" s="208" t="n"/>
    </row>
    <row r="631" ht="12.75" customHeight="1" s="203">
      <c r="A631" s="208" t="n"/>
      <c r="B631" s="208" t="n"/>
      <c r="C631" s="208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8" t="n"/>
      <c r="AF631" s="208" t="n"/>
      <c r="AG631" s="208" t="n"/>
    </row>
    <row r="632" ht="12.75" customHeight="1" s="203">
      <c r="A632" s="208" t="n"/>
      <c r="B632" s="208" t="n"/>
      <c r="C632" s="208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8" t="n"/>
      <c r="AF632" s="208" t="n"/>
      <c r="AG632" s="208" t="n"/>
    </row>
    <row r="633" ht="12.75" customHeight="1" s="203">
      <c r="A633" s="208" t="n"/>
      <c r="B633" s="208" t="n"/>
      <c r="C633" s="208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8" t="n"/>
      <c r="AF633" s="208" t="n"/>
      <c r="AG633" s="208" t="n"/>
    </row>
    <row r="634" ht="12.75" customHeight="1" s="203">
      <c r="A634" s="208" t="n"/>
      <c r="B634" s="208" t="n"/>
      <c r="C634" s="208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8" t="n"/>
      <c r="AF634" s="208" t="n"/>
      <c r="AG634" s="208" t="n"/>
    </row>
    <row r="635" ht="12.75" customHeight="1" s="203">
      <c r="A635" s="208" t="n"/>
      <c r="B635" s="208" t="n"/>
      <c r="C635" s="208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8" t="n"/>
      <c r="AF635" s="208" t="n"/>
      <c r="AG635" s="208" t="n"/>
    </row>
    <row r="636" ht="12.75" customHeight="1" s="203">
      <c r="A636" s="208" t="n"/>
      <c r="B636" s="208" t="n"/>
      <c r="C636" s="208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8" t="n"/>
      <c r="AF636" s="208" t="n"/>
      <c r="AG636" s="208" t="n"/>
    </row>
    <row r="637" ht="12.75" customHeight="1" s="203">
      <c r="A637" s="208" t="n"/>
      <c r="B637" s="208" t="n"/>
      <c r="C637" s="208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8" t="n"/>
      <c r="AF637" s="208" t="n"/>
      <c r="AG637" s="208" t="n"/>
    </row>
    <row r="638" ht="12.75" customHeight="1" s="203">
      <c r="A638" s="208" t="n"/>
      <c r="B638" s="208" t="n"/>
      <c r="C638" s="208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8" t="n"/>
      <c r="AF638" s="208" t="n"/>
      <c r="AG638" s="208" t="n"/>
    </row>
    <row r="639" ht="12.75" customHeight="1" s="203">
      <c r="A639" s="208" t="n"/>
      <c r="B639" s="208" t="n"/>
      <c r="C639" s="208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8" t="n"/>
      <c r="AF639" s="208" t="n"/>
      <c r="AG639" s="208" t="n"/>
    </row>
    <row r="640" ht="12.75" customHeight="1" s="203">
      <c r="A640" s="208" t="n"/>
      <c r="B640" s="208" t="n"/>
      <c r="C640" s="208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8" t="n"/>
      <c r="AF640" s="208" t="n"/>
      <c r="AG640" s="208" t="n"/>
    </row>
    <row r="641" ht="12.75" customHeight="1" s="203">
      <c r="A641" s="208" t="n"/>
      <c r="B641" s="208" t="n"/>
      <c r="C641" s="208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8" t="n"/>
      <c r="AF641" s="208" t="n"/>
      <c r="AG641" s="208" t="n"/>
    </row>
    <row r="642" ht="12.75" customHeight="1" s="203">
      <c r="A642" s="208" t="n"/>
      <c r="B642" s="208" t="n"/>
      <c r="C642" s="208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8" t="n"/>
      <c r="AF642" s="208" t="n"/>
      <c r="AG642" s="208" t="n"/>
    </row>
    <row r="643" ht="12.75" customHeight="1" s="203">
      <c r="A643" s="208" t="n"/>
      <c r="B643" s="208" t="n"/>
      <c r="C643" s="208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8" t="n"/>
      <c r="AF643" s="208" t="n"/>
      <c r="AG643" s="208" t="n"/>
    </row>
    <row r="644" ht="12.75" customHeight="1" s="203">
      <c r="A644" s="208" t="n"/>
      <c r="B644" s="208" t="n"/>
      <c r="C644" s="208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8" t="n"/>
      <c r="AF644" s="208" t="n"/>
      <c r="AG644" s="208" t="n"/>
    </row>
    <row r="645" ht="12.75" customHeight="1" s="203">
      <c r="A645" s="208" t="n"/>
      <c r="B645" s="208" t="n"/>
      <c r="C645" s="208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8" t="n"/>
      <c r="AF645" s="208" t="n"/>
      <c r="AG645" s="208" t="n"/>
    </row>
    <row r="646" ht="12.75" customHeight="1" s="203">
      <c r="A646" s="208" t="n"/>
      <c r="B646" s="208" t="n"/>
      <c r="C646" s="208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8" t="n"/>
      <c r="AF646" s="208" t="n"/>
      <c r="AG646" s="208" t="n"/>
    </row>
    <row r="647" ht="12.75" customHeight="1" s="203">
      <c r="A647" s="208" t="n"/>
      <c r="B647" s="208" t="n"/>
      <c r="C647" s="208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8" t="n"/>
      <c r="AF647" s="208" t="n"/>
      <c r="AG647" s="208" t="n"/>
    </row>
    <row r="648" ht="12.75" customHeight="1" s="203">
      <c r="A648" s="208" t="n"/>
      <c r="B648" s="208" t="n"/>
      <c r="C648" s="208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8" t="n"/>
      <c r="AF648" s="208" t="n"/>
      <c r="AG648" s="208" t="n"/>
    </row>
    <row r="649" ht="12.75" customHeight="1" s="203">
      <c r="A649" s="208" t="n"/>
      <c r="B649" s="208" t="n"/>
      <c r="C649" s="208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8" t="n"/>
      <c r="AF649" s="208" t="n"/>
      <c r="AG649" s="208" t="n"/>
    </row>
    <row r="650" ht="12.75" customHeight="1" s="203">
      <c r="A650" s="208" t="n"/>
      <c r="B650" s="208" t="n"/>
      <c r="C650" s="208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8" t="n"/>
      <c r="AF650" s="208" t="n"/>
      <c r="AG650" s="208" t="n"/>
    </row>
    <row r="651" ht="12.75" customHeight="1" s="203">
      <c r="A651" s="208" t="n"/>
      <c r="B651" s="208" t="n"/>
      <c r="C651" s="208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8" t="n"/>
      <c r="AF651" s="208" t="n"/>
      <c r="AG651" s="208" t="n"/>
    </row>
    <row r="652" ht="12.75" customHeight="1" s="203">
      <c r="A652" s="208" t="n"/>
      <c r="B652" s="208" t="n"/>
      <c r="C652" s="208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8" t="n"/>
      <c r="AF652" s="208" t="n"/>
      <c r="AG652" s="208" t="n"/>
    </row>
    <row r="653" ht="12.75" customHeight="1" s="203">
      <c r="A653" s="208" t="n"/>
      <c r="B653" s="208" t="n"/>
      <c r="C653" s="208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8" t="n"/>
      <c r="AF653" s="208" t="n"/>
      <c r="AG653" s="208" t="n"/>
    </row>
    <row r="654" ht="12.75" customHeight="1" s="203">
      <c r="A654" s="208" t="n"/>
      <c r="B654" s="208" t="n"/>
      <c r="C654" s="208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8" t="n"/>
      <c r="AF654" s="208" t="n"/>
      <c r="AG654" s="208" t="n"/>
    </row>
    <row r="655" ht="12.75" customHeight="1" s="203">
      <c r="A655" s="208" t="n"/>
      <c r="B655" s="208" t="n"/>
      <c r="C655" s="208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8" t="n"/>
      <c r="AF655" s="208" t="n"/>
      <c r="AG655" s="208" t="n"/>
    </row>
    <row r="656" ht="12.75" customHeight="1" s="203">
      <c r="A656" s="208" t="n"/>
      <c r="B656" s="208" t="n"/>
      <c r="C656" s="208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8" t="n"/>
      <c r="AF656" s="208" t="n"/>
      <c r="AG656" s="208" t="n"/>
    </row>
    <row r="657" ht="12.75" customHeight="1" s="203">
      <c r="A657" s="208" t="n"/>
      <c r="B657" s="208" t="n"/>
      <c r="C657" s="208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8" t="n"/>
      <c r="AF657" s="208" t="n"/>
      <c r="AG657" s="208" t="n"/>
    </row>
    <row r="658" ht="12.75" customHeight="1" s="203">
      <c r="A658" s="208" t="n"/>
      <c r="B658" s="208" t="n"/>
      <c r="C658" s="208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8" t="n"/>
      <c r="AF658" s="208" t="n"/>
      <c r="AG658" s="208" t="n"/>
    </row>
    <row r="659" ht="12.75" customHeight="1" s="203">
      <c r="A659" s="208" t="n"/>
      <c r="B659" s="208" t="n"/>
      <c r="C659" s="208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8" t="n"/>
      <c r="AF659" s="208" t="n"/>
      <c r="AG659" s="208" t="n"/>
    </row>
    <row r="660" ht="12.75" customHeight="1" s="203">
      <c r="A660" s="208" t="n"/>
      <c r="B660" s="208" t="n"/>
      <c r="C660" s="208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8" t="n"/>
      <c r="AF660" s="208" t="n"/>
      <c r="AG660" s="208" t="n"/>
    </row>
    <row r="661" ht="12.75" customHeight="1" s="203">
      <c r="A661" s="208" t="n"/>
      <c r="B661" s="208" t="n"/>
      <c r="C661" s="208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8" t="n"/>
      <c r="AF661" s="208" t="n"/>
      <c r="AG661" s="208" t="n"/>
    </row>
    <row r="662" ht="12.75" customHeight="1" s="203">
      <c r="A662" s="208" t="n"/>
      <c r="B662" s="208" t="n"/>
      <c r="C662" s="208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8" t="n"/>
      <c r="AF662" s="208" t="n"/>
      <c r="AG662" s="208" t="n"/>
    </row>
    <row r="663" ht="12.75" customHeight="1" s="203">
      <c r="A663" s="208" t="n"/>
      <c r="B663" s="208" t="n"/>
      <c r="C663" s="208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8" t="n"/>
      <c r="AF663" s="208" t="n"/>
      <c r="AG663" s="208" t="n"/>
    </row>
    <row r="664" ht="12.75" customHeight="1" s="203">
      <c r="A664" s="208" t="n"/>
      <c r="B664" s="208" t="n"/>
      <c r="C664" s="208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8" t="n"/>
      <c r="AF664" s="208" t="n"/>
      <c r="AG664" s="208" t="n"/>
    </row>
    <row r="665" ht="12.75" customHeight="1" s="203">
      <c r="A665" s="208" t="n"/>
      <c r="B665" s="208" t="n"/>
      <c r="C665" s="208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8" t="n"/>
      <c r="AF665" s="208" t="n"/>
      <c r="AG665" s="208" t="n"/>
    </row>
    <row r="666" ht="12.75" customHeight="1" s="203">
      <c r="A666" s="208" t="n"/>
      <c r="B666" s="208" t="n"/>
      <c r="C666" s="208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8" t="n"/>
      <c r="AF666" s="208" t="n"/>
      <c r="AG666" s="208" t="n"/>
    </row>
    <row r="667" ht="12.75" customHeight="1" s="203">
      <c r="A667" s="208" t="n"/>
      <c r="B667" s="208" t="n"/>
      <c r="C667" s="208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8" t="n"/>
      <c r="AF667" s="208" t="n"/>
      <c r="AG667" s="208" t="n"/>
    </row>
    <row r="668" ht="12.75" customHeight="1" s="203">
      <c r="A668" s="208" t="n"/>
      <c r="B668" s="208" t="n"/>
      <c r="C668" s="208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8" t="n"/>
      <c r="AF668" s="208" t="n"/>
      <c r="AG668" s="208" t="n"/>
    </row>
    <row r="669" ht="12.75" customHeight="1" s="203">
      <c r="A669" s="208" t="n"/>
      <c r="B669" s="208" t="n"/>
      <c r="C669" s="208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8" t="n"/>
      <c r="AF669" s="208" t="n"/>
      <c r="AG669" s="208" t="n"/>
    </row>
    <row r="670" ht="12.75" customHeight="1" s="203">
      <c r="A670" s="208" t="n"/>
      <c r="B670" s="208" t="n"/>
      <c r="C670" s="208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8" t="n"/>
      <c r="AF670" s="208" t="n"/>
      <c r="AG670" s="208" t="n"/>
    </row>
    <row r="671" ht="12.75" customHeight="1" s="203">
      <c r="A671" s="208" t="n"/>
      <c r="B671" s="208" t="n"/>
      <c r="C671" s="208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8" t="n"/>
      <c r="AF671" s="208" t="n"/>
      <c r="AG671" s="208" t="n"/>
    </row>
    <row r="672" ht="12.75" customHeight="1" s="203">
      <c r="A672" s="208" t="n"/>
      <c r="B672" s="208" t="n"/>
      <c r="C672" s="208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8" t="n"/>
      <c r="AF672" s="208" t="n"/>
      <c r="AG672" s="208" t="n"/>
    </row>
    <row r="673" ht="12.75" customHeight="1" s="203">
      <c r="A673" s="208" t="n"/>
      <c r="B673" s="208" t="n"/>
      <c r="C673" s="208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8" t="n"/>
      <c r="AF673" s="208" t="n"/>
      <c r="AG673" s="208" t="n"/>
    </row>
    <row r="674" ht="12.75" customHeight="1" s="203">
      <c r="A674" s="208" t="n"/>
      <c r="B674" s="208" t="n"/>
      <c r="C674" s="208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8" t="n"/>
      <c r="AF674" s="208" t="n"/>
      <c r="AG674" s="208" t="n"/>
    </row>
    <row r="675" ht="12.75" customHeight="1" s="203">
      <c r="A675" s="208" t="n"/>
      <c r="B675" s="208" t="n"/>
      <c r="C675" s="208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8" t="n"/>
      <c r="AF675" s="208" t="n"/>
      <c r="AG675" s="208" t="n"/>
    </row>
    <row r="676" ht="12.75" customHeight="1" s="203">
      <c r="A676" s="208" t="n"/>
      <c r="B676" s="208" t="n"/>
      <c r="C676" s="208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8" t="n"/>
      <c r="AF676" s="208" t="n"/>
      <c r="AG676" s="208" t="n"/>
    </row>
    <row r="677" ht="12.75" customHeight="1" s="203">
      <c r="A677" s="208" t="n"/>
      <c r="B677" s="208" t="n"/>
      <c r="C677" s="208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8" t="n"/>
      <c r="AF677" s="208" t="n"/>
      <c r="AG677" s="208" t="n"/>
    </row>
    <row r="678" ht="12.75" customHeight="1" s="203">
      <c r="A678" s="208" t="n"/>
      <c r="B678" s="208" t="n"/>
      <c r="C678" s="208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8" t="n"/>
      <c r="AF678" s="208" t="n"/>
      <c r="AG678" s="208" t="n"/>
    </row>
    <row r="679" ht="12.75" customHeight="1" s="203">
      <c r="A679" s="208" t="n"/>
      <c r="B679" s="208" t="n"/>
      <c r="C679" s="208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8" t="n"/>
      <c r="AF679" s="208" t="n"/>
      <c r="AG679" s="208" t="n"/>
    </row>
    <row r="680" ht="12.75" customHeight="1" s="203">
      <c r="A680" s="208" t="n"/>
      <c r="B680" s="208" t="n"/>
      <c r="C680" s="208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8" t="n"/>
      <c r="AF680" s="208" t="n"/>
      <c r="AG680" s="208" t="n"/>
    </row>
    <row r="681" ht="12.75" customHeight="1" s="203">
      <c r="A681" s="208" t="n"/>
      <c r="B681" s="208" t="n"/>
      <c r="C681" s="208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8" t="n"/>
      <c r="AF681" s="208" t="n"/>
      <c r="AG681" s="208" t="n"/>
    </row>
    <row r="682" ht="12.75" customHeight="1" s="203">
      <c r="A682" s="208" t="n"/>
      <c r="B682" s="208" t="n"/>
      <c r="C682" s="208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8" t="n"/>
      <c r="AF682" s="208" t="n"/>
      <c r="AG682" s="208" t="n"/>
    </row>
    <row r="683" ht="12.75" customHeight="1" s="203">
      <c r="A683" s="208" t="n"/>
      <c r="B683" s="208" t="n"/>
      <c r="C683" s="208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8" t="n"/>
      <c r="AF683" s="208" t="n"/>
      <c r="AG683" s="208" t="n"/>
    </row>
    <row r="684" ht="12.75" customHeight="1" s="203">
      <c r="A684" s="208" t="n"/>
      <c r="B684" s="208" t="n"/>
      <c r="C684" s="208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8" t="n"/>
      <c r="AF684" s="208" t="n"/>
      <c r="AG684" s="208" t="n"/>
    </row>
    <row r="685" ht="12.75" customHeight="1" s="203">
      <c r="A685" s="208" t="n"/>
      <c r="B685" s="208" t="n"/>
      <c r="C685" s="208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8" t="n"/>
      <c r="AF685" s="208" t="n"/>
      <c r="AG685" s="208" t="n"/>
    </row>
    <row r="686" ht="12.75" customHeight="1" s="203">
      <c r="A686" s="208" t="n"/>
      <c r="B686" s="208" t="n"/>
      <c r="C686" s="208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8" t="n"/>
      <c r="AF686" s="208" t="n"/>
      <c r="AG686" s="208" t="n"/>
    </row>
    <row r="687" ht="12.75" customHeight="1" s="203">
      <c r="A687" s="208" t="n"/>
      <c r="B687" s="208" t="n"/>
      <c r="C687" s="208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8" t="n"/>
      <c r="AF687" s="208" t="n"/>
      <c r="AG687" s="208" t="n"/>
    </row>
    <row r="688" ht="12.75" customHeight="1" s="203">
      <c r="A688" s="208" t="n"/>
      <c r="B688" s="208" t="n"/>
      <c r="C688" s="208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8" t="n"/>
      <c r="AF688" s="208" t="n"/>
      <c r="AG688" s="208" t="n"/>
    </row>
    <row r="689" ht="12.75" customHeight="1" s="203">
      <c r="A689" s="208" t="n"/>
      <c r="B689" s="208" t="n"/>
      <c r="C689" s="208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8" t="n"/>
      <c r="AF689" s="208" t="n"/>
      <c r="AG689" s="208" t="n"/>
    </row>
    <row r="690" ht="12.75" customHeight="1" s="203">
      <c r="A690" s="208" t="n"/>
      <c r="B690" s="208" t="n"/>
      <c r="C690" s="208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8" t="n"/>
      <c r="AF690" s="208" t="n"/>
      <c r="AG690" s="208" t="n"/>
    </row>
    <row r="691" ht="12.75" customHeight="1" s="203">
      <c r="A691" s="208" t="n"/>
      <c r="B691" s="208" t="n"/>
      <c r="C691" s="208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8" t="n"/>
      <c r="AF691" s="208" t="n"/>
      <c r="AG691" s="208" t="n"/>
    </row>
    <row r="692" ht="12.75" customHeight="1" s="203">
      <c r="A692" s="208" t="n"/>
      <c r="B692" s="208" t="n"/>
      <c r="C692" s="208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8" t="n"/>
      <c r="AF692" s="208" t="n"/>
      <c r="AG692" s="208" t="n"/>
    </row>
    <row r="693" ht="12.75" customHeight="1" s="203">
      <c r="A693" s="208" t="n"/>
      <c r="B693" s="208" t="n"/>
      <c r="C693" s="208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8" t="n"/>
      <c r="AF693" s="208" t="n"/>
      <c r="AG693" s="208" t="n"/>
    </row>
    <row r="694" ht="12.75" customHeight="1" s="203">
      <c r="A694" s="208" t="n"/>
      <c r="B694" s="208" t="n"/>
      <c r="C694" s="208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8" t="n"/>
      <c r="AF694" s="208" t="n"/>
      <c r="AG694" s="208" t="n"/>
    </row>
    <row r="695" ht="12.75" customHeight="1" s="203">
      <c r="A695" s="208" t="n"/>
      <c r="B695" s="208" t="n"/>
      <c r="C695" s="208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8" t="n"/>
      <c r="AF695" s="208" t="n"/>
      <c r="AG695" s="208" t="n"/>
    </row>
    <row r="696" ht="12.75" customHeight="1" s="203">
      <c r="A696" s="208" t="n"/>
      <c r="B696" s="208" t="n"/>
      <c r="C696" s="208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8" t="n"/>
      <c r="AF696" s="208" t="n"/>
      <c r="AG696" s="208" t="n"/>
    </row>
    <row r="697" ht="12.75" customHeight="1" s="203">
      <c r="A697" s="208" t="n"/>
      <c r="B697" s="208" t="n"/>
      <c r="C697" s="208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8" t="n"/>
      <c r="AF697" s="208" t="n"/>
      <c r="AG697" s="208" t="n"/>
    </row>
    <row r="698" ht="12.75" customHeight="1" s="203">
      <c r="A698" s="208" t="n"/>
      <c r="B698" s="208" t="n"/>
      <c r="C698" s="208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8" t="n"/>
      <c r="AF698" s="208" t="n"/>
      <c r="AG698" s="208" t="n"/>
    </row>
    <row r="699" ht="12.75" customHeight="1" s="203">
      <c r="A699" s="208" t="n"/>
      <c r="B699" s="208" t="n"/>
      <c r="C699" s="208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8" t="n"/>
      <c r="AF699" s="208" t="n"/>
      <c r="AG699" s="208" t="n"/>
    </row>
    <row r="700" ht="12.75" customHeight="1" s="203">
      <c r="A700" s="208" t="n"/>
      <c r="B700" s="208" t="n"/>
      <c r="C700" s="208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8" t="n"/>
      <c r="AF700" s="208" t="n"/>
      <c r="AG700" s="208" t="n"/>
    </row>
    <row r="701" ht="12.75" customHeight="1" s="203">
      <c r="A701" s="208" t="n"/>
      <c r="B701" s="208" t="n"/>
      <c r="C701" s="208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8" t="n"/>
      <c r="AF701" s="208" t="n"/>
      <c r="AG701" s="208" t="n"/>
    </row>
    <row r="702" ht="12.75" customHeight="1" s="203">
      <c r="A702" s="208" t="n"/>
      <c r="B702" s="208" t="n"/>
      <c r="C702" s="208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8" t="n"/>
      <c r="AF702" s="208" t="n"/>
      <c r="AG702" s="208" t="n"/>
    </row>
    <row r="703" ht="12.75" customHeight="1" s="203">
      <c r="A703" s="208" t="n"/>
      <c r="B703" s="208" t="n"/>
      <c r="C703" s="208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8" t="n"/>
      <c r="AF703" s="208" t="n"/>
      <c r="AG703" s="208" t="n"/>
    </row>
    <row r="704" ht="12.75" customHeight="1" s="203">
      <c r="A704" s="208" t="n"/>
      <c r="B704" s="208" t="n"/>
      <c r="C704" s="208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8" t="n"/>
      <c r="AF704" s="208" t="n"/>
      <c r="AG704" s="208" t="n"/>
    </row>
    <row r="705" ht="12.75" customHeight="1" s="203">
      <c r="A705" s="208" t="n"/>
      <c r="B705" s="208" t="n"/>
      <c r="C705" s="208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8" t="n"/>
      <c r="AF705" s="208" t="n"/>
      <c r="AG705" s="208" t="n"/>
    </row>
    <row r="706" ht="12.75" customHeight="1" s="203">
      <c r="A706" s="208" t="n"/>
      <c r="B706" s="208" t="n"/>
      <c r="C706" s="208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8" t="n"/>
      <c r="AF706" s="208" t="n"/>
      <c r="AG706" s="208" t="n"/>
    </row>
    <row r="707" ht="12.75" customHeight="1" s="203">
      <c r="A707" s="208" t="n"/>
      <c r="B707" s="208" t="n"/>
      <c r="C707" s="208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8" t="n"/>
      <c r="AF707" s="208" t="n"/>
      <c r="AG707" s="208" t="n"/>
    </row>
    <row r="708" ht="12.75" customHeight="1" s="203">
      <c r="A708" s="208" t="n"/>
      <c r="B708" s="208" t="n"/>
      <c r="C708" s="208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8" t="n"/>
      <c r="AF708" s="208" t="n"/>
      <c r="AG708" s="208" t="n"/>
    </row>
    <row r="709" ht="12.75" customHeight="1" s="203">
      <c r="A709" s="208" t="n"/>
      <c r="B709" s="208" t="n"/>
      <c r="C709" s="208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8" t="n"/>
      <c r="AF709" s="208" t="n"/>
      <c r="AG709" s="208" t="n"/>
    </row>
    <row r="710" ht="12.75" customHeight="1" s="203">
      <c r="A710" s="208" t="n"/>
      <c r="B710" s="208" t="n"/>
      <c r="C710" s="208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8" t="n"/>
      <c r="AF710" s="208" t="n"/>
      <c r="AG710" s="208" t="n"/>
    </row>
    <row r="711" ht="12.75" customHeight="1" s="203">
      <c r="A711" s="208" t="n"/>
      <c r="B711" s="208" t="n"/>
      <c r="C711" s="208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8" t="n"/>
      <c r="AF711" s="208" t="n"/>
      <c r="AG711" s="208" t="n"/>
    </row>
    <row r="712" ht="12.75" customHeight="1" s="203">
      <c r="A712" s="208" t="n"/>
      <c r="B712" s="208" t="n"/>
      <c r="C712" s="208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8" t="n"/>
      <c r="AF712" s="208" t="n"/>
      <c r="AG712" s="208" t="n"/>
    </row>
    <row r="713" ht="12.75" customHeight="1" s="203">
      <c r="A713" s="208" t="n"/>
      <c r="B713" s="208" t="n"/>
      <c r="C713" s="208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8" t="n"/>
      <c r="AF713" s="208" t="n"/>
      <c r="AG713" s="208" t="n"/>
    </row>
    <row r="714" ht="12.75" customHeight="1" s="203">
      <c r="A714" s="208" t="n"/>
      <c r="B714" s="208" t="n"/>
      <c r="C714" s="208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8" t="n"/>
      <c r="AF714" s="208" t="n"/>
      <c r="AG714" s="208" t="n"/>
    </row>
    <row r="715" ht="12.75" customHeight="1" s="203">
      <c r="A715" s="208" t="n"/>
      <c r="B715" s="208" t="n"/>
      <c r="C715" s="208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8" t="n"/>
      <c r="AF715" s="208" t="n"/>
      <c r="AG715" s="208" t="n"/>
    </row>
    <row r="716" ht="12.75" customHeight="1" s="203">
      <c r="A716" s="208" t="n"/>
      <c r="B716" s="208" t="n"/>
      <c r="C716" s="208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8" t="n"/>
      <c r="AF716" s="208" t="n"/>
      <c r="AG716" s="208" t="n"/>
    </row>
    <row r="717" ht="12.75" customHeight="1" s="203">
      <c r="A717" s="208" t="n"/>
      <c r="B717" s="208" t="n"/>
      <c r="C717" s="208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8" t="n"/>
      <c r="AF717" s="208" t="n"/>
      <c r="AG717" s="208" t="n"/>
    </row>
    <row r="718" ht="12.75" customHeight="1" s="203">
      <c r="A718" s="208" t="n"/>
      <c r="B718" s="208" t="n"/>
      <c r="C718" s="208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8" t="n"/>
      <c r="AF718" s="208" t="n"/>
      <c r="AG718" s="208" t="n"/>
    </row>
    <row r="719" ht="12.75" customHeight="1" s="203">
      <c r="A719" s="208" t="n"/>
      <c r="B719" s="208" t="n"/>
      <c r="C719" s="208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8" t="n"/>
      <c r="AF719" s="208" t="n"/>
      <c r="AG719" s="208" t="n"/>
    </row>
    <row r="720" ht="12.75" customHeight="1" s="203">
      <c r="A720" s="208" t="n"/>
      <c r="B720" s="208" t="n"/>
      <c r="C720" s="208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8" t="n"/>
      <c r="AF720" s="208" t="n"/>
      <c r="AG720" s="208" t="n"/>
    </row>
    <row r="721" ht="12.75" customHeight="1" s="203">
      <c r="A721" s="208" t="n"/>
      <c r="B721" s="208" t="n"/>
      <c r="C721" s="208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8" t="n"/>
      <c r="AF721" s="208" t="n"/>
      <c r="AG721" s="208" t="n"/>
    </row>
    <row r="722" ht="12.75" customHeight="1" s="203">
      <c r="A722" s="208" t="n"/>
      <c r="B722" s="208" t="n"/>
      <c r="C722" s="208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8" t="n"/>
      <c r="AF722" s="208" t="n"/>
      <c r="AG722" s="208" t="n"/>
    </row>
    <row r="723" ht="12.75" customHeight="1" s="203">
      <c r="A723" s="208" t="n"/>
      <c r="B723" s="208" t="n"/>
      <c r="C723" s="208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8" t="n"/>
      <c r="AF723" s="208" t="n"/>
      <c r="AG723" s="208" t="n"/>
    </row>
    <row r="724" ht="12.75" customHeight="1" s="203">
      <c r="A724" s="208" t="n"/>
      <c r="B724" s="208" t="n"/>
      <c r="C724" s="208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8" t="n"/>
      <c r="AF724" s="208" t="n"/>
      <c r="AG724" s="208" t="n"/>
    </row>
    <row r="725" ht="12.75" customHeight="1" s="203">
      <c r="A725" s="208" t="n"/>
      <c r="B725" s="208" t="n"/>
      <c r="C725" s="208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8" t="n"/>
      <c r="AF725" s="208" t="n"/>
      <c r="AG725" s="208" t="n"/>
    </row>
    <row r="726" ht="12.75" customHeight="1" s="203">
      <c r="A726" s="208" t="n"/>
      <c r="B726" s="208" t="n"/>
      <c r="C726" s="208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8" t="n"/>
      <c r="AF726" s="208" t="n"/>
      <c r="AG726" s="208" t="n"/>
    </row>
    <row r="727" ht="12.75" customHeight="1" s="203">
      <c r="A727" s="208" t="n"/>
      <c r="B727" s="208" t="n"/>
      <c r="C727" s="208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8" t="n"/>
      <c r="AF727" s="208" t="n"/>
      <c r="AG727" s="208" t="n"/>
    </row>
    <row r="728" ht="12.75" customHeight="1" s="203">
      <c r="A728" s="208" t="n"/>
      <c r="B728" s="208" t="n"/>
      <c r="C728" s="208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8" t="n"/>
      <c r="AF728" s="208" t="n"/>
      <c r="AG728" s="208" t="n"/>
    </row>
    <row r="729" ht="12.75" customHeight="1" s="203">
      <c r="A729" s="208" t="n"/>
      <c r="B729" s="208" t="n"/>
      <c r="C729" s="208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8" t="n"/>
      <c r="AF729" s="208" t="n"/>
      <c r="AG729" s="208" t="n"/>
    </row>
    <row r="730" ht="12.75" customHeight="1" s="203">
      <c r="A730" s="208" t="n"/>
      <c r="B730" s="208" t="n"/>
      <c r="C730" s="208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8" t="n"/>
      <c r="AF730" s="208" t="n"/>
      <c r="AG730" s="208" t="n"/>
    </row>
    <row r="731" ht="12.75" customHeight="1" s="203">
      <c r="A731" s="208" t="n"/>
      <c r="B731" s="208" t="n"/>
      <c r="C731" s="208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8" t="n"/>
      <c r="AF731" s="208" t="n"/>
      <c r="AG731" s="208" t="n"/>
    </row>
    <row r="732" ht="12.75" customHeight="1" s="203">
      <c r="A732" s="208" t="n"/>
      <c r="B732" s="208" t="n"/>
      <c r="C732" s="208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8" t="n"/>
      <c r="AF732" s="208" t="n"/>
      <c r="AG732" s="208" t="n"/>
    </row>
    <row r="733" ht="12.75" customHeight="1" s="203">
      <c r="A733" s="208" t="n"/>
      <c r="B733" s="208" t="n"/>
      <c r="C733" s="208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8" t="n"/>
      <c r="AF733" s="208" t="n"/>
      <c r="AG733" s="208" t="n"/>
    </row>
    <row r="734" ht="12.75" customHeight="1" s="203">
      <c r="A734" s="208" t="n"/>
      <c r="B734" s="208" t="n"/>
      <c r="C734" s="208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8" t="n"/>
      <c r="AF734" s="208" t="n"/>
      <c r="AG734" s="208" t="n"/>
    </row>
    <row r="735" ht="12.75" customHeight="1" s="203">
      <c r="A735" s="208" t="n"/>
      <c r="B735" s="208" t="n"/>
      <c r="C735" s="208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8" t="n"/>
      <c r="AF735" s="208" t="n"/>
      <c r="AG735" s="208" t="n"/>
    </row>
    <row r="736" ht="12.75" customHeight="1" s="203">
      <c r="A736" s="208" t="n"/>
      <c r="B736" s="208" t="n"/>
      <c r="C736" s="208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8" t="n"/>
      <c r="AF736" s="208" t="n"/>
      <c r="AG736" s="208" t="n"/>
    </row>
    <row r="737" ht="12.75" customHeight="1" s="203">
      <c r="A737" s="208" t="n"/>
      <c r="B737" s="208" t="n"/>
      <c r="C737" s="208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8" t="n"/>
      <c r="AF737" s="208" t="n"/>
      <c r="AG737" s="208" t="n"/>
    </row>
    <row r="738" ht="12.75" customHeight="1" s="203">
      <c r="A738" s="208" t="n"/>
      <c r="B738" s="208" t="n"/>
      <c r="C738" s="208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8" t="n"/>
      <c r="AF738" s="208" t="n"/>
      <c r="AG738" s="208" t="n"/>
    </row>
    <row r="739" ht="12.75" customHeight="1" s="203">
      <c r="A739" s="208" t="n"/>
      <c r="B739" s="208" t="n"/>
      <c r="C739" s="208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8" t="n"/>
      <c r="AF739" s="208" t="n"/>
      <c r="AG739" s="208" t="n"/>
    </row>
    <row r="740" ht="12.75" customHeight="1" s="203">
      <c r="A740" s="208" t="n"/>
      <c r="B740" s="208" t="n"/>
      <c r="C740" s="208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8" t="n"/>
      <c r="AF740" s="208" t="n"/>
      <c r="AG740" s="208" t="n"/>
    </row>
    <row r="741" ht="12.75" customHeight="1" s="203">
      <c r="A741" s="208" t="n"/>
      <c r="B741" s="208" t="n"/>
      <c r="C741" s="208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8" t="n"/>
      <c r="AF741" s="208" t="n"/>
      <c r="AG741" s="208" t="n"/>
    </row>
    <row r="742" ht="12.75" customHeight="1" s="203">
      <c r="A742" s="208" t="n"/>
      <c r="B742" s="208" t="n"/>
      <c r="C742" s="208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8" t="n"/>
      <c r="AF742" s="208" t="n"/>
      <c r="AG742" s="208" t="n"/>
    </row>
    <row r="743" ht="12.75" customHeight="1" s="203">
      <c r="A743" s="208" t="n"/>
      <c r="B743" s="208" t="n"/>
      <c r="C743" s="208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8" t="n"/>
      <c r="AF743" s="208" t="n"/>
      <c r="AG743" s="208" t="n"/>
    </row>
    <row r="744" ht="12.75" customHeight="1" s="203">
      <c r="A744" s="208" t="n"/>
      <c r="B744" s="208" t="n"/>
      <c r="C744" s="208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8" t="n"/>
      <c r="AF744" s="208" t="n"/>
      <c r="AG744" s="208" t="n"/>
    </row>
    <row r="745" ht="12.75" customHeight="1" s="203">
      <c r="A745" s="208" t="n"/>
      <c r="B745" s="208" t="n"/>
      <c r="C745" s="208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8" t="n"/>
      <c r="AF745" s="208" t="n"/>
      <c r="AG745" s="208" t="n"/>
    </row>
    <row r="746" ht="12.75" customHeight="1" s="203">
      <c r="A746" s="208" t="n"/>
      <c r="B746" s="208" t="n"/>
      <c r="C746" s="208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8" t="n"/>
      <c r="AF746" s="208" t="n"/>
      <c r="AG746" s="208" t="n"/>
    </row>
    <row r="747" ht="12.75" customHeight="1" s="203">
      <c r="A747" s="208" t="n"/>
      <c r="B747" s="208" t="n"/>
      <c r="C747" s="208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8" t="n"/>
      <c r="AF747" s="208" t="n"/>
      <c r="AG747" s="208" t="n"/>
    </row>
    <row r="748" ht="12.75" customHeight="1" s="203">
      <c r="A748" s="208" t="n"/>
      <c r="B748" s="208" t="n"/>
      <c r="C748" s="208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8" t="n"/>
      <c r="AF748" s="208" t="n"/>
      <c r="AG748" s="208" t="n"/>
    </row>
    <row r="749" ht="12.75" customHeight="1" s="203">
      <c r="A749" s="208" t="n"/>
      <c r="B749" s="208" t="n"/>
      <c r="C749" s="208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8" t="n"/>
      <c r="AF749" s="208" t="n"/>
      <c r="AG749" s="208" t="n"/>
    </row>
    <row r="750" ht="12.75" customHeight="1" s="203">
      <c r="A750" s="208" t="n"/>
      <c r="B750" s="208" t="n"/>
      <c r="C750" s="208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8" t="n"/>
      <c r="AF750" s="208" t="n"/>
      <c r="AG750" s="208" t="n"/>
    </row>
    <row r="751" ht="12.75" customHeight="1" s="203">
      <c r="A751" s="208" t="n"/>
      <c r="B751" s="208" t="n"/>
      <c r="C751" s="208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8" t="n"/>
      <c r="AF751" s="208" t="n"/>
      <c r="AG751" s="208" t="n"/>
    </row>
    <row r="752" ht="12.75" customHeight="1" s="203">
      <c r="A752" s="208" t="n"/>
      <c r="B752" s="208" t="n"/>
      <c r="C752" s="208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8" t="n"/>
      <c r="AF752" s="208" t="n"/>
      <c r="AG752" s="208" t="n"/>
    </row>
    <row r="753" ht="12.75" customHeight="1" s="203">
      <c r="A753" s="208" t="n"/>
      <c r="B753" s="208" t="n"/>
      <c r="C753" s="208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8" t="n"/>
      <c r="AF753" s="208" t="n"/>
      <c r="AG753" s="208" t="n"/>
    </row>
    <row r="754" ht="12.75" customHeight="1" s="203">
      <c r="A754" s="208" t="n"/>
      <c r="B754" s="208" t="n"/>
      <c r="C754" s="208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8" t="n"/>
      <c r="AF754" s="208" t="n"/>
      <c r="AG754" s="208" t="n"/>
    </row>
    <row r="755" ht="12.75" customHeight="1" s="203">
      <c r="A755" s="208" t="n"/>
      <c r="B755" s="208" t="n"/>
      <c r="C755" s="208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8" t="n"/>
      <c r="AF755" s="208" t="n"/>
      <c r="AG755" s="208" t="n"/>
    </row>
    <row r="756" ht="12.75" customHeight="1" s="203">
      <c r="A756" s="208" t="n"/>
      <c r="B756" s="208" t="n"/>
      <c r="C756" s="208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8" t="n"/>
      <c r="AF756" s="208" t="n"/>
      <c r="AG756" s="208" t="n"/>
    </row>
    <row r="757" ht="12.75" customHeight="1" s="203">
      <c r="A757" s="208" t="n"/>
      <c r="B757" s="208" t="n"/>
      <c r="C757" s="208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8" t="n"/>
      <c r="AF757" s="208" t="n"/>
      <c r="AG757" s="208" t="n"/>
    </row>
    <row r="758" ht="12.75" customHeight="1" s="203">
      <c r="A758" s="208" t="n"/>
      <c r="B758" s="208" t="n"/>
      <c r="C758" s="208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8" t="n"/>
      <c r="AF758" s="208" t="n"/>
      <c r="AG758" s="208" t="n"/>
    </row>
    <row r="759" ht="12.75" customHeight="1" s="203">
      <c r="A759" s="208" t="n"/>
      <c r="B759" s="208" t="n"/>
      <c r="C759" s="208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8" t="n"/>
      <c r="AF759" s="208" t="n"/>
      <c r="AG759" s="208" t="n"/>
    </row>
    <row r="760" ht="12.75" customHeight="1" s="203">
      <c r="A760" s="208" t="n"/>
      <c r="B760" s="208" t="n"/>
      <c r="C760" s="208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8" t="n"/>
      <c r="AF760" s="208" t="n"/>
      <c r="AG760" s="208" t="n"/>
    </row>
    <row r="761" ht="12.75" customHeight="1" s="203">
      <c r="A761" s="208" t="n"/>
      <c r="B761" s="208" t="n"/>
      <c r="C761" s="208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8" t="n"/>
      <c r="AF761" s="208" t="n"/>
      <c r="AG761" s="208" t="n"/>
    </row>
    <row r="762" ht="12.75" customHeight="1" s="203">
      <c r="A762" s="208" t="n"/>
      <c r="B762" s="208" t="n"/>
      <c r="C762" s="208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8" t="n"/>
      <c r="AF762" s="208" t="n"/>
      <c r="AG762" s="208" t="n"/>
    </row>
    <row r="763" ht="12.75" customHeight="1" s="203">
      <c r="A763" s="208" t="n"/>
      <c r="B763" s="208" t="n"/>
      <c r="C763" s="208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8" t="n"/>
      <c r="AF763" s="208" t="n"/>
      <c r="AG763" s="208" t="n"/>
    </row>
    <row r="764" ht="12.75" customHeight="1" s="203">
      <c r="A764" s="208" t="n"/>
      <c r="B764" s="208" t="n"/>
      <c r="C764" s="208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8" t="n"/>
      <c r="AF764" s="208" t="n"/>
      <c r="AG764" s="208" t="n"/>
    </row>
    <row r="765" ht="12.75" customHeight="1" s="203">
      <c r="A765" s="208" t="n"/>
      <c r="B765" s="208" t="n"/>
      <c r="C765" s="208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8" t="n"/>
      <c r="AF765" s="208" t="n"/>
      <c r="AG765" s="208" t="n"/>
    </row>
    <row r="766" ht="12.75" customHeight="1" s="203">
      <c r="A766" s="208" t="n"/>
      <c r="B766" s="208" t="n"/>
      <c r="C766" s="208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8" t="n"/>
      <c r="AF766" s="208" t="n"/>
      <c r="AG766" s="208" t="n"/>
    </row>
    <row r="767" ht="12.75" customHeight="1" s="203">
      <c r="A767" s="208" t="n"/>
      <c r="B767" s="208" t="n"/>
      <c r="C767" s="208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8" t="n"/>
      <c r="AF767" s="208" t="n"/>
      <c r="AG767" s="208" t="n"/>
    </row>
    <row r="768" ht="12.75" customHeight="1" s="203">
      <c r="A768" s="208" t="n"/>
      <c r="B768" s="208" t="n"/>
      <c r="C768" s="208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8" t="n"/>
      <c r="AF768" s="208" t="n"/>
      <c r="AG768" s="208" t="n"/>
    </row>
    <row r="769" ht="12.75" customHeight="1" s="203">
      <c r="A769" s="208" t="n"/>
      <c r="B769" s="208" t="n"/>
      <c r="C769" s="208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8" t="n"/>
      <c r="AF769" s="208" t="n"/>
      <c r="AG769" s="208" t="n"/>
    </row>
    <row r="770" ht="12.75" customHeight="1" s="203">
      <c r="A770" s="208" t="n"/>
      <c r="B770" s="208" t="n"/>
      <c r="C770" s="208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8" t="n"/>
      <c r="AF770" s="208" t="n"/>
      <c r="AG770" s="208" t="n"/>
    </row>
    <row r="771" ht="12.75" customHeight="1" s="203">
      <c r="A771" s="208" t="n"/>
      <c r="B771" s="208" t="n"/>
      <c r="C771" s="208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8" t="n"/>
      <c r="AF771" s="208" t="n"/>
      <c r="AG771" s="208" t="n"/>
    </row>
    <row r="772" ht="12.75" customHeight="1" s="203">
      <c r="A772" s="208" t="n"/>
      <c r="B772" s="208" t="n"/>
      <c r="C772" s="208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8" t="n"/>
      <c r="AF772" s="208" t="n"/>
      <c r="AG772" s="208" t="n"/>
    </row>
    <row r="773" ht="12.75" customHeight="1" s="203">
      <c r="A773" s="208" t="n"/>
      <c r="B773" s="208" t="n"/>
      <c r="C773" s="208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8" t="n"/>
      <c r="AF773" s="208" t="n"/>
      <c r="AG773" s="208" t="n"/>
    </row>
    <row r="774" ht="12.75" customHeight="1" s="203">
      <c r="A774" s="208" t="n"/>
      <c r="B774" s="208" t="n"/>
      <c r="C774" s="208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8" t="n"/>
      <c r="AF774" s="208" t="n"/>
      <c r="AG774" s="208" t="n"/>
    </row>
    <row r="775" ht="12.75" customHeight="1" s="203">
      <c r="A775" s="208" t="n"/>
      <c r="B775" s="208" t="n"/>
      <c r="C775" s="208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8" t="n"/>
      <c r="AF775" s="208" t="n"/>
      <c r="AG775" s="208" t="n"/>
    </row>
    <row r="776" ht="12.75" customHeight="1" s="203">
      <c r="A776" s="208" t="n"/>
      <c r="B776" s="208" t="n"/>
      <c r="C776" s="208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8" t="n"/>
      <c r="AF776" s="208" t="n"/>
      <c r="AG776" s="208" t="n"/>
    </row>
    <row r="777" ht="12.75" customHeight="1" s="203">
      <c r="A777" s="208" t="n"/>
      <c r="B777" s="208" t="n"/>
      <c r="C777" s="208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8" t="n"/>
      <c r="AF777" s="208" t="n"/>
      <c r="AG777" s="208" t="n"/>
    </row>
    <row r="778" ht="12.75" customHeight="1" s="203">
      <c r="A778" s="208" t="n"/>
      <c r="B778" s="208" t="n"/>
      <c r="C778" s="208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8" t="n"/>
      <c r="AF778" s="208" t="n"/>
      <c r="AG778" s="208" t="n"/>
    </row>
    <row r="779" ht="12.75" customHeight="1" s="203">
      <c r="A779" s="208" t="n"/>
      <c r="B779" s="208" t="n"/>
      <c r="C779" s="208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8" t="n"/>
      <c r="AF779" s="208" t="n"/>
      <c r="AG779" s="208" t="n"/>
    </row>
    <row r="780" ht="12.75" customHeight="1" s="203">
      <c r="A780" s="208" t="n"/>
      <c r="B780" s="208" t="n"/>
      <c r="C780" s="208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8" t="n"/>
      <c r="AF780" s="208" t="n"/>
      <c r="AG780" s="208" t="n"/>
    </row>
    <row r="781" ht="12.75" customHeight="1" s="203">
      <c r="A781" s="208" t="n"/>
      <c r="B781" s="208" t="n"/>
      <c r="C781" s="208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8" t="n"/>
      <c r="AF781" s="208" t="n"/>
      <c r="AG781" s="208" t="n"/>
    </row>
    <row r="782" ht="12.75" customHeight="1" s="203">
      <c r="A782" s="208" t="n"/>
      <c r="B782" s="208" t="n"/>
      <c r="C782" s="208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8" t="n"/>
      <c r="AF782" s="208" t="n"/>
      <c r="AG782" s="208" t="n"/>
    </row>
    <row r="783" ht="12.75" customHeight="1" s="203">
      <c r="A783" s="208" t="n"/>
      <c r="B783" s="208" t="n"/>
      <c r="C783" s="208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8" t="n"/>
      <c r="AF783" s="208" t="n"/>
      <c r="AG783" s="208" t="n"/>
    </row>
    <row r="784" ht="12.75" customHeight="1" s="203">
      <c r="A784" s="208" t="n"/>
      <c r="B784" s="208" t="n"/>
      <c r="C784" s="208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8" t="n"/>
      <c r="AF784" s="208" t="n"/>
      <c r="AG784" s="208" t="n"/>
    </row>
    <row r="785" ht="12.75" customHeight="1" s="203">
      <c r="A785" s="208" t="n"/>
      <c r="B785" s="208" t="n"/>
      <c r="C785" s="208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8" t="n"/>
      <c r="AF785" s="208" t="n"/>
      <c r="AG785" s="208" t="n"/>
    </row>
    <row r="786" ht="12.75" customHeight="1" s="203">
      <c r="A786" s="208" t="n"/>
      <c r="B786" s="208" t="n"/>
      <c r="C786" s="208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8" t="n"/>
      <c r="AF786" s="208" t="n"/>
      <c r="AG786" s="208" t="n"/>
    </row>
    <row r="787" ht="12.75" customHeight="1" s="203">
      <c r="A787" s="208" t="n"/>
      <c r="B787" s="208" t="n"/>
      <c r="C787" s="208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8" t="n"/>
      <c r="AF787" s="208" t="n"/>
      <c r="AG787" s="208" t="n"/>
    </row>
    <row r="788" ht="12.75" customHeight="1" s="203">
      <c r="A788" s="208" t="n"/>
      <c r="B788" s="208" t="n"/>
      <c r="C788" s="208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8" t="n"/>
      <c r="AF788" s="208" t="n"/>
      <c r="AG788" s="208" t="n"/>
    </row>
    <row r="789" ht="12.75" customHeight="1" s="203">
      <c r="A789" s="208" t="n"/>
      <c r="B789" s="208" t="n"/>
      <c r="C789" s="208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8" t="n"/>
      <c r="AF789" s="208" t="n"/>
      <c r="AG789" s="208" t="n"/>
    </row>
    <row r="790" ht="12.75" customHeight="1" s="203">
      <c r="A790" s="208" t="n"/>
      <c r="B790" s="208" t="n"/>
      <c r="C790" s="208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8" t="n"/>
      <c r="AF790" s="208" t="n"/>
      <c r="AG790" s="208" t="n"/>
    </row>
    <row r="791" ht="12.75" customHeight="1" s="203">
      <c r="A791" s="208" t="n"/>
      <c r="B791" s="208" t="n"/>
      <c r="C791" s="208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8" t="n"/>
      <c r="AF791" s="208" t="n"/>
      <c r="AG791" s="208" t="n"/>
    </row>
    <row r="792" ht="12.75" customHeight="1" s="203">
      <c r="A792" s="208" t="n"/>
      <c r="B792" s="208" t="n"/>
      <c r="C792" s="208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8" t="n"/>
      <c r="AF792" s="208" t="n"/>
      <c r="AG792" s="208" t="n"/>
    </row>
    <row r="793" ht="12.75" customHeight="1" s="203">
      <c r="A793" s="208" t="n"/>
      <c r="B793" s="208" t="n"/>
      <c r="C793" s="208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8" t="n"/>
      <c r="AF793" s="208" t="n"/>
      <c r="AG793" s="208" t="n"/>
    </row>
    <row r="794" ht="12.75" customHeight="1" s="203">
      <c r="A794" s="208" t="n"/>
      <c r="B794" s="208" t="n"/>
      <c r="C794" s="208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8" t="n"/>
      <c r="AF794" s="208" t="n"/>
      <c r="AG794" s="208" t="n"/>
    </row>
    <row r="795" ht="12.75" customHeight="1" s="203">
      <c r="A795" s="208" t="n"/>
      <c r="B795" s="208" t="n"/>
      <c r="C795" s="208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8" t="n"/>
      <c r="AF795" s="208" t="n"/>
      <c r="AG795" s="208" t="n"/>
    </row>
    <row r="796" ht="12.75" customHeight="1" s="203">
      <c r="A796" s="208" t="n"/>
      <c r="B796" s="208" t="n"/>
      <c r="C796" s="208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8" t="n"/>
      <c r="AF796" s="208" t="n"/>
      <c r="AG796" s="208" t="n"/>
    </row>
    <row r="797" ht="12.75" customHeight="1" s="203">
      <c r="A797" s="208" t="n"/>
      <c r="B797" s="208" t="n"/>
      <c r="C797" s="208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8" t="n"/>
      <c r="AF797" s="208" t="n"/>
      <c r="AG797" s="208" t="n"/>
    </row>
    <row r="798" ht="12.75" customHeight="1" s="203">
      <c r="A798" s="208" t="n"/>
      <c r="B798" s="208" t="n"/>
      <c r="C798" s="208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8" t="n"/>
      <c r="AF798" s="208" t="n"/>
      <c r="AG798" s="208" t="n"/>
    </row>
    <row r="799" ht="12.75" customHeight="1" s="203">
      <c r="A799" s="208" t="n"/>
      <c r="B799" s="208" t="n"/>
      <c r="C799" s="208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8" t="n"/>
      <c r="AF799" s="208" t="n"/>
      <c r="AG799" s="208" t="n"/>
    </row>
    <row r="800" ht="12.75" customHeight="1" s="203">
      <c r="A800" s="208" t="n"/>
      <c r="B800" s="208" t="n"/>
      <c r="C800" s="208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8" t="n"/>
      <c r="AF800" s="208" t="n"/>
      <c r="AG800" s="208" t="n"/>
    </row>
    <row r="801" ht="12.75" customHeight="1" s="203">
      <c r="A801" s="208" t="n"/>
      <c r="B801" s="208" t="n"/>
      <c r="C801" s="208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8" t="n"/>
      <c r="AF801" s="208" t="n"/>
      <c r="AG801" s="208" t="n"/>
    </row>
    <row r="802" ht="12.75" customHeight="1" s="203">
      <c r="A802" s="208" t="n"/>
      <c r="B802" s="208" t="n"/>
      <c r="C802" s="208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8" t="n"/>
      <c r="AF802" s="208" t="n"/>
      <c r="AG802" s="208" t="n"/>
    </row>
    <row r="803" ht="12.75" customHeight="1" s="203">
      <c r="A803" s="208" t="n"/>
      <c r="B803" s="208" t="n"/>
      <c r="C803" s="208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8" t="n"/>
      <c r="AF803" s="208" t="n"/>
      <c r="AG803" s="208" t="n"/>
    </row>
    <row r="804" ht="12.75" customHeight="1" s="203">
      <c r="A804" s="208" t="n"/>
      <c r="B804" s="208" t="n"/>
      <c r="C804" s="208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8" t="n"/>
      <c r="AF804" s="208" t="n"/>
      <c r="AG804" s="208" t="n"/>
    </row>
    <row r="805" ht="12.75" customHeight="1" s="203">
      <c r="A805" s="208" t="n"/>
      <c r="B805" s="208" t="n"/>
      <c r="C805" s="208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8" t="n"/>
      <c r="AF805" s="208" t="n"/>
      <c r="AG805" s="208" t="n"/>
    </row>
    <row r="806" ht="12.75" customHeight="1" s="203">
      <c r="A806" s="208" t="n"/>
      <c r="B806" s="208" t="n"/>
      <c r="C806" s="208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8" t="n"/>
      <c r="AF806" s="208" t="n"/>
      <c r="AG806" s="208" t="n"/>
    </row>
    <row r="807" ht="12.75" customHeight="1" s="203">
      <c r="A807" s="208" t="n"/>
      <c r="B807" s="208" t="n"/>
      <c r="C807" s="208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8" t="n"/>
      <c r="AF807" s="208" t="n"/>
      <c r="AG807" s="208" t="n"/>
    </row>
    <row r="808" ht="12.75" customHeight="1" s="203">
      <c r="A808" s="208" t="n"/>
      <c r="B808" s="208" t="n"/>
      <c r="C808" s="208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8" t="n"/>
      <c r="AF808" s="208" t="n"/>
      <c r="AG808" s="208" t="n"/>
    </row>
    <row r="809" ht="12.75" customHeight="1" s="203">
      <c r="A809" s="208" t="n"/>
      <c r="B809" s="208" t="n"/>
      <c r="C809" s="208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8" t="n"/>
      <c r="AF809" s="208" t="n"/>
      <c r="AG809" s="208" t="n"/>
    </row>
    <row r="810" ht="12.75" customHeight="1" s="203">
      <c r="A810" s="208" t="n"/>
      <c r="B810" s="208" t="n"/>
      <c r="C810" s="208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8" t="n"/>
      <c r="AF810" s="208" t="n"/>
      <c r="AG810" s="208" t="n"/>
    </row>
    <row r="811" ht="12.75" customHeight="1" s="203">
      <c r="A811" s="208" t="n"/>
      <c r="B811" s="208" t="n"/>
      <c r="C811" s="208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8" t="n"/>
      <c r="AF811" s="208" t="n"/>
      <c r="AG811" s="208" t="n"/>
    </row>
    <row r="812" ht="12.75" customHeight="1" s="203">
      <c r="A812" s="208" t="n"/>
      <c r="B812" s="208" t="n"/>
      <c r="C812" s="208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8" t="n"/>
      <c r="AF812" s="208" t="n"/>
      <c r="AG812" s="208" t="n"/>
    </row>
    <row r="813" ht="12.75" customHeight="1" s="203">
      <c r="A813" s="208" t="n"/>
      <c r="B813" s="208" t="n"/>
      <c r="C813" s="208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8" t="n"/>
      <c r="AF813" s="208" t="n"/>
      <c r="AG813" s="208" t="n"/>
    </row>
    <row r="814" ht="12.75" customHeight="1" s="203">
      <c r="A814" s="208" t="n"/>
      <c r="B814" s="208" t="n"/>
      <c r="C814" s="208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8" t="n"/>
      <c r="AF814" s="208" t="n"/>
      <c r="AG814" s="208" t="n"/>
    </row>
    <row r="815" ht="12.75" customHeight="1" s="203">
      <c r="A815" s="208" t="n"/>
      <c r="B815" s="208" t="n"/>
      <c r="C815" s="208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8" t="n"/>
      <c r="AF815" s="208" t="n"/>
      <c r="AG815" s="208" t="n"/>
    </row>
    <row r="816" ht="12.75" customHeight="1" s="203">
      <c r="A816" s="208" t="n"/>
      <c r="B816" s="208" t="n"/>
      <c r="C816" s="208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8" t="n"/>
      <c r="AF816" s="208" t="n"/>
      <c r="AG816" s="208" t="n"/>
    </row>
    <row r="817" ht="12.75" customHeight="1" s="203">
      <c r="A817" s="208" t="n"/>
      <c r="B817" s="208" t="n"/>
      <c r="C817" s="208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8" t="n"/>
      <c r="AF817" s="208" t="n"/>
      <c r="AG817" s="208" t="n"/>
    </row>
    <row r="818" ht="12.75" customHeight="1" s="203">
      <c r="A818" s="208" t="n"/>
      <c r="B818" s="208" t="n"/>
      <c r="C818" s="208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8" t="n"/>
      <c r="AF818" s="208" t="n"/>
      <c r="AG818" s="208" t="n"/>
    </row>
    <row r="819" ht="12.75" customHeight="1" s="203">
      <c r="A819" s="208" t="n"/>
      <c r="B819" s="208" t="n"/>
      <c r="C819" s="208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8" t="n"/>
      <c r="AF819" s="208" t="n"/>
      <c r="AG819" s="208" t="n"/>
    </row>
    <row r="820" ht="12.75" customHeight="1" s="203">
      <c r="A820" s="208" t="n"/>
      <c r="B820" s="208" t="n"/>
      <c r="C820" s="208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8" t="n"/>
      <c r="AF820" s="208" t="n"/>
      <c r="AG820" s="208" t="n"/>
    </row>
    <row r="821" ht="12.75" customHeight="1" s="203">
      <c r="A821" s="208" t="n"/>
      <c r="B821" s="208" t="n"/>
      <c r="C821" s="208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8" t="n"/>
      <c r="AF821" s="208" t="n"/>
      <c r="AG821" s="208" t="n"/>
    </row>
    <row r="822" ht="12.75" customHeight="1" s="203">
      <c r="A822" s="208" t="n"/>
      <c r="B822" s="208" t="n"/>
      <c r="C822" s="208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8" t="n"/>
      <c r="AF822" s="208" t="n"/>
      <c r="AG822" s="208" t="n"/>
    </row>
    <row r="823" ht="12.75" customHeight="1" s="203">
      <c r="A823" s="208" t="n"/>
      <c r="B823" s="208" t="n"/>
      <c r="C823" s="208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8" t="n"/>
      <c r="AF823" s="208" t="n"/>
      <c r="AG823" s="208" t="n"/>
    </row>
    <row r="824" ht="12.75" customHeight="1" s="203">
      <c r="A824" s="208" t="n"/>
      <c r="B824" s="208" t="n"/>
      <c r="C824" s="208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8" t="n"/>
      <c r="AF824" s="208" t="n"/>
      <c r="AG824" s="208" t="n"/>
    </row>
    <row r="825" ht="12.75" customHeight="1" s="203">
      <c r="A825" s="208" t="n"/>
      <c r="B825" s="208" t="n"/>
      <c r="C825" s="208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8" t="n"/>
      <c r="AF825" s="208" t="n"/>
      <c r="AG825" s="208" t="n"/>
    </row>
    <row r="826" ht="12.75" customHeight="1" s="203">
      <c r="A826" s="208" t="n"/>
      <c r="B826" s="208" t="n"/>
      <c r="C826" s="208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8" t="n"/>
      <c r="AF826" s="208" t="n"/>
      <c r="AG826" s="208" t="n"/>
    </row>
    <row r="827" ht="12.75" customHeight="1" s="203">
      <c r="A827" s="208" t="n"/>
      <c r="B827" s="208" t="n"/>
      <c r="C827" s="208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8" t="n"/>
      <c r="AF827" s="208" t="n"/>
      <c r="AG827" s="208" t="n"/>
    </row>
    <row r="828" ht="12.75" customHeight="1" s="203">
      <c r="A828" s="208" t="n"/>
      <c r="B828" s="208" t="n"/>
      <c r="C828" s="208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8" t="n"/>
      <c r="AF828" s="208" t="n"/>
      <c r="AG828" s="208" t="n"/>
    </row>
    <row r="829" ht="12.75" customHeight="1" s="203">
      <c r="A829" s="208" t="n"/>
      <c r="B829" s="208" t="n"/>
      <c r="C829" s="208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8" t="n"/>
      <c r="AF829" s="208" t="n"/>
      <c r="AG829" s="208" t="n"/>
    </row>
    <row r="830" ht="12.75" customHeight="1" s="203">
      <c r="A830" s="208" t="n"/>
      <c r="B830" s="208" t="n"/>
      <c r="C830" s="208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8" t="n"/>
      <c r="AF830" s="208" t="n"/>
      <c r="AG830" s="208" t="n"/>
    </row>
    <row r="831" ht="12.75" customHeight="1" s="203">
      <c r="A831" s="208" t="n"/>
      <c r="B831" s="208" t="n"/>
      <c r="C831" s="208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8" t="n"/>
      <c r="AF831" s="208" t="n"/>
      <c r="AG831" s="208" t="n"/>
    </row>
    <row r="832" ht="12.75" customHeight="1" s="203">
      <c r="A832" s="208" t="n"/>
      <c r="B832" s="208" t="n"/>
      <c r="C832" s="208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8" t="n"/>
      <c r="AF832" s="208" t="n"/>
      <c r="AG832" s="208" t="n"/>
    </row>
    <row r="833" ht="12.75" customHeight="1" s="203">
      <c r="A833" s="208" t="n"/>
      <c r="B833" s="208" t="n"/>
      <c r="C833" s="208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8" t="n"/>
      <c r="AF833" s="208" t="n"/>
      <c r="AG833" s="208" t="n"/>
    </row>
    <row r="834" ht="12.75" customHeight="1" s="203">
      <c r="A834" s="208" t="n"/>
      <c r="B834" s="208" t="n"/>
      <c r="C834" s="208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8" t="n"/>
      <c r="AF834" s="208" t="n"/>
      <c r="AG834" s="208" t="n"/>
    </row>
    <row r="835" ht="12.75" customHeight="1" s="203">
      <c r="A835" s="208" t="n"/>
      <c r="B835" s="208" t="n"/>
      <c r="C835" s="208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8" t="n"/>
      <c r="AF835" s="208" t="n"/>
      <c r="AG835" s="208" t="n"/>
    </row>
    <row r="836" ht="12.75" customHeight="1" s="203">
      <c r="A836" s="208" t="n"/>
      <c r="B836" s="208" t="n"/>
      <c r="C836" s="208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8" t="n"/>
      <c r="AF836" s="208" t="n"/>
      <c r="AG836" s="208" t="n"/>
    </row>
    <row r="837" ht="12.75" customHeight="1" s="203">
      <c r="A837" s="208" t="n"/>
      <c r="B837" s="208" t="n"/>
      <c r="C837" s="208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8" t="n"/>
      <c r="AF837" s="208" t="n"/>
      <c r="AG837" s="208" t="n"/>
    </row>
    <row r="838" ht="12.75" customHeight="1" s="203">
      <c r="A838" s="208" t="n"/>
      <c r="B838" s="208" t="n"/>
      <c r="C838" s="208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8" t="n"/>
      <c r="AF838" s="208" t="n"/>
      <c r="AG838" s="208" t="n"/>
    </row>
    <row r="839" ht="12.75" customHeight="1" s="203">
      <c r="A839" s="208" t="n"/>
      <c r="B839" s="208" t="n"/>
      <c r="C839" s="208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8" t="n"/>
      <c r="AF839" s="208" t="n"/>
      <c r="AG839" s="208" t="n"/>
    </row>
    <row r="840" ht="12.75" customHeight="1" s="203">
      <c r="A840" s="208" t="n"/>
      <c r="B840" s="208" t="n"/>
      <c r="C840" s="208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8" t="n"/>
      <c r="AF840" s="208" t="n"/>
      <c r="AG840" s="208" t="n"/>
    </row>
    <row r="841" ht="12.75" customHeight="1" s="203">
      <c r="A841" s="208" t="n"/>
      <c r="B841" s="208" t="n"/>
      <c r="C841" s="208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8" t="n"/>
      <c r="AF841" s="208" t="n"/>
      <c r="AG841" s="208" t="n"/>
    </row>
    <row r="842" ht="12.75" customHeight="1" s="203">
      <c r="A842" s="208" t="n"/>
      <c r="B842" s="208" t="n"/>
      <c r="C842" s="208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8" t="n"/>
      <c r="AF842" s="208" t="n"/>
      <c r="AG842" s="208" t="n"/>
    </row>
    <row r="843" ht="12.75" customHeight="1" s="203">
      <c r="A843" s="208" t="n"/>
      <c r="B843" s="208" t="n"/>
      <c r="C843" s="208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8" t="n"/>
      <c r="AF843" s="208" t="n"/>
      <c r="AG843" s="208" t="n"/>
    </row>
    <row r="844" ht="12.75" customHeight="1" s="203">
      <c r="A844" s="208" t="n"/>
      <c r="B844" s="208" t="n"/>
      <c r="C844" s="208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8" t="n"/>
      <c r="AF844" s="208" t="n"/>
      <c r="AG844" s="208" t="n"/>
    </row>
    <row r="845" ht="12.75" customHeight="1" s="203">
      <c r="A845" s="208" t="n"/>
      <c r="B845" s="208" t="n"/>
      <c r="C845" s="208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8" t="n"/>
      <c r="AF845" s="208" t="n"/>
      <c r="AG845" s="208" t="n"/>
    </row>
    <row r="846" ht="12.75" customHeight="1" s="203">
      <c r="A846" s="208" t="n"/>
      <c r="B846" s="208" t="n"/>
      <c r="C846" s="208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8" t="n"/>
      <c r="AF846" s="208" t="n"/>
      <c r="AG846" s="208" t="n"/>
    </row>
    <row r="847" ht="12.75" customHeight="1" s="203">
      <c r="A847" s="208" t="n"/>
      <c r="B847" s="208" t="n"/>
      <c r="C847" s="208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8" t="n"/>
      <c r="AF847" s="208" t="n"/>
      <c r="AG847" s="208" t="n"/>
    </row>
    <row r="848" ht="12.75" customHeight="1" s="203">
      <c r="A848" s="208" t="n"/>
      <c r="B848" s="208" t="n"/>
      <c r="C848" s="208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8" t="n"/>
      <c r="AF848" s="208" t="n"/>
      <c r="AG848" s="208" t="n"/>
    </row>
    <row r="849" ht="12.75" customHeight="1" s="203">
      <c r="A849" s="208" t="n"/>
      <c r="B849" s="208" t="n"/>
      <c r="C849" s="208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8" t="n"/>
      <c r="AF849" s="208" t="n"/>
      <c r="AG849" s="208" t="n"/>
    </row>
    <row r="850" ht="12.75" customHeight="1" s="203">
      <c r="A850" s="208" t="n"/>
      <c r="B850" s="208" t="n"/>
      <c r="C850" s="208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8" t="n"/>
      <c r="AF850" s="208" t="n"/>
      <c r="AG850" s="208" t="n"/>
    </row>
    <row r="851" ht="12.75" customHeight="1" s="203">
      <c r="A851" s="208" t="n"/>
      <c r="B851" s="208" t="n"/>
      <c r="C851" s="208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8" t="n"/>
      <c r="AF851" s="208" t="n"/>
      <c r="AG851" s="208" t="n"/>
    </row>
    <row r="852" ht="12.75" customHeight="1" s="203">
      <c r="A852" s="208" t="n"/>
      <c r="B852" s="208" t="n"/>
      <c r="C852" s="208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8" t="n"/>
      <c r="AF852" s="208" t="n"/>
      <c r="AG852" s="208" t="n"/>
    </row>
    <row r="853" ht="12.75" customHeight="1" s="203">
      <c r="A853" s="208" t="n"/>
      <c r="B853" s="208" t="n"/>
      <c r="C853" s="208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8" t="n"/>
      <c r="AF853" s="208" t="n"/>
      <c r="AG853" s="208" t="n"/>
    </row>
    <row r="854" ht="12.75" customHeight="1" s="203">
      <c r="A854" s="208" t="n"/>
      <c r="B854" s="208" t="n"/>
      <c r="C854" s="208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8" t="n"/>
      <c r="AF854" s="208" t="n"/>
      <c r="AG854" s="208" t="n"/>
    </row>
    <row r="855" ht="12.75" customHeight="1" s="203">
      <c r="A855" s="208" t="n"/>
      <c r="B855" s="208" t="n"/>
      <c r="C855" s="208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8" t="n"/>
      <c r="AF855" s="208" t="n"/>
      <c r="AG855" s="208" t="n"/>
    </row>
    <row r="856" ht="12.75" customHeight="1" s="203">
      <c r="A856" s="208" t="n"/>
      <c r="B856" s="208" t="n"/>
      <c r="C856" s="208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8" t="n"/>
      <c r="AF856" s="208" t="n"/>
      <c r="AG856" s="208" t="n"/>
    </row>
    <row r="857" ht="12.75" customHeight="1" s="203">
      <c r="A857" s="208" t="n"/>
      <c r="B857" s="208" t="n"/>
      <c r="C857" s="208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8" t="n"/>
      <c r="AF857" s="208" t="n"/>
      <c r="AG857" s="208" t="n"/>
    </row>
    <row r="858" ht="12.75" customHeight="1" s="203">
      <c r="A858" s="208" t="n"/>
      <c r="B858" s="208" t="n"/>
      <c r="C858" s="208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8" t="n"/>
      <c r="AF858" s="208" t="n"/>
      <c r="AG858" s="208" t="n"/>
    </row>
    <row r="859" ht="12.75" customHeight="1" s="203">
      <c r="A859" s="208" t="n"/>
      <c r="B859" s="208" t="n"/>
      <c r="C859" s="208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8" t="n"/>
      <c r="AF859" s="208" t="n"/>
      <c r="AG859" s="208" t="n"/>
    </row>
    <row r="860" ht="12.75" customHeight="1" s="203">
      <c r="A860" s="208" t="n"/>
      <c r="B860" s="208" t="n"/>
      <c r="C860" s="208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8" t="n"/>
      <c r="AF860" s="208" t="n"/>
      <c r="AG860" s="208" t="n"/>
    </row>
    <row r="861" ht="12.75" customHeight="1" s="203">
      <c r="A861" s="208" t="n"/>
      <c r="B861" s="208" t="n"/>
      <c r="C861" s="208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8" t="n"/>
      <c r="AF861" s="208" t="n"/>
      <c r="AG861" s="208" t="n"/>
    </row>
    <row r="862" ht="12.75" customHeight="1" s="203">
      <c r="A862" s="208" t="n"/>
      <c r="B862" s="208" t="n"/>
      <c r="C862" s="208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8" t="n"/>
      <c r="AF862" s="208" t="n"/>
      <c r="AG862" s="208" t="n"/>
    </row>
    <row r="863" ht="12.75" customHeight="1" s="203">
      <c r="A863" s="208" t="n"/>
      <c r="B863" s="208" t="n"/>
      <c r="C863" s="208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8" t="n"/>
      <c r="AF863" s="208" t="n"/>
      <c r="AG863" s="208" t="n"/>
    </row>
    <row r="864" ht="12.75" customHeight="1" s="203">
      <c r="A864" s="208" t="n"/>
      <c r="B864" s="208" t="n"/>
      <c r="C864" s="208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8" t="n"/>
      <c r="AF864" s="208" t="n"/>
      <c r="AG864" s="208" t="n"/>
    </row>
    <row r="865" ht="12.75" customHeight="1" s="203">
      <c r="A865" s="208" t="n"/>
      <c r="B865" s="208" t="n"/>
      <c r="C865" s="208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8" t="n"/>
      <c r="AF865" s="208" t="n"/>
      <c r="AG865" s="208" t="n"/>
    </row>
    <row r="866" ht="12.75" customHeight="1" s="203">
      <c r="A866" s="208" t="n"/>
      <c r="B866" s="208" t="n"/>
      <c r="C866" s="208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8" t="n"/>
      <c r="AF866" s="208" t="n"/>
      <c r="AG866" s="208" t="n"/>
    </row>
    <row r="867" ht="12.75" customHeight="1" s="203">
      <c r="A867" s="208" t="n"/>
      <c r="B867" s="208" t="n"/>
      <c r="C867" s="208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8" t="n"/>
      <c r="AF867" s="208" t="n"/>
      <c r="AG867" s="208" t="n"/>
    </row>
    <row r="868" ht="12.75" customHeight="1" s="203">
      <c r="A868" s="208" t="n"/>
      <c r="B868" s="208" t="n"/>
      <c r="C868" s="208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8" t="n"/>
      <c r="AF868" s="208" t="n"/>
      <c r="AG868" s="208" t="n"/>
    </row>
    <row r="869" ht="12.75" customHeight="1" s="203">
      <c r="A869" s="208" t="n"/>
      <c r="B869" s="208" t="n"/>
      <c r="C869" s="208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8" t="n"/>
      <c r="AF869" s="208" t="n"/>
      <c r="AG869" s="208" t="n"/>
    </row>
    <row r="870" ht="12.75" customHeight="1" s="203">
      <c r="A870" s="208" t="n"/>
      <c r="B870" s="208" t="n"/>
      <c r="C870" s="208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8" t="n"/>
      <c r="AF870" s="208" t="n"/>
      <c r="AG870" s="208" t="n"/>
    </row>
    <row r="871" ht="12.75" customHeight="1" s="203">
      <c r="A871" s="208" t="n"/>
      <c r="B871" s="208" t="n"/>
      <c r="C871" s="208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8" t="n"/>
      <c r="AF871" s="208" t="n"/>
      <c r="AG871" s="208" t="n"/>
    </row>
    <row r="872" ht="12.75" customHeight="1" s="203">
      <c r="A872" s="208" t="n"/>
      <c r="B872" s="208" t="n"/>
      <c r="C872" s="208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8" t="n"/>
      <c r="AF872" s="208" t="n"/>
      <c r="AG872" s="208" t="n"/>
    </row>
    <row r="873" ht="12.75" customHeight="1" s="203">
      <c r="A873" s="208" t="n"/>
      <c r="B873" s="208" t="n"/>
      <c r="C873" s="208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8" t="n"/>
      <c r="AF873" s="208" t="n"/>
      <c r="AG873" s="208" t="n"/>
    </row>
    <row r="874" ht="12.75" customHeight="1" s="203">
      <c r="A874" s="208" t="n"/>
      <c r="B874" s="208" t="n"/>
      <c r="C874" s="208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8" t="n"/>
      <c r="AF874" s="208" t="n"/>
      <c r="AG874" s="208" t="n"/>
    </row>
    <row r="875" ht="12.75" customHeight="1" s="203">
      <c r="A875" s="208" t="n"/>
      <c r="B875" s="208" t="n"/>
      <c r="C875" s="208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8" t="n"/>
      <c r="AF875" s="208" t="n"/>
      <c r="AG875" s="208" t="n"/>
    </row>
    <row r="876" ht="12.75" customHeight="1" s="203">
      <c r="A876" s="208" t="n"/>
      <c r="B876" s="208" t="n"/>
      <c r="C876" s="208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8" t="n"/>
      <c r="AF876" s="208" t="n"/>
      <c r="AG876" s="208" t="n"/>
    </row>
    <row r="877" ht="12.75" customHeight="1" s="203">
      <c r="A877" s="208" t="n"/>
      <c r="B877" s="208" t="n"/>
      <c r="C877" s="208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8" t="n"/>
      <c r="AF877" s="208" t="n"/>
      <c r="AG877" s="208" t="n"/>
    </row>
    <row r="878" ht="12.75" customHeight="1" s="203">
      <c r="A878" s="208" t="n"/>
      <c r="B878" s="208" t="n"/>
      <c r="C878" s="208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8" t="n"/>
      <c r="AF878" s="208" t="n"/>
      <c r="AG878" s="208" t="n"/>
    </row>
    <row r="879" ht="12.75" customHeight="1" s="203">
      <c r="A879" s="208" t="n"/>
      <c r="B879" s="208" t="n"/>
      <c r="C879" s="208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8" t="n"/>
      <c r="AF879" s="208" t="n"/>
      <c r="AG879" s="208" t="n"/>
    </row>
    <row r="880" ht="12.75" customHeight="1" s="203">
      <c r="A880" s="208" t="n"/>
      <c r="B880" s="208" t="n"/>
      <c r="C880" s="208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8" t="n"/>
      <c r="AF880" s="208" t="n"/>
      <c r="AG880" s="208" t="n"/>
    </row>
    <row r="881" ht="12.75" customHeight="1" s="203">
      <c r="A881" s="208" t="n"/>
      <c r="B881" s="208" t="n"/>
      <c r="C881" s="208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8" t="n"/>
      <c r="AF881" s="208" t="n"/>
      <c r="AG881" s="208" t="n"/>
    </row>
    <row r="882" ht="12.75" customHeight="1" s="203">
      <c r="A882" s="208" t="n"/>
      <c r="B882" s="208" t="n"/>
      <c r="C882" s="208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8" t="n"/>
      <c r="AF882" s="208" t="n"/>
      <c r="AG882" s="208" t="n"/>
    </row>
    <row r="883" ht="12.75" customHeight="1" s="203">
      <c r="A883" s="208" t="n"/>
      <c r="B883" s="208" t="n"/>
      <c r="C883" s="208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8" t="n"/>
      <c r="AF883" s="208" t="n"/>
      <c r="AG883" s="208" t="n"/>
    </row>
    <row r="884" ht="12.75" customHeight="1" s="203">
      <c r="A884" s="208" t="n"/>
      <c r="B884" s="208" t="n"/>
      <c r="C884" s="208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8" t="n"/>
      <c r="AF884" s="208" t="n"/>
      <c r="AG884" s="208" t="n"/>
    </row>
    <row r="885" ht="12.75" customHeight="1" s="203">
      <c r="A885" s="208" t="n"/>
      <c r="B885" s="208" t="n"/>
      <c r="C885" s="208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8" t="n"/>
      <c r="AF885" s="208" t="n"/>
      <c r="AG885" s="208" t="n"/>
    </row>
    <row r="886" ht="12.75" customHeight="1" s="203">
      <c r="A886" s="208" t="n"/>
      <c r="B886" s="208" t="n"/>
      <c r="C886" s="208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8" t="n"/>
      <c r="AF886" s="208" t="n"/>
      <c r="AG886" s="208" t="n"/>
    </row>
    <row r="887" ht="12.75" customHeight="1" s="203">
      <c r="A887" s="208" t="n"/>
      <c r="B887" s="208" t="n"/>
      <c r="C887" s="208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8" t="n"/>
      <c r="AF887" s="208" t="n"/>
      <c r="AG887" s="208" t="n"/>
    </row>
    <row r="888" ht="12.75" customHeight="1" s="203">
      <c r="A888" s="208" t="n"/>
      <c r="B888" s="208" t="n"/>
      <c r="C888" s="208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8" t="n"/>
      <c r="AF888" s="208" t="n"/>
      <c r="AG888" s="208" t="n"/>
    </row>
    <row r="889" ht="12.75" customHeight="1" s="203">
      <c r="A889" s="208" t="n"/>
      <c r="B889" s="208" t="n"/>
      <c r="C889" s="208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8" t="n"/>
      <c r="AF889" s="208" t="n"/>
      <c r="AG889" s="208" t="n"/>
    </row>
    <row r="890" ht="12.75" customHeight="1" s="203">
      <c r="A890" s="208" t="n"/>
      <c r="B890" s="208" t="n"/>
      <c r="C890" s="208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8" t="n"/>
      <c r="AF890" s="208" t="n"/>
      <c r="AG890" s="208" t="n"/>
    </row>
    <row r="891" ht="12.75" customHeight="1" s="203">
      <c r="A891" s="208" t="n"/>
      <c r="B891" s="208" t="n"/>
      <c r="C891" s="208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8" t="n"/>
      <c r="AF891" s="208" t="n"/>
      <c r="AG891" s="208" t="n"/>
    </row>
    <row r="892" ht="12.75" customHeight="1" s="203">
      <c r="A892" s="208" t="n"/>
      <c r="B892" s="208" t="n"/>
      <c r="C892" s="208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8" t="n"/>
      <c r="AF892" s="208" t="n"/>
      <c r="AG892" s="208" t="n"/>
    </row>
    <row r="893" ht="12.75" customHeight="1" s="203">
      <c r="A893" s="208" t="n"/>
      <c r="B893" s="208" t="n"/>
      <c r="C893" s="208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8" t="n"/>
      <c r="AF893" s="208" t="n"/>
      <c r="AG893" s="208" t="n"/>
    </row>
    <row r="894" ht="12.75" customHeight="1" s="203">
      <c r="A894" s="208" t="n"/>
      <c r="B894" s="208" t="n"/>
      <c r="C894" s="208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8" t="n"/>
      <c r="AF894" s="208" t="n"/>
      <c r="AG894" s="208" t="n"/>
    </row>
    <row r="895" ht="12.75" customHeight="1" s="203">
      <c r="A895" s="208" t="n"/>
      <c r="B895" s="208" t="n"/>
      <c r="C895" s="208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8" t="n"/>
      <c r="AF895" s="208" t="n"/>
      <c r="AG895" s="208" t="n"/>
    </row>
    <row r="896" ht="12.75" customHeight="1" s="203">
      <c r="A896" s="208" t="n"/>
      <c r="B896" s="208" t="n"/>
      <c r="C896" s="208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8" t="n"/>
      <c r="AF896" s="208" t="n"/>
      <c r="AG896" s="208" t="n"/>
    </row>
    <row r="897" ht="12.75" customHeight="1" s="203">
      <c r="A897" s="208" t="n"/>
      <c r="B897" s="208" t="n"/>
      <c r="C897" s="208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8" t="n"/>
      <c r="AF897" s="208" t="n"/>
      <c r="AG897" s="208" t="n"/>
    </row>
    <row r="898" ht="12.75" customHeight="1" s="203">
      <c r="A898" s="208" t="n"/>
      <c r="B898" s="208" t="n"/>
      <c r="C898" s="208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8" t="n"/>
      <c r="AF898" s="208" t="n"/>
      <c r="AG898" s="208" t="n"/>
    </row>
    <row r="899" ht="12.75" customHeight="1" s="203">
      <c r="A899" s="208" t="n"/>
      <c r="B899" s="208" t="n"/>
      <c r="C899" s="208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8" t="n"/>
      <c r="AF899" s="208" t="n"/>
      <c r="AG899" s="208" t="n"/>
    </row>
    <row r="900" ht="12.75" customHeight="1" s="203">
      <c r="A900" s="208" t="n"/>
      <c r="B900" s="208" t="n"/>
      <c r="C900" s="208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8" t="n"/>
      <c r="AF900" s="208" t="n"/>
      <c r="AG900" s="208" t="n"/>
    </row>
    <row r="901" ht="12.75" customHeight="1" s="203">
      <c r="A901" s="208" t="n"/>
      <c r="B901" s="208" t="n"/>
      <c r="C901" s="208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8" t="n"/>
      <c r="AF901" s="208" t="n"/>
      <c r="AG901" s="208" t="n"/>
    </row>
    <row r="902" ht="12.75" customHeight="1" s="203">
      <c r="A902" s="208" t="n"/>
      <c r="B902" s="208" t="n"/>
      <c r="C902" s="208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8" t="n"/>
      <c r="AF902" s="208" t="n"/>
      <c r="AG902" s="208" t="n"/>
    </row>
    <row r="903" ht="12.75" customHeight="1" s="203">
      <c r="A903" s="208" t="n"/>
      <c r="B903" s="208" t="n"/>
      <c r="C903" s="208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8" t="n"/>
      <c r="AF903" s="208" t="n"/>
      <c r="AG903" s="208" t="n"/>
    </row>
    <row r="904" ht="12.75" customHeight="1" s="203">
      <c r="A904" s="208" t="n"/>
      <c r="B904" s="208" t="n"/>
      <c r="C904" s="208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8" t="n"/>
      <c r="AF904" s="208" t="n"/>
      <c r="AG904" s="208" t="n"/>
    </row>
    <row r="905" ht="12.75" customHeight="1" s="203">
      <c r="A905" s="208" t="n"/>
      <c r="B905" s="208" t="n"/>
      <c r="C905" s="208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8" t="n"/>
      <c r="AF905" s="208" t="n"/>
      <c r="AG905" s="208" t="n"/>
    </row>
    <row r="906" ht="12.75" customHeight="1" s="203">
      <c r="A906" s="208" t="n"/>
      <c r="B906" s="208" t="n"/>
      <c r="C906" s="208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8" t="n"/>
      <c r="AF906" s="208" t="n"/>
      <c r="AG906" s="208" t="n"/>
    </row>
    <row r="907" ht="12.75" customHeight="1" s="203">
      <c r="A907" s="208" t="n"/>
      <c r="B907" s="208" t="n"/>
      <c r="C907" s="208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8" t="n"/>
      <c r="AF907" s="208" t="n"/>
      <c r="AG907" s="208" t="n"/>
    </row>
    <row r="908" ht="12.75" customHeight="1" s="203">
      <c r="A908" s="208" t="n"/>
      <c r="B908" s="208" t="n"/>
      <c r="C908" s="208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8" t="n"/>
      <c r="AF908" s="208" t="n"/>
      <c r="AG908" s="208" t="n"/>
    </row>
    <row r="909" ht="12.75" customHeight="1" s="203">
      <c r="A909" s="208" t="n"/>
      <c r="B909" s="208" t="n"/>
      <c r="C909" s="208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8" t="n"/>
      <c r="AF909" s="208" t="n"/>
      <c r="AG909" s="208" t="n"/>
    </row>
    <row r="910" ht="12.75" customHeight="1" s="203">
      <c r="A910" s="208" t="n"/>
      <c r="B910" s="208" t="n"/>
      <c r="C910" s="208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8" t="n"/>
      <c r="AF910" s="208" t="n"/>
      <c r="AG910" s="208" t="n"/>
    </row>
    <row r="911" ht="12.75" customHeight="1" s="203">
      <c r="A911" s="208" t="n"/>
      <c r="B911" s="208" t="n"/>
      <c r="C911" s="208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8" t="n"/>
      <c r="AF911" s="208" t="n"/>
      <c r="AG911" s="208" t="n"/>
    </row>
    <row r="912" ht="12.75" customHeight="1" s="203">
      <c r="A912" s="208" t="n"/>
      <c r="B912" s="208" t="n"/>
      <c r="C912" s="208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8" t="n"/>
      <c r="AF912" s="208" t="n"/>
      <c r="AG912" s="208" t="n"/>
    </row>
    <row r="913" ht="12.75" customHeight="1" s="203">
      <c r="A913" s="208" t="n"/>
      <c r="B913" s="208" t="n"/>
      <c r="C913" s="208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8" t="n"/>
      <c r="AF913" s="208" t="n"/>
      <c r="AG913" s="208" t="n"/>
    </row>
    <row r="914" ht="12.75" customHeight="1" s="203">
      <c r="A914" s="208" t="n"/>
      <c r="B914" s="208" t="n"/>
      <c r="C914" s="208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8" t="n"/>
      <c r="AF914" s="208" t="n"/>
      <c r="AG914" s="208" t="n"/>
    </row>
    <row r="915" ht="12.75" customHeight="1" s="203">
      <c r="A915" s="208" t="n"/>
      <c r="B915" s="208" t="n"/>
      <c r="C915" s="208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8" t="n"/>
      <c r="AF915" s="208" t="n"/>
      <c r="AG915" s="208" t="n"/>
    </row>
    <row r="916" ht="12.75" customHeight="1" s="203">
      <c r="A916" s="208" t="n"/>
      <c r="B916" s="208" t="n"/>
      <c r="C916" s="208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8" t="n"/>
      <c r="AF916" s="208" t="n"/>
      <c r="AG916" s="208" t="n"/>
    </row>
    <row r="917" ht="12.75" customHeight="1" s="203">
      <c r="A917" s="208" t="n"/>
      <c r="B917" s="208" t="n"/>
      <c r="C917" s="208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8" t="n"/>
      <c r="AF917" s="208" t="n"/>
      <c r="AG917" s="208" t="n"/>
    </row>
    <row r="918" ht="12.75" customHeight="1" s="203">
      <c r="A918" s="208" t="n"/>
      <c r="B918" s="208" t="n"/>
      <c r="C918" s="208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8" t="n"/>
      <c r="AF918" s="208" t="n"/>
      <c r="AG918" s="208" t="n"/>
    </row>
    <row r="919" ht="12.75" customHeight="1" s="203">
      <c r="A919" s="208" t="n"/>
      <c r="B919" s="208" t="n"/>
      <c r="C919" s="208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8" t="n"/>
      <c r="AF919" s="208" t="n"/>
      <c r="AG919" s="208" t="n"/>
    </row>
    <row r="920" ht="12.75" customHeight="1" s="203">
      <c r="A920" s="208" t="n"/>
      <c r="B920" s="208" t="n"/>
      <c r="C920" s="208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8" t="n"/>
      <c r="AF920" s="208" t="n"/>
      <c r="AG920" s="208" t="n"/>
    </row>
    <row r="921" ht="12.75" customHeight="1" s="203">
      <c r="A921" s="208" t="n"/>
      <c r="B921" s="208" t="n"/>
      <c r="C921" s="208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8" t="n"/>
      <c r="AF921" s="208" t="n"/>
      <c r="AG921" s="208" t="n"/>
    </row>
    <row r="922" ht="12.75" customHeight="1" s="203">
      <c r="A922" s="208" t="n"/>
      <c r="B922" s="208" t="n"/>
      <c r="C922" s="208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8" t="n"/>
      <c r="AF922" s="208" t="n"/>
      <c r="AG922" s="208" t="n"/>
    </row>
    <row r="923" ht="12.75" customHeight="1" s="203">
      <c r="A923" s="208" t="n"/>
      <c r="B923" s="208" t="n"/>
      <c r="C923" s="208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8" t="n"/>
      <c r="AF923" s="208" t="n"/>
      <c r="AG923" s="208" t="n"/>
    </row>
    <row r="924" ht="12.75" customHeight="1" s="203">
      <c r="A924" s="208" t="n"/>
      <c r="B924" s="208" t="n"/>
      <c r="C924" s="208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8" t="n"/>
      <c r="AF924" s="208" t="n"/>
      <c r="AG924" s="208" t="n"/>
    </row>
    <row r="925" ht="12.75" customHeight="1" s="203">
      <c r="A925" s="208" t="n"/>
      <c r="B925" s="208" t="n"/>
      <c r="C925" s="208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8" t="n"/>
      <c r="AF925" s="208" t="n"/>
      <c r="AG925" s="208" t="n"/>
    </row>
    <row r="926" ht="12.75" customHeight="1" s="203">
      <c r="A926" s="208" t="n"/>
      <c r="B926" s="208" t="n"/>
      <c r="C926" s="208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8" t="n"/>
      <c r="AF926" s="208" t="n"/>
      <c r="AG926" s="208" t="n"/>
    </row>
    <row r="927" ht="12.75" customHeight="1" s="203">
      <c r="A927" s="208" t="n"/>
      <c r="B927" s="208" t="n"/>
      <c r="C927" s="208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8" t="n"/>
      <c r="AF927" s="208" t="n"/>
      <c r="AG927" s="208" t="n"/>
    </row>
    <row r="928" ht="12.75" customHeight="1" s="203">
      <c r="A928" s="208" t="n"/>
      <c r="B928" s="208" t="n"/>
      <c r="C928" s="208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8" t="n"/>
      <c r="AF928" s="208" t="n"/>
      <c r="AG928" s="208" t="n"/>
    </row>
    <row r="929" ht="12.75" customHeight="1" s="203">
      <c r="A929" s="208" t="n"/>
      <c r="B929" s="208" t="n"/>
      <c r="C929" s="208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8" t="n"/>
      <c r="AF929" s="208" t="n"/>
      <c r="AG929" s="208" t="n"/>
    </row>
    <row r="930" ht="12.75" customHeight="1" s="203">
      <c r="A930" s="208" t="n"/>
      <c r="B930" s="208" t="n"/>
      <c r="C930" s="208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8" t="n"/>
      <c r="AF930" s="208" t="n"/>
      <c r="AG930" s="208" t="n"/>
    </row>
    <row r="931" ht="12.75" customHeight="1" s="203">
      <c r="A931" s="208" t="n"/>
      <c r="B931" s="208" t="n"/>
      <c r="C931" s="208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8" t="n"/>
      <c r="AF931" s="208" t="n"/>
      <c r="AG931" s="208" t="n"/>
    </row>
    <row r="932" ht="12.75" customHeight="1" s="203">
      <c r="A932" s="208" t="n"/>
      <c r="B932" s="208" t="n"/>
      <c r="C932" s="208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8" t="n"/>
      <c r="AF932" s="208" t="n"/>
      <c r="AG932" s="20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3" min="3" max="5"/>
    <col width="13.1328125" customWidth="1" style="203" min="6" max="6"/>
    <col width="22.59765625" customWidth="1" style="203" min="7" max="7"/>
    <col width="18.3984375" customWidth="1" style="203" min="8" max="9"/>
  </cols>
  <sheetData>
    <row r="1" ht="12.75" customHeight="1" s="203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3">
      <c r="B2" s="208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3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3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3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3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3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3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3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3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3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3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3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3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3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3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3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3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3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3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3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3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3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3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3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3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3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3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3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3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3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3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3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3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3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3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3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3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3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3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3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3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3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3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3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3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3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3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3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3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3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3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3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3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3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3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3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3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3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3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3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3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3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3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3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3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3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3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3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3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3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3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3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3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3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3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3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3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3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3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3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3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3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3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3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3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3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3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3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3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3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3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3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3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3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3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3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3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3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3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3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3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3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3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3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3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3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3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3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3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3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3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3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3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3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3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3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3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3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3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3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3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3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3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3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3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3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3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3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3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3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3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3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3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3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3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3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3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3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3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3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3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3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3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3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3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3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3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3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3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3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3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3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3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3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3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3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3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3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3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3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3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3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3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3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3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3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3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3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3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3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3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3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3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3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3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3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3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3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3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3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3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3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3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3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3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3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3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3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3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3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3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3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3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3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3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3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3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3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3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3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3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3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3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3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3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3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3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3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3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3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3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3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3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3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3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3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3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3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3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3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3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3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3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3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3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3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3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3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3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3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3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3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3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3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3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3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3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3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3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3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3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3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3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3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3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3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3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3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3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3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3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3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3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3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3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3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3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3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3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3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3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3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3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3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3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3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3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3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3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3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3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3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3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3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3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3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3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3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3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3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3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3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3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3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3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3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3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3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3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3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3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3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3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3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3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3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3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3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3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3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3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3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3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3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3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3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3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3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3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3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3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3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3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3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3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3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3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3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3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3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3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3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3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3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3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3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3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3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3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3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3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3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3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3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3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3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3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3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3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3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3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3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3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3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3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3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3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3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3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3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3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3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3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3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3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3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3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3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3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3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3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3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3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3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3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3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3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3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3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3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3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3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3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3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3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3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3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3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3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3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3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3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3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3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3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3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3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3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3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3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3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3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3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3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3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3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3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3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3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3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3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3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3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3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3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3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3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3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3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3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3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3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3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3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3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3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3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3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3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3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3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3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3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3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3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3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3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3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3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3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3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3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3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3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3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3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3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3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3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3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3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3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3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3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3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3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3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3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3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3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3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3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3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3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3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3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3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3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3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3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3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3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3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3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3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3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3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3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3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3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3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3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3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3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3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3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3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3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3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3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3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3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3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3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3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3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3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3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3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3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3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3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3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3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3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3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3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3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3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3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3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3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3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3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3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3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3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3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3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3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3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3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3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3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3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3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3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3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3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3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3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3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3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3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3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3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3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3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3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3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3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3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3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3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3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3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3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3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3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3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3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3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3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3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3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3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3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3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3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3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3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3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3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3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3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3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3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3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3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3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3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3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3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3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3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3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3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3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3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3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3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3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3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3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3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3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3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3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3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3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3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3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3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3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3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3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3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3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3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3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3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3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3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3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3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3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3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3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3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3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3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3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3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3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3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3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3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3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3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3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3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3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3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3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3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3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3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3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3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3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3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3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3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3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3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3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3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3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3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3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3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3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3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3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3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3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3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3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3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3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3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3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3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3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3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3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3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3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3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3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3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3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3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3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3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3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3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3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3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3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3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3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3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3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3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3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3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3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3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3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3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3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3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3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3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3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3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3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3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3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3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3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3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3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3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3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3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3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3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3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3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3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3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3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3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3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3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3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3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3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3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3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3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3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3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3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3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3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3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3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3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3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3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3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3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3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3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3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3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3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3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3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3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3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3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3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3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3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3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3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3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3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3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3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3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3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3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3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3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3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3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3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3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3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3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3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3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3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3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3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3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3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3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3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3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3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3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3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3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3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3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3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3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3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3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3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3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3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3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3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3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3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3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3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3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3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3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3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3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3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3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3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3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3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3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3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3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3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3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3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3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3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3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3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3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3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3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3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3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3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3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3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3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3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3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3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3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3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3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3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3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3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3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3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3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3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3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3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3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3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3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3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3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3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3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3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3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3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3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3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3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3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3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3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3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3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3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3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3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3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3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3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3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3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3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3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3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3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3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3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3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3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3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3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3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3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3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3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3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3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3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3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3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3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3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3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3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3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3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3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3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3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3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3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3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3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3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3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3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3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3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3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3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3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3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3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3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3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3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3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3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3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3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3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3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3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3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3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3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3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3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3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3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3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3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3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3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3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3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3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3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3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3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3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3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3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3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3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3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3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3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3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3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3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3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3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3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3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3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3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3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3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3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3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3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3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3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3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3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3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3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3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3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3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3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3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3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3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3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3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3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3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3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3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3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3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3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3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3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3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3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3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3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3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3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3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3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3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3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3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3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3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3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3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3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3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3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3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3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3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3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3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3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3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3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3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3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3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3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3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3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3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3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3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3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3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3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8" t="inlineStr">
        <is>
          <t>1월</t>
        </is>
      </c>
      <c r="B9" s="6" t="inlineStr">
        <is>
          <t>01</t>
        </is>
      </c>
      <c r="C9" s="208" t="inlineStr">
        <is>
          <t>1월</t>
        </is>
      </c>
      <c r="D9" s="6" t="n">
        <v>2</v>
      </c>
    </row>
    <row r="10">
      <c r="A10" s="208" t="inlineStr">
        <is>
          <t>2월</t>
        </is>
      </c>
      <c r="B10" s="6" t="inlineStr">
        <is>
          <t>02</t>
        </is>
      </c>
      <c r="C10" s="208" t="inlineStr">
        <is>
          <t>2월</t>
        </is>
      </c>
      <c r="D10" s="6" t="n">
        <v>3</v>
      </c>
    </row>
    <row r="11">
      <c r="A11" s="208" t="inlineStr">
        <is>
          <t>3월</t>
        </is>
      </c>
      <c r="B11" s="6" t="inlineStr">
        <is>
          <t>03</t>
        </is>
      </c>
      <c r="C11" s="208" t="inlineStr">
        <is>
          <t>3월</t>
        </is>
      </c>
      <c r="D11" s="6" t="n">
        <v>4</v>
      </c>
    </row>
    <row r="12">
      <c r="A12" s="208" t="inlineStr">
        <is>
          <t>4월</t>
        </is>
      </c>
      <c r="B12" s="6" t="inlineStr">
        <is>
          <t>04</t>
        </is>
      </c>
      <c r="C12" s="208" t="inlineStr">
        <is>
          <t>4월</t>
        </is>
      </c>
      <c r="D12" s="6" t="n">
        <v>5</v>
      </c>
    </row>
    <row r="13">
      <c r="A13" s="208" t="inlineStr">
        <is>
          <t>5월</t>
        </is>
      </c>
      <c r="B13" s="6" t="inlineStr">
        <is>
          <t>05</t>
        </is>
      </c>
      <c r="C13" s="208" t="inlineStr">
        <is>
          <t>5월</t>
        </is>
      </c>
      <c r="D13" s="6" t="n">
        <v>6</v>
      </c>
    </row>
    <row r="14">
      <c r="A14" s="208" t="inlineStr">
        <is>
          <t>6월</t>
        </is>
      </c>
      <c r="B14" s="6" t="inlineStr">
        <is>
          <t>06</t>
        </is>
      </c>
      <c r="C14" s="208" t="inlineStr">
        <is>
          <t>6월</t>
        </is>
      </c>
      <c r="D14" s="6" t="n">
        <v>7</v>
      </c>
    </row>
    <row r="15">
      <c r="A15" s="208" t="inlineStr">
        <is>
          <t>7월</t>
        </is>
      </c>
      <c r="B15" s="6" t="inlineStr">
        <is>
          <t>07</t>
        </is>
      </c>
      <c r="C15" s="208" t="inlineStr">
        <is>
          <t>7월</t>
        </is>
      </c>
      <c r="D15" s="6" t="n">
        <v>8</v>
      </c>
    </row>
    <row r="16">
      <c r="A16" s="208" t="inlineStr">
        <is>
          <t>8월</t>
        </is>
      </c>
      <c r="B16" s="6" t="inlineStr">
        <is>
          <t>08</t>
        </is>
      </c>
      <c r="C16" s="208" t="inlineStr">
        <is>
          <t>8월</t>
        </is>
      </c>
      <c r="D16" s="6" t="n">
        <v>9</v>
      </c>
    </row>
    <row r="17">
      <c r="A17" s="208" t="inlineStr">
        <is>
          <t>9월</t>
        </is>
      </c>
      <c r="B17" s="6" t="inlineStr">
        <is>
          <t>09</t>
        </is>
      </c>
      <c r="C17" s="208" t="inlineStr">
        <is>
          <t>9월</t>
        </is>
      </c>
      <c r="D17" s="6" t="n">
        <v>10</v>
      </c>
    </row>
    <row r="18">
      <c r="A18" s="208" t="inlineStr">
        <is>
          <t>10월</t>
        </is>
      </c>
      <c r="B18" s="6" t="inlineStr">
        <is>
          <t>10</t>
        </is>
      </c>
      <c r="C18" s="208" t="inlineStr">
        <is>
          <t>10월</t>
        </is>
      </c>
      <c r="D18" s="6" t="n">
        <v>11</v>
      </c>
    </row>
    <row r="19">
      <c r="A19" s="208" t="inlineStr">
        <is>
          <t>11월</t>
        </is>
      </c>
      <c r="B19" s="6" t="inlineStr">
        <is>
          <t>11</t>
        </is>
      </c>
      <c r="C19" s="208" t="inlineStr">
        <is>
          <t>11월</t>
        </is>
      </c>
      <c r="D19" s="6" t="n">
        <v>12</v>
      </c>
    </row>
    <row r="20">
      <c r="A20" s="208" t="inlineStr">
        <is>
          <t>12월</t>
        </is>
      </c>
      <c r="B20" s="6" t="inlineStr">
        <is>
          <t>12</t>
        </is>
      </c>
      <c r="C20" s="208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3" min="1" max="1"/>
    <col width="10" customWidth="1" style="203" min="2" max="2"/>
    <col width="14" customWidth="1" style="203" min="3" max="3"/>
    <col width="34" customWidth="1" style="203" min="4" max="4"/>
    <col width="12" customWidth="1" style="203" min="5" max="5"/>
    <col width="12" customWidth="1" style="203" min="6" max="6"/>
    <col width="14" customWidth="1" style="203" min="7" max="7"/>
    <col width="10" customWidth="1" style="203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1,346원/$  | 연간 합계 52,296,605원 · 월평균 4,358,050원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4094988.26</v>
      </c>
      <c r="C7" s="283" t="n">
        <v>0</v>
      </c>
      <c r="D7" s="283" t="n">
        <v>4094988.26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4217057.6</v>
      </c>
      <c r="C8" s="283" t="n">
        <v>0</v>
      </c>
      <c r="D8" s="283" t="n">
        <v>4217057.6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4597807.072000001</v>
      </c>
      <c r="C9" s="286" t="n">
        <v>35408</v>
      </c>
      <c r="D9" s="286" t="n">
        <v>4633215.072000001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4210309.298</v>
      </c>
      <c r="C10" s="286" t="n">
        <v>5104</v>
      </c>
      <c r="D10" s="286" t="n">
        <v>4215413.298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4290304.078</v>
      </c>
      <c r="C11" s="283" t="n">
        <v>0</v>
      </c>
      <c r="D11" s="283" t="n">
        <v>4290304.078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4330928.08</v>
      </c>
      <c r="C12" s="286" t="n">
        <v>35492</v>
      </c>
      <c r="D12" s="286" t="n">
        <v>4366420.08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4348367.598</v>
      </c>
      <c r="C13" s="283" t="n">
        <v>0</v>
      </c>
      <c r="D13" s="283" t="n">
        <v>4348367.598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4212970.088</v>
      </c>
      <c r="C14" s="283" t="n">
        <v>0</v>
      </c>
      <c r="D14" s="283" t="n">
        <v>4212970.088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5518.599999999999</v>
      </c>
      <c r="C15" s="286" t="n">
        <v>4213578.468</v>
      </c>
      <c r="D15" s="286" t="n">
        <v>4219097.068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4090050.584</v>
      </c>
      <c r="D16" s="292" t="n">
        <v>4090050.584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4374645.016000001</v>
      </c>
      <c r="D17" s="292" t="n">
        <v>4374645.016000001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5234076.652</v>
      </c>
      <c r="D18" s="292" t="n">
        <v>5234076.652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0.1031</v>
      </c>
      <c r="F24" s="307" t="n">
        <v>164737690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7023335</v>
      </c>
      <c r="E25" s="332" t="n">
        <v>0.1036</v>
      </c>
      <c r="F25" s="307" t="n">
        <v>67813100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0.158</v>
      </c>
      <c r="F26" s="307" t="n">
        <v>28310070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0.1563</v>
      </c>
      <c r="F27" s="307" t="n">
        <v>25487700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3507000</v>
      </c>
      <c r="E28" s="332" t="n">
        <v>0.1197</v>
      </c>
      <c r="F28" s="307" t="n">
        <v>29295000</v>
      </c>
    </row>
    <row r="29">
      <c r="A29" s="306" t="inlineStr">
        <is>
          <t>481060</t>
        </is>
      </c>
      <c r="B29" s="306" t="inlineStr">
        <is>
          <t>KODEX 미국30년국채타겟커버드콜(H)</t>
        </is>
      </c>
      <c r="C29" s="306" t="inlineStr">
        <is>
          <t>월배당</t>
        </is>
      </c>
      <c r="D29" s="307" t="n">
        <v>3090600</v>
      </c>
      <c r="E29" s="332" t="n">
        <v>0.1359</v>
      </c>
      <c r="F29" s="307" t="n">
        <v>22735800</v>
      </c>
    </row>
    <row r="30">
      <c r="A30" s="306" t="inlineStr">
        <is>
          <t>329200</t>
        </is>
      </c>
      <c r="B30" s="306" t="inlineStr">
        <is>
          <t>TIGER리츠부동산인프라</t>
        </is>
      </c>
      <c r="C30" s="306" t="inlineStr">
        <is>
          <t>월배당</t>
        </is>
      </c>
      <c r="D30" s="307" t="n">
        <v>1897500</v>
      </c>
      <c r="E30" s="332" t="n">
        <v>0.09390000000000001</v>
      </c>
      <c r="F30" s="307" t="n">
        <v>20200000</v>
      </c>
    </row>
    <row r="31">
      <c r="A31" s="306" t="inlineStr">
        <is>
          <t>498400</t>
        </is>
      </c>
      <c r="B31" s="306" t="inlineStr">
        <is>
          <t>KODEX 200타켓위클리커버드콜</t>
        </is>
      </c>
      <c r="C31" s="306" t="inlineStr">
        <is>
          <t>월배당</t>
        </is>
      </c>
      <c r="D31" s="307" t="n">
        <v>1825057</v>
      </c>
      <c r="E31" s="332" t="n">
        <v>0.1432</v>
      </c>
      <c r="F31" s="307" t="n">
        <v>12742405</v>
      </c>
    </row>
    <row r="32">
      <c r="A32" s="306" t="inlineStr">
        <is>
          <t>468380</t>
        </is>
      </c>
      <c r="B32" s="306" t="inlineStr">
        <is>
          <t>KODEX iShares미국하이일드액티브</t>
        </is>
      </c>
      <c r="C32" s="306" t="inlineStr">
        <is>
          <t>월배당</t>
        </is>
      </c>
      <c r="D32" s="307" t="n">
        <v>1538000</v>
      </c>
      <c r="E32" s="332" t="n">
        <v>0.0726</v>
      </c>
      <c r="F32" s="307" t="n">
        <v>21180000</v>
      </c>
    </row>
    <row r="33">
      <c r="A33" s="306" t="inlineStr">
        <is>
          <t>490490</t>
        </is>
      </c>
      <c r="B33" s="306" t="inlineStr">
        <is>
          <t>SOL미국배당미국채혼합50</t>
        </is>
      </c>
      <c r="C33" s="306" t="inlineStr">
        <is>
          <t>월배당</t>
        </is>
      </c>
      <c r="D33" s="307" t="n">
        <v>1291498</v>
      </c>
      <c r="E33" s="332" t="n">
        <v>0.0314</v>
      </c>
      <c r="F33" s="307" t="n">
        <v>41152170</v>
      </c>
    </row>
    <row r="34">
      <c r="A34" s="306" t="inlineStr">
        <is>
          <t>0219E0</t>
        </is>
      </c>
      <c r="B34" s="306" t="inlineStr">
        <is>
          <t>KODEX 200커버드콜액티브</t>
        </is>
      </c>
      <c r="C34" s="306" t="inlineStr">
        <is>
          <t>월배당</t>
        </is>
      </c>
      <c r="D34" s="307" t="n">
        <v>1205760</v>
      </c>
      <c r="E34" s="332" t="n">
        <v>0.1129</v>
      </c>
      <c r="F34" s="307" t="n">
        <v>10682280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0.133</v>
      </c>
      <c r="F35" s="307" t="n">
        <v>7430400</v>
      </c>
    </row>
    <row r="36">
      <c r="A36" s="306" t="inlineStr">
        <is>
          <t>472170</t>
        </is>
      </c>
      <c r="B36" s="306" t="inlineStr">
        <is>
          <t>TIGER 미국테크TOP10채권혼합</t>
        </is>
      </c>
      <c r="C36" s="306" t="inlineStr">
        <is>
          <t>연/반기</t>
        </is>
      </c>
      <c r="D36" s="307" t="n">
        <v>573561</v>
      </c>
      <c r="E36" s="332" t="n">
        <v>0.0211</v>
      </c>
      <c r="F36" s="307" t="n">
        <v>27199800</v>
      </c>
    </row>
    <row r="37">
      <c r="A37" s="306" t="inlineStr">
        <is>
          <t>446720</t>
        </is>
      </c>
      <c r="B37" s="306" t="inlineStr">
        <is>
          <t>SOL 미국배당다우존스</t>
        </is>
      </c>
      <c r="C37" s="306" t="inlineStr">
        <is>
          <t>월배당</t>
        </is>
      </c>
      <c r="D37" s="307" t="n">
        <v>541310</v>
      </c>
      <c r="E37" s="332" t="n">
        <v>0.0302</v>
      </c>
      <c r="F37" s="307" t="n">
        <v>17908450</v>
      </c>
    </row>
    <row r="38">
      <c r="A38" s="306" t="inlineStr">
        <is>
          <t>482730</t>
        </is>
      </c>
      <c r="B38" s="306" t="inlineStr">
        <is>
          <t>미국S&amp;P500타겟데일리커버드콜</t>
        </is>
      </c>
      <c r="C38" s="306" t="inlineStr">
        <is>
          <t>월배당</t>
        </is>
      </c>
      <c r="D38" s="307" t="n">
        <v>506600</v>
      </c>
      <c r="E38" s="332" t="n">
        <v>0.1037</v>
      </c>
      <c r="F38" s="307" t="n">
        <v>4887500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7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1346</v>
      </c>
      <c r="H44" s="282" t="inlineStr">
        <is>
          <t>실적</t>
        </is>
      </c>
    </row>
    <row r="45">
      <c r="A45" s="347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7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7" t="n">
        <v>46036</v>
      </c>
      <c r="B47" s="282" t="n">
        <v>1</v>
      </c>
      <c r="C47" s="282" t="inlineStr">
        <is>
          <t>481060</t>
        </is>
      </c>
      <c r="D47" s="282" t="inlineStr">
        <is>
          <t>KODEX 미국30년국채타겟커버드콜(H)</t>
        </is>
      </c>
      <c r="E47" s="283" t="n">
        <v>253980</v>
      </c>
      <c r="F47" s="344" t="n"/>
      <c r="G47" s="283" t="n">
        <v>253980</v>
      </c>
      <c r="H47" s="282" t="inlineStr">
        <is>
          <t>실적</t>
        </is>
      </c>
    </row>
    <row r="48">
      <c r="A48" s="347" t="n">
        <v>46036</v>
      </c>
      <c r="B48" s="282" t="n">
        <v>1</v>
      </c>
      <c r="C48" s="282" t="inlineStr">
        <is>
          <t>490490</t>
        </is>
      </c>
      <c r="D48" s="282" t="inlineStr">
        <is>
          <t>SOL미국배당미국채혼합50</t>
        </is>
      </c>
      <c r="E48" s="283" t="n">
        <v>118451</v>
      </c>
      <c r="F48" s="344" t="n"/>
      <c r="G48" s="283" t="n">
        <v>118451</v>
      </c>
      <c r="H48" s="282" t="inlineStr">
        <is>
          <t>실적</t>
        </is>
      </c>
    </row>
    <row r="49">
      <c r="A49" s="347" t="n">
        <v>46036</v>
      </c>
      <c r="B49" s="282" t="n">
        <v>1</v>
      </c>
      <c r="C49" s="282" t="inlineStr">
        <is>
          <t>498400</t>
        </is>
      </c>
      <c r="D49" s="282" t="inlineStr">
        <is>
          <t>KODEX 200타켓위클리커버드콜</t>
        </is>
      </c>
      <c r="E49" s="283" t="n">
        <v>130143</v>
      </c>
      <c r="F49" s="344" t="n"/>
      <c r="G49" s="283" t="n">
        <v>130143</v>
      </c>
      <c r="H49" s="282" t="inlineStr">
        <is>
          <t>실적</t>
        </is>
      </c>
    </row>
    <row r="50">
      <c r="A50" s="347" t="n">
        <v>46051</v>
      </c>
      <c r="B50" s="282" t="n">
        <v>1</v>
      </c>
      <c r="C50" s="282" t="inlineStr">
        <is>
          <t>133690</t>
        </is>
      </c>
      <c r="D50" s="282" t="inlineStr">
        <is>
          <t>TIGER 미국나스닥100</t>
        </is>
      </c>
      <c r="E50" s="283" t="n">
        <v>12825</v>
      </c>
      <c r="F50" s="344" t="n"/>
      <c r="G50" s="283" t="n">
        <v>12825</v>
      </c>
      <c r="H50" s="282" t="inlineStr">
        <is>
          <t>실적</t>
        </is>
      </c>
    </row>
    <row r="51">
      <c r="A51" s="347" t="n">
        <v>46051</v>
      </c>
      <c r="B51" s="282" t="n">
        <v>1</v>
      </c>
      <c r="C51" s="282" t="inlineStr">
        <is>
          <t>329200</t>
        </is>
      </c>
      <c r="D51" s="282" t="inlineStr">
        <is>
          <t>TIGER리츠부동산인프라</t>
        </is>
      </c>
      <c r="E51" s="283" t="n">
        <v>165000</v>
      </c>
      <c r="F51" s="344" t="n"/>
      <c r="G51" s="283" t="n">
        <v>165000</v>
      </c>
      <c r="H51" s="282" t="inlineStr">
        <is>
          <t>실적</t>
        </is>
      </c>
    </row>
    <row r="52">
      <c r="A52" s="347" t="n">
        <v>46051</v>
      </c>
      <c r="B52" s="282" t="n">
        <v>1</v>
      </c>
      <c r="C52" s="282" t="inlineStr">
        <is>
          <t>360750</t>
        </is>
      </c>
      <c r="D52" s="282" t="inlineStr">
        <is>
          <t>TIGER미국S&amp;P500</t>
        </is>
      </c>
      <c r="E52" s="283" t="n">
        <v>14235</v>
      </c>
      <c r="F52" s="344" t="n"/>
      <c r="G52" s="283" t="n">
        <v>14235</v>
      </c>
      <c r="H52" s="282" t="inlineStr">
        <is>
          <t>실적</t>
        </is>
      </c>
    </row>
    <row r="53">
      <c r="A53" s="347" t="n">
        <v>46051</v>
      </c>
      <c r="B53" s="282" t="n">
        <v>1</v>
      </c>
      <c r="C53" s="282" t="inlineStr">
        <is>
          <t>367380</t>
        </is>
      </c>
      <c r="D53" s="282" t="inlineStr">
        <is>
          <t>ACE 미국나스닥100</t>
        </is>
      </c>
      <c r="E53" s="283" t="n">
        <v>12844</v>
      </c>
      <c r="F53" s="344" t="n"/>
      <c r="G53" s="283" t="n">
        <v>12844</v>
      </c>
      <c r="H53" s="282" t="inlineStr">
        <is>
          <t>실적</t>
        </is>
      </c>
    </row>
    <row r="54">
      <c r="A54" s="347" t="n">
        <v>46051</v>
      </c>
      <c r="B54" s="282" t="n">
        <v>1</v>
      </c>
      <c r="C54" s="282" t="inlineStr">
        <is>
          <t>379810</t>
        </is>
      </c>
      <c r="D54" s="282" t="inlineStr">
        <is>
          <t>KODEX 미국나스닥100</t>
        </is>
      </c>
      <c r="E54" s="283" t="n">
        <v>30600</v>
      </c>
      <c r="F54" s="344" t="n"/>
      <c r="G54" s="283" t="n">
        <v>30600</v>
      </c>
      <c r="H54" s="282" t="inlineStr">
        <is>
          <t>실적</t>
        </is>
      </c>
    </row>
    <row r="55">
      <c r="A55" s="347" t="n">
        <v>46051</v>
      </c>
      <c r="B55" s="282" t="n">
        <v>1</v>
      </c>
      <c r="C55" s="282" t="inlineStr">
        <is>
          <t>433330</t>
        </is>
      </c>
      <c r="D55" s="282" t="inlineStr">
        <is>
          <t>SOL 미국 S&amp;P500</t>
        </is>
      </c>
      <c r="E55" s="283" t="n">
        <v>16272</v>
      </c>
      <c r="F55" s="344" t="n"/>
      <c r="G55" s="283" t="n">
        <v>16272</v>
      </c>
      <c r="H55" s="282" t="inlineStr">
        <is>
          <t>실적</t>
        </is>
      </c>
    </row>
    <row r="56">
      <c r="A56" s="347" t="n">
        <v>46051</v>
      </c>
      <c r="B56" s="282" t="n">
        <v>1</v>
      </c>
      <c r="C56" s="282" t="inlineStr">
        <is>
          <t>446720</t>
        </is>
      </c>
      <c r="D56" s="282" t="inlineStr">
        <is>
          <t>SOL 미국배당다우존스</t>
        </is>
      </c>
      <c r="E56" s="283" t="n">
        <v>39900</v>
      </c>
      <c r="F56" s="344" t="n"/>
      <c r="G56" s="283" t="n">
        <v>39900</v>
      </c>
      <c r="H56" s="282" t="inlineStr">
        <is>
          <t>실적</t>
        </is>
      </c>
    </row>
    <row r="57">
      <c r="A57" s="347" t="n">
        <v>46051</v>
      </c>
      <c r="B57" s="282" t="n">
        <v>1</v>
      </c>
      <c r="C57" s="282" t="inlineStr">
        <is>
          <t>458760</t>
        </is>
      </c>
      <c r="D57" s="282" t="inlineStr">
        <is>
          <t>TIGER 미배당다우커버드콜2호</t>
        </is>
      </c>
      <c r="E57" s="283" t="n">
        <v>1351064</v>
      </c>
      <c r="F57" s="344" t="n"/>
      <c r="G57" s="283" t="n">
        <v>1351064</v>
      </c>
      <c r="H57" s="282" t="inlineStr">
        <is>
          <t>실적</t>
        </is>
      </c>
    </row>
    <row r="58">
      <c r="A58" s="347" t="n">
        <v>46051</v>
      </c>
      <c r="B58" s="282" t="n">
        <v>1</v>
      </c>
      <c r="C58" s="282" t="inlineStr">
        <is>
          <t>468380</t>
        </is>
      </c>
      <c r="D58" s="282" t="inlineStr">
        <is>
          <t>KODEX iShares미국하이일드액티브</t>
        </is>
      </c>
      <c r="E58" s="283" t="n">
        <v>146000</v>
      </c>
      <c r="F58" s="344" t="n"/>
      <c r="G58" s="283" t="n">
        <v>146000</v>
      </c>
      <c r="H58" s="282" t="inlineStr">
        <is>
          <t>실적</t>
        </is>
      </c>
    </row>
    <row r="59">
      <c r="A59" s="347" t="n">
        <v>46051</v>
      </c>
      <c r="B59" s="282" t="n">
        <v>1</v>
      </c>
      <c r="C59" s="282" t="inlineStr">
        <is>
          <t>473330</t>
        </is>
      </c>
      <c r="D59" s="282" t="inlineStr">
        <is>
          <t>SOL 미국 30년국채커버드콜(합성)</t>
        </is>
      </c>
      <c r="E59" s="283" t="n">
        <v>72000</v>
      </c>
      <c r="F59" s="344" t="n"/>
      <c r="G59" s="283" t="n">
        <v>72000</v>
      </c>
      <c r="H59" s="282" t="inlineStr">
        <is>
          <t>실적</t>
        </is>
      </c>
    </row>
    <row r="60">
      <c r="A60" s="347" t="n">
        <v>46051</v>
      </c>
      <c r="B60" s="282" t="n">
        <v>1</v>
      </c>
      <c r="C60" s="282" t="inlineStr">
        <is>
          <t>475380</t>
        </is>
      </c>
      <c r="D60" s="282" t="inlineStr">
        <is>
          <t>RISE 글로벌리얼티인컴</t>
        </is>
      </c>
      <c r="E60" s="283" t="n">
        <v>3131</v>
      </c>
      <c r="F60" s="344" t="n"/>
      <c r="G60" s="283" t="n">
        <v>3131</v>
      </c>
      <c r="H60" s="282" t="inlineStr">
        <is>
          <t>실적</t>
        </is>
      </c>
    </row>
    <row r="61">
      <c r="A61" s="347" t="n">
        <v>46051</v>
      </c>
      <c r="B61" s="282" t="n">
        <v>1</v>
      </c>
      <c r="C61" s="282" t="inlineStr">
        <is>
          <t>476550</t>
        </is>
      </c>
      <c r="D61" s="282" t="inlineStr">
        <is>
          <t>TIGER 미국30년국채커버드콜액티브(H)</t>
        </is>
      </c>
      <c r="E61" s="283" t="n">
        <v>33187</v>
      </c>
      <c r="F61" s="344" t="n"/>
      <c r="G61" s="283" t="n">
        <v>33187</v>
      </c>
      <c r="H61" s="282" t="inlineStr">
        <is>
          <t>실적</t>
        </is>
      </c>
    </row>
    <row r="62">
      <c r="A62" s="347" t="n">
        <v>46051</v>
      </c>
      <c r="B62" s="282" t="n">
        <v>1</v>
      </c>
      <c r="C62" s="282" t="inlineStr">
        <is>
          <t>476690</t>
        </is>
      </c>
      <c r="D62" s="282" t="inlineStr">
        <is>
          <t>TIGER 글로벌비만치료제 TOP2 Plus</t>
        </is>
      </c>
      <c r="E62" s="283" t="n">
        <v>1200</v>
      </c>
      <c r="F62" s="344" t="n"/>
      <c r="G62" s="283" t="n">
        <v>1200</v>
      </c>
      <c r="H62" s="282" t="inlineStr">
        <is>
          <t>실적</t>
        </is>
      </c>
    </row>
    <row r="63">
      <c r="A63" s="347" t="n">
        <v>46051</v>
      </c>
      <c r="B63" s="282" t="n">
        <v>1</v>
      </c>
      <c r="C63" s="282" t="inlineStr">
        <is>
          <t>482730</t>
        </is>
      </c>
      <c r="D63" s="282" t="inlineStr">
        <is>
          <t>미국S&amp;P500타겟데일리커버드콜</t>
        </is>
      </c>
      <c r="E63" s="283" t="n">
        <v>42500</v>
      </c>
      <c r="F63" s="344" t="n"/>
      <c r="G63" s="283" t="n">
        <v>42500</v>
      </c>
      <c r="H63" s="282" t="inlineStr">
        <is>
          <t>실적</t>
        </is>
      </c>
    </row>
    <row r="64">
      <c r="A64" s="347" t="n">
        <v>46051</v>
      </c>
      <c r="B64" s="282" t="n">
        <v>1</v>
      </c>
      <c r="C64" s="282" t="inlineStr">
        <is>
          <t>483280</t>
        </is>
      </c>
      <c r="D64" s="282" t="inlineStr">
        <is>
          <t>KODEX 미국AI테크TOP10타겟커버드콜</t>
        </is>
      </c>
      <c r="E64" s="283" t="n">
        <v>353934</v>
      </c>
      <c r="F64" s="344" t="n"/>
      <c r="G64" s="283" t="n">
        <v>353934</v>
      </c>
      <c r="H64" s="282" t="inlineStr">
        <is>
          <t>실적</t>
        </is>
      </c>
    </row>
    <row r="65">
      <c r="A65" s="347" t="n">
        <v>46051</v>
      </c>
      <c r="B65" s="282" t="n">
        <v>1</v>
      </c>
      <c r="C65" s="282" t="inlineStr">
        <is>
          <t>498270</t>
        </is>
      </c>
      <c r="D65" s="282" t="inlineStr">
        <is>
          <t>KIWOOM 미국양자컴퓨팅</t>
        </is>
      </c>
      <c r="E65" s="283" t="n">
        <v>5940</v>
      </c>
      <c r="F65" s="344" t="n"/>
      <c r="G65" s="283" t="n">
        <v>5940</v>
      </c>
      <c r="H65" s="282" t="inlineStr">
        <is>
          <t>실적</t>
        </is>
      </c>
    </row>
    <row r="66">
      <c r="A66" s="347" t="n">
        <v>46051</v>
      </c>
      <c r="B66" s="282" t="n">
        <v>1</v>
      </c>
      <c r="C66" s="282" t="inlineStr">
        <is>
          <t>498410</t>
        </is>
      </c>
      <c r="D66" s="282" t="inlineStr">
        <is>
          <t>KODEX금융고배당TOP10타겟위클리커버드콜</t>
        </is>
      </c>
      <c r="E66" s="283" t="n">
        <v>368435</v>
      </c>
      <c r="F66" s="344" t="n"/>
      <c r="G66" s="283" t="n">
        <v>368435</v>
      </c>
      <c r="H66" s="282" t="inlineStr">
        <is>
          <t>실적</t>
        </is>
      </c>
    </row>
    <row r="67">
      <c r="A67" s="347" t="n">
        <v>46052</v>
      </c>
      <c r="B67" s="282" t="n">
        <v>1</v>
      </c>
      <c r="C67" s="282" t="inlineStr">
        <is>
          <t>O</t>
        </is>
      </c>
      <c r="D67" s="282" t="inlineStr">
        <is>
          <t>리얼티인컴</t>
        </is>
      </c>
      <c r="E67" s="283" t="n"/>
      <c r="F67" s="344" t="n">
        <v>14.31</v>
      </c>
      <c r="G67" s="283" t="n">
        <v>19261.26</v>
      </c>
      <c r="H67" s="282" t="inlineStr">
        <is>
          <t>실적</t>
        </is>
      </c>
    </row>
    <row r="68">
      <c r="A68" s="347" t="n">
        <v>46062</v>
      </c>
      <c r="B68" s="282" t="n">
        <v>2</v>
      </c>
      <c r="C68" s="282" t="inlineStr">
        <is>
          <t>AAPL</t>
        </is>
      </c>
      <c r="D68" s="282" t="inlineStr">
        <is>
          <t>애플</t>
        </is>
      </c>
      <c r="E68" s="283" t="n"/>
      <c r="F68" s="344" t="n">
        <v>2.34</v>
      </c>
      <c r="G68" s="283" t="n">
        <v>3149.64</v>
      </c>
      <c r="H68" s="282" t="inlineStr">
        <is>
          <t>실적</t>
        </is>
      </c>
    </row>
    <row r="69">
      <c r="A69" s="347" t="n">
        <v>46065</v>
      </c>
      <c r="B69" s="282" t="n">
        <v>2</v>
      </c>
      <c r="C69" s="282" t="inlineStr">
        <is>
          <t>0008S0</t>
        </is>
      </c>
      <c r="D69" s="282" t="inlineStr">
        <is>
          <t>TIGER 미국배당다우존스타겟데일리커버드콜</t>
        </is>
      </c>
      <c r="E69" s="283" t="n">
        <v>306000</v>
      </c>
      <c r="F69" s="344" t="n"/>
      <c r="G69" s="283" t="n">
        <v>306000</v>
      </c>
      <c r="H69" s="282" t="inlineStr">
        <is>
          <t>실적</t>
        </is>
      </c>
    </row>
    <row r="70">
      <c r="A70" s="347" t="n">
        <v>46065</v>
      </c>
      <c r="B70" s="282" t="n">
        <v>2</v>
      </c>
      <c r="C70" s="282" t="inlineStr">
        <is>
          <t>474220</t>
        </is>
      </c>
      <c r="D70" s="282" t="inlineStr">
        <is>
          <t>TIGER미국테크TOP10커버드콜</t>
        </is>
      </c>
      <c r="E70" s="283" t="n">
        <v>594690</v>
      </c>
      <c r="F70" s="344" t="n"/>
      <c r="G70" s="283" t="n">
        <v>594690</v>
      </c>
      <c r="H70" s="282" t="inlineStr">
        <is>
          <t>실적</t>
        </is>
      </c>
    </row>
    <row r="71">
      <c r="A71" s="347" t="n">
        <v>46065</v>
      </c>
      <c r="B71" s="282" t="n">
        <v>2</v>
      </c>
      <c r="C71" s="282" t="inlineStr">
        <is>
          <t>481060</t>
        </is>
      </c>
      <c r="D71" s="282" t="inlineStr">
        <is>
          <t>KODEX 미국30년국채타겟커버드콜(H)</t>
        </is>
      </c>
      <c r="E71" s="283" t="n">
        <v>253980</v>
      </c>
      <c r="F71" s="344" t="n"/>
      <c r="G71" s="283" t="n">
        <v>253980</v>
      </c>
      <c r="H71" s="282" t="inlineStr">
        <is>
          <t>실적</t>
        </is>
      </c>
    </row>
    <row r="72">
      <c r="A72" s="347" t="n">
        <v>46065</v>
      </c>
      <c r="B72" s="282" t="n">
        <v>2</v>
      </c>
      <c r="C72" s="282" t="inlineStr">
        <is>
          <t>490490</t>
        </is>
      </c>
      <c r="D72" s="282" t="inlineStr">
        <is>
          <t>SOL미국배당미국채혼합50</t>
        </is>
      </c>
      <c r="E72" s="283" t="n">
        <v>91704</v>
      </c>
      <c r="F72" s="344" t="n"/>
      <c r="G72" s="283" t="n">
        <v>91704</v>
      </c>
      <c r="H72" s="282" t="inlineStr">
        <is>
          <t>실적</t>
        </is>
      </c>
    </row>
    <row r="73">
      <c r="A73" s="347" t="n">
        <v>46065</v>
      </c>
      <c r="B73" s="282" t="n">
        <v>2</v>
      </c>
      <c r="C73" s="282" t="inlineStr">
        <is>
          <t>498400</t>
        </is>
      </c>
      <c r="D73" s="282" t="inlineStr">
        <is>
          <t>KODEX 200타켓위클리커버드콜</t>
        </is>
      </c>
      <c r="E73" s="283" t="n">
        <v>149084</v>
      </c>
      <c r="F73" s="344" t="n"/>
      <c r="G73" s="283" t="n">
        <v>149084</v>
      </c>
      <c r="H73" s="282" t="inlineStr">
        <is>
          <t>실적</t>
        </is>
      </c>
    </row>
    <row r="74">
      <c r="A74" s="347" t="n">
        <v>46065</v>
      </c>
      <c r="B74" s="282" t="n">
        <v>2</v>
      </c>
      <c r="C74" s="282" t="inlineStr">
        <is>
          <t>XOM</t>
        </is>
      </c>
      <c r="D74" s="282" t="inlineStr">
        <is>
          <t>엑슨모빌</t>
        </is>
      </c>
      <c r="E74" s="283" t="n"/>
      <c r="F74" s="344" t="n">
        <v>1.03</v>
      </c>
      <c r="G74" s="283" t="n">
        <v>1386.38</v>
      </c>
      <c r="H74" s="282" t="inlineStr">
        <is>
          <t>실적</t>
        </is>
      </c>
    </row>
    <row r="75">
      <c r="A75" s="347" t="n">
        <v>46066</v>
      </c>
      <c r="B75" s="282" t="n">
        <v>2</v>
      </c>
      <c r="C75" s="282" t="inlineStr">
        <is>
          <t>SBUX</t>
        </is>
      </c>
      <c r="D75" s="282" t="inlineStr">
        <is>
          <t>스타벅스</t>
        </is>
      </c>
      <c r="E75" s="283" t="n"/>
      <c r="F75" s="344" t="n">
        <v>1.24</v>
      </c>
      <c r="G75" s="283" t="n">
        <v>1669.04</v>
      </c>
      <c r="H75" s="282" t="inlineStr">
        <is>
          <t>실적</t>
        </is>
      </c>
    </row>
    <row r="76">
      <c r="A76" s="347" t="n">
        <v>46070</v>
      </c>
      <c r="B76" s="282" t="n">
        <v>2</v>
      </c>
      <c r="C76" s="282" t="inlineStr">
        <is>
          <t>CVX</t>
        </is>
      </c>
      <c r="D76" s="282" t="inlineStr">
        <is>
          <t>셰브론</t>
        </is>
      </c>
      <c r="E76" s="283" t="n"/>
      <c r="F76" s="344" t="n">
        <v>1.78</v>
      </c>
      <c r="G76" s="283" t="n">
        <v>2395.88</v>
      </c>
      <c r="H76" s="282" t="inlineStr">
        <is>
          <t>실적</t>
        </is>
      </c>
    </row>
    <row r="77">
      <c r="A77" s="347" t="n">
        <v>46072</v>
      </c>
      <c r="B77" s="282" t="n">
        <v>2</v>
      </c>
      <c r="C77" s="282" t="inlineStr">
        <is>
          <t>MSFT</t>
        </is>
      </c>
      <c r="D77" s="282" t="inlineStr">
        <is>
          <t>마이크로소프트</t>
        </is>
      </c>
      <c r="E77" s="283" t="n"/>
      <c r="F77" s="344" t="n">
        <v>1.82</v>
      </c>
      <c r="G77" s="283" t="n">
        <v>2449.72</v>
      </c>
      <c r="H77" s="282" t="inlineStr">
        <is>
          <t>실적</t>
        </is>
      </c>
    </row>
    <row r="78">
      <c r="A78" s="347" t="n">
        <v>46079</v>
      </c>
      <c r="B78" s="282" t="n">
        <v>2</v>
      </c>
      <c r="C78" s="282" t="inlineStr">
        <is>
          <t>005389</t>
        </is>
      </c>
      <c r="D78" s="282" t="inlineStr">
        <is>
          <t>현대차3우B</t>
        </is>
      </c>
      <c r="E78" s="283" t="n">
        <v>33150</v>
      </c>
      <c r="F78" s="344" t="n"/>
      <c r="G78" s="283" t="n">
        <v>33150</v>
      </c>
      <c r="H78" s="282" t="inlineStr">
        <is>
          <t>실적</t>
        </is>
      </c>
    </row>
    <row r="79">
      <c r="A79" s="347" t="n">
        <v>46079</v>
      </c>
      <c r="B79" s="282" t="n">
        <v>2</v>
      </c>
      <c r="C79" s="282" t="n">
        <v>105560</v>
      </c>
      <c r="D79" s="282" t="inlineStr">
        <is>
          <t>KB금융</t>
        </is>
      </c>
      <c r="E79" s="283" t="n">
        <v>19260</v>
      </c>
      <c r="F79" s="344" t="n"/>
      <c r="G79" s="283" t="n">
        <v>19260</v>
      </c>
      <c r="H79" s="282" t="inlineStr">
        <is>
          <t>실적</t>
        </is>
      </c>
    </row>
    <row r="80">
      <c r="A80" s="347" t="n">
        <v>46079</v>
      </c>
      <c r="B80" s="282" t="n">
        <v>2</v>
      </c>
      <c r="C80" s="282" t="inlineStr">
        <is>
          <t>329200</t>
        </is>
      </c>
      <c r="D80" s="282" t="inlineStr">
        <is>
          <t>TIGER리츠부동산인프라</t>
        </is>
      </c>
      <c r="E80" s="283" t="n">
        <v>165000</v>
      </c>
      <c r="F80" s="344" t="n"/>
      <c r="G80" s="283" t="n">
        <v>165000</v>
      </c>
      <c r="H80" s="282" t="inlineStr">
        <is>
          <t>실적</t>
        </is>
      </c>
    </row>
    <row r="81">
      <c r="A81" s="347" t="n">
        <v>46079</v>
      </c>
      <c r="B81" s="282" t="n">
        <v>2</v>
      </c>
      <c r="C81" s="282" t="inlineStr">
        <is>
          <t>433330</t>
        </is>
      </c>
      <c r="D81" s="282" t="inlineStr">
        <is>
          <t>SOL 미국 S&amp;P500</t>
        </is>
      </c>
      <c r="E81" s="283" t="n">
        <v>18984</v>
      </c>
      <c r="F81" s="344" t="n"/>
      <c r="G81" s="283" t="n">
        <v>18984</v>
      </c>
      <c r="H81" s="282" t="inlineStr">
        <is>
          <t>실적</t>
        </is>
      </c>
    </row>
    <row r="82">
      <c r="A82" s="347" t="n">
        <v>46079</v>
      </c>
      <c r="B82" s="282" t="n">
        <v>2</v>
      </c>
      <c r="C82" s="282" t="inlineStr">
        <is>
          <t>446720</t>
        </is>
      </c>
      <c r="D82" s="282" t="inlineStr">
        <is>
          <t>SOL 미국배당다우존스</t>
        </is>
      </c>
      <c r="E82" s="283" t="n">
        <v>46550</v>
      </c>
      <c r="F82" s="344" t="n"/>
      <c r="G82" s="283" t="n">
        <v>46550</v>
      </c>
      <c r="H82" s="282" t="inlineStr">
        <is>
          <t>실적</t>
        </is>
      </c>
    </row>
    <row r="83">
      <c r="A83" s="347" t="n">
        <v>46079</v>
      </c>
      <c r="B83" s="282" t="n">
        <v>2</v>
      </c>
      <c r="C83" s="282" t="inlineStr">
        <is>
          <t>458760</t>
        </is>
      </c>
      <c r="D83" s="282" t="inlineStr">
        <is>
          <t>TIGER 미배당다우커버드콜2호</t>
        </is>
      </c>
      <c r="E83" s="283" t="n">
        <v>1443182</v>
      </c>
      <c r="F83" s="344" t="n"/>
      <c r="G83" s="283" t="n">
        <v>1443182</v>
      </c>
      <c r="H83" s="282" t="inlineStr">
        <is>
          <t>실적</t>
        </is>
      </c>
    </row>
    <row r="84">
      <c r="A84" s="347" t="n">
        <v>46079</v>
      </c>
      <c r="B84" s="282" t="n">
        <v>2</v>
      </c>
      <c r="C84" s="282" t="inlineStr">
        <is>
          <t>468380</t>
        </is>
      </c>
      <c r="D84" s="282" t="inlineStr">
        <is>
          <t>KODEX iShares미국하이일드액티브</t>
        </is>
      </c>
      <c r="E84" s="283" t="n">
        <v>128000</v>
      </c>
      <c r="F84" s="344" t="n"/>
      <c r="G84" s="283" t="n">
        <v>128000</v>
      </c>
      <c r="H84" s="282" t="inlineStr">
        <is>
          <t>실적</t>
        </is>
      </c>
    </row>
    <row r="85">
      <c r="A85" s="347" t="n">
        <v>46079</v>
      </c>
      <c r="B85" s="282" t="n">
        <v>2</v>
      </c>
      <c r="C85" s="282" t="inlineStr">
        <is>
          <t>473330</t>
        </is>
      </c>
      <c r="D85" s="282" t="inlineStr">
        <is>
          <t>SOL 미국 30년국채커버드콜(합성)</t>
        </is>
      </c>
      <c r="E85" s="283" t="n">
        <v>72000</v>
      </c>
      <c r="F85" s="344" t="n"/>
      <c r="G85" s="283" t="n">
        <v>72000</v>
      </c>
      <c r="H85" s="282" t="inlineStr">
        <is>
          <t>실적</t>
        </is>
      </c>
    </row>
    <row r="86">
      <c r="A86" s="347" t="n">
        <v>46079</v>
      </c>
      <c r="B86" s="282" t="n">
        <v>2</v>
      </c>
      <c r="C86" s="282" t="inlineStr">
        <is>
          <t>475380</t>
        </is>
      </c>
      <c r="D86" s="282" t="inlineStr">
        <is>
          <t>RISE 글로벌리얼티인컴</t>
        </is>
      </c>
      <c r="E86" s="283" t="n">
        <v>3131</v>
      </c>
      <c r="F86" s="344" t="n"/>
      <c r="G86" s="283" t="n">
        <v>3131</v>
      </c>
      <c r="H86" s="282" t="inlineStr">
        <is>
          <t>실적</t>
        </is>
      </c>
    </row>
    <row r="87">
      <c r="A87" s="347" t="n">
        <v>46079</v>
      </c>
      <c r="B87" s="282" t="n">
        <v>2</v>
      </c>
      <c r="C87" s="282" t="inlineStr">
        <is>
          <t>476550</t>
        </is>
      </c>
      <c r="D87" s="282" t="inlineStr">
        <is>
          <t>TIGER 미국30년국채커버드콜액티브(H)</t>
        </is>
      </c>
      <c r="E87" s="283" t="n">
        <v>33187</v>
      </c>
      <c r="F87" s="344" t="n"/>
      <c r="G87" s="283" t="n">
        <v>33187</v>
      </c>
      <c r="H87" s="282" t="inlineStr">
        <is>
          <t>실적</t>
        </is>
      </c>
    </row>
    <row r="88">
      <c r="A88" s="347" t="n">
        <v>46079</v>
      </c>
      <c r="B88" s="282" t="n">
        <v>2</v>
      </c>
      <c r="C88" s="282" t="inlineStr">
        <is>
          <t>476690</t>
        </is>
      </c>
      <c r="D88" s="282" t="inlineStr">
        <is>
          <t>TIGER 글로벌비만치료제 TOP2 Plus</t>
        </is>
      </c>
      <c r="E88" s="283" t="n">
        <v>1200</v>
      </c>
      <c r="F88" s="344" t="n"/>
      <c r="G88" s="283" t="n">
        <v>1200</v>
      </c>
      <c r="H88" s="282" t="inlineStr">
        <is>
          <t>실적</t>
        </is>
      </c>
    </row>
    <row r="89">
      <c r="A89" s="347" t="n">
        <v>46079</v>
      </c>
      <c r="B89" s="282" t="n">
        <v>2</v>
      </c>
      <c r="C89" s="282" t="inlineStr">
        <is>
          <t>482730</t>
        </is>
      </c>
      <c r="D89" s="282" t="inlineStr">
        <is>
          <t>미국S&amp;P500타겟데일리커버드콜</t>
        </is>
      </c>
      <c r="E89" s="283" t="n">
        <v>41225</v>
      </c>
      <c r="F89" s="344" t="n"/>
      <c r="G89" s="283" t="n">
        <v>41225</v>
      </c>
      <c r="H89" s="282" t="inlineStr">
        <is>
          <t>실적</t>
        </is>
      </c>
    </row>
    <row r="90">
      <c r="A90" s="347" t="n">
        <v>46079</v>
      </c>
      <c r="B90" s="282" t="n">
        <v>2</v>
      </c>
      <c r="C90" s="282" t="inlineStr">
        <is>
          <t>483280</t>
        </is>
      </c>
      <c r="D90" s="282" t="inlineStr">
        <is>
          <t>KODEX 미국AI테크TOP10타겟커버드콜</t>
        </is>
      </c>
      <c r="E90" s="283" t="n">
        <v>331674</v>
      </c>
      <c r="F90" s="344" t="n"/>
      <c r="G90" s="283" t="n">
        <v>331674</v>
      </c>
      <c r="H90" s="282" t="inlineStr">
        <is>
          <t>실적</t>
        </is>
      </c>
    </row>
    <row r="91">
      <c r="A91" s="347" t="n">
        <v>46079</v>
      </c>
      <c r="B91" s="282" t="n">
        <v>2</v>
      </c>
      <c r="C91" s="282" t="inlineStr">
        <is>
          <t>498410</t>
        </is>
      </c>
      <c r="D91" s="282" t="inlineStr">
        <is>
          <t>KODEX금융고배당TOP10타겟위클리커버드콜</t>
        </is>
      </c>
      <c r="E91" s="283" t="n">
        <v>449253</v>
      </c>
      <c r="F91" s="344" t="n"/>
      <c r="G91" s="283" t="n">
        <v>449253</v>
      </c>
      <c r="H91" s="282" t="inlineStr">
        <is>
          <t>실적</t>
        </is>
      </c>
    </row>
    <row r="92">
      <c r="A92" s="347" t="n">
        <v>46080</v>
      </c>
      <c r="B92" s="282" t="n">
        <v>2</v>
      </c>
      <c r="C92" s="282" t="inlineStr">
        <is>
          <t>O</t>
        </is>
      </c>
      <c r="D92" s="282" t="inlineStr">
        <is>
          <t>리얼티인컴</t>
        </is>
      </c>
      <c r="E92" s="283" t="n"/>
      <c r="F92" s="344" t="n">
        <v>14.31</v>
      </c>
      <c r="G92" s="283" t="n">
        <v>19261.26</v>
      </c>
      <c r="H92" s="282" t="inlineStr">
        <is>
          <t>실적</t>
        </is>
      </c>
    </row>
    <row r="93">
      <c r="A93" s="347" t="n">
        <v>46080</v>
      </c>
      <c r="B93" s="282" t="n">
        <v>2</v>
      </c>
      <c r="C93" s="282" t="inlineStr">
        <is>
          <t>TMUS</t>
        </is>
      </c>
      <c r="D93" s="282" t="inlineStr">
        <is>
          <t>T-모바일</t>
        </is>
      </c>
      <c r="E93" s="283" t="n"/>
      <c r="F93" s="344" t="n">
        <v>4.08</v>
      </c>
      <c r="G93" s="283" t="n">
        <v>5491.68</v>
      </c>
      <c r="H93" s="282" t="inlineStr">
        <is>
          <t>실적</t>
        </is>
      </c>
    </row>
    <row r="94">
      <c r="A94" s="347" t="n">
        <v>46083</v>
      </c>
      <c r="B94" s="282" t="n">
        <v>3</v>
      </c>
      <c r="C94" s="282" t="inlineStr">
        <is>
          <t>NKE</t>
        </is>
      </c>
      <c r="D94" s="282" t="inlineStr">
        <is>
          <t>나이키</t>
        </is>
      </c>
      <c r="E94" s="283" t="n"/>
      <c r="F94" s="344" t="n">
        <v>4.1</v>
      </c>
      <c r="G94" s="283" t="n">
        <v>5518.599999999999</v>
      </c>
      <c r="H94" s="282" t="inlineStr">
        <is>
          <t>실적</t>
        </is>
      </c>
    </row>
    <row r="95">
      <c r="A95" s="347" t="n">
        <v>46093</v>
      </c>
      <c r="B95" s="282" t="n">
        <v>3</v>
      </c>
      <c r="C95" s="282" t="inlineStr">
        <is>
          <t>0008S0</t>
        </is>
      </c>
      <c r="D95" s="282" t="inlineStr">
        <is>
          <t>TIGER 미국배당다우존스타겟데일리커버드콜</t>
        </is>
      </c>
      <c r="E95" s="283" t="n">
        <v>303000</v>
      </c>
      <c r="F95" s="344" t="n"/>
      <c r="G95" s="283" t="n">
        <v>303000</v>
      </c>
      <c r="H95" s="282" t="inlineStr">
        <is>
          <t>실적</t>
        </is>
      </c>
    </row>
    <row r="96">
      <c r="A96" s="347" t="n">
        <v>46093</v>
      </c>
      <c r="B96" s="282" t="n">
        <v>3</v>
      </c>
      <c r="C96" s="282" t="inlineStr">
        <is>
          <t>352820</t>
        </is>
      </c>
      <c r="D96" s="282" t="inlineStr">
        <is>
          <t>하이브</t>
        </is>
      </c>
      <c r="E96" s="283" t="n">
        <v>9000</v>
      </c>
      <c r="F96" s="344" t="n"/>
      <c r="G96" s="283" t="n">
        <v>9000</v>
      </c>
      <c r="H96" s="282" t="inlineStr">
        <is>
          <t>실적</t>
        </is>
      </c>
    </row>
    <row r="97">
      <c r="A97" s="347" t="n">
        <v>46093</v>
      </c>
      <c r="B97" s="282" t="n">
        <v>3</v>
      </c>
      <c r="C97" s="282" t="inlineStr">
        <is>
          <t>474220</t>
        </is>
      </c>
      <c r="D97" s="282" t="inlineStr">
        <is>
          <t>TIGER미국테크TOP10커버드콜</t>
        </is>
      </c>
      <c r="E97" s="283" t="n">
        <v>580860</v>
      </c>
      <c r="F97" s="344" t="n"/>
      <c r="G97" s="283" t="n">
        <v>580860</v>
      </c>
      <c r="H97" s="282" t="inlineStr">
        <is>
          <t>실적</t>
        </is>
      </c>
    </row>
    <row r="98">
      <c r="A98" s="347" t="n">
        <v>46093</v>
      </c>
      <c r="B98" s="282" t="n">
        <v>3</v>
      </c>
      <c r="C98" s="282" t="inlineStr">
        <is>
          <t>481060</t>
        </is>
      </c>
      <c r="D98" s="282" t="inlineStr">
        <is>
          <t>KODEX 미국30년국채타겟커버드콜(H)</t>
        </is>
      </c>
      <c r="E98" s="283" t="n">
        <v>250920</v>
      </c>
      <c r="F98" s="344" t="n"/>
      <c r="G98" s="283" t="n">
        <v>250920</v>
      </c>
      <c r="H98" s="282" t="inlineStr">
        <is>
          <t>실적</t>
        </is>
      </c>
    </row>
    <row r="99">
      <c r="A99" s="347" t="n">
        <v>46093</v>
      </c>
      <c r="B99" s="282" t="n">
        <v>3</v>
      </c>
      <c r="C99" s="282" t="inlineStr">
        <is>
          <t>490490</t>
        </is>
      </c>
      <c r="D99" s="282" t="inlineStr">
        <is>
          <t>SOL미국배당미국채혼합50</t>
        </is>
      </c>
      <c r="E99" s="283" t="n">
        <v>114630</v>
      </c>
      <c r="F99" s="344" t="n"/>
      <c r="G99" s="283" t="n">
        <v>114630</v>
      </c>
      <c r="H99" s="282" t="inlineStr">
        <is>
          <t>실적</t>
        </is>
      </c>
    </row>
    <row r="100">
      <c r="A100" s="347" t="n">
        <v>46093</v>
      </c>
      <c r="B100" s="282" t="n">
        <v>3</v>
      </c>
      <c r="C100" s="282" t="inlineStr">
        <is>
          <t>498400</t>
        </is>
      </c>
      <c r="D100" s="282" t="inlineStr">
        <is>
          <t>KODEX 200타켓위클리커버드콜</t>
        </is>
      </c>
      <c r="E100" s="283" t="n">
        <v>153972</v>
      </c>
      <c r="F100" s="344" t="n"/>
      <c r="G100" s="283" t="n">
        <v>153972</v>
      </c>
      <c r="H100" s="282" t="inlineStr">
        <is>
          <t>실적</t>
        </is>
      </c>
    </row>
    <row r="101">
      <c r="A101" s="347" t="n">
        <v>46098</v>
      </c>
      <c r="B101" s="282" t="n">
        <v>3</v>
      </c>
      <c r="C101" s="282" t="inlineStr">
        <is>
          <t>TSM</t>
        </is>
      </c>
      <c r="D101" s="282" t="inlineStr">
        <is>
          <t>TSMC</t>
        </is>
      </c>
      <c r="E101" s="283" t="n"/>
      <c r="F101" s="344" t="n">
        <v>0.956</v>
      </c>
      <c r="G101" s="283" t="n">
        <v>1286.776</v>
      </c>
      <c r="H101" s="282" t="inlineStr">
        <is>
          <t>실적</t>
        </is>
      </c>
    </row>
    <row r="102">
      <c r="A102" s="347" t="n">
        <v>46105</v>
      </c>
      <c r="B102" s="282" t="n">
        <v>3</v>
      </c>
      <c r="C102" s="282" t="inlineStr">
        <is>
          <t>000270</t>
        </is>
      </c>
      <c r="D102" s="282" t="inlineStr">
        <is>
          <t>기아</t>
        </is>
      </c>
      <c r="E102" s="283" t="n">
        <v>231200</v>
      </c>
      <c r="F102" s="344" t="n"/>
      <c r="G102" s="283" t="n">
        <v>231200</v>
      </c>
      <c r="H102" s="282" t="inlineStr">
        <is>
          <t>실적</t>
        </is>
      </c>
    </row>
    <row r="103">
      <c r="A103" s="347" t="n">
        <v>46106</v>
      </c>
      <c r="B103" s="282" t="n">
        <v>3</v>
      </c>
      <c r="C103" s="282" t="inlineStr">
        <is>
          <t>QLD</t>
        </is>
      </c>
      <c r="D103" s="282" t="inlineStr">
        <is>
          <t>QLD</t>
        </is>
      </c>
      <c r="E103" s="283" t="n"/>
      <c r="F103" s="344" t="n">
        <v>1.82</v>
      </c>
      <c r="G103" s="283" t="n">
        <v>2449.72</v>
      </c>
      <c r="H103" s="282" t="inlineStr">
        <is>
          <t>실적</t>
        </is>
      </c>
    </row>
    <row r="104">
      <c r="A104" s="347" t="n">
        <v>46106</v>
      </c>
      <c r="B104" s="282" t="n">
        <v>3</v>
      </c>
      <c r="C104" s="282" t="inlineStr">
        <is>
          <t>SCHD</t>
        </is>
      </c>
      <c r="D104" s="282" t="inlineStr">
        <is>
          <t>SCHD</t>
        </is>
      </c>
      <c r="E104" s="283" t="n"/>
      <c r="F104" s="344" t="n">
        <v>6.168</v>
      </c>
      <c r="G104" s="283" t="n">
        <v>8302.128000000001</v>
      </c>
      <c r="H104" s="282" t="inlineStr">
        <is>
          <t>실적</t>
        </is>
      </c>
    </row>
    <row r="105">
      <c r="A105" s="348" t="n">
        <v>46109</v>
      </c>
      <c r="B105" s="291" t="n">
        <v>3</v>
      </c>
      <c r="C105" s="291" t="inlineStr">
        <is>
          <t>005389</t>
        </is>
      </c>
      <c r="D105" s="291" t="inlineStr">
        <is>
          <t>현대차3우B</t>
        </is>
      </c>
      <c r="E105" s="292" t="n">
        <v>26000</v>
      </c>
      <c r="F105" s="346" t="n"/>
      <c r="G105" s="292" t="n">
        <v>26000</v>
      </c>
      <c r="H105" s="291" t="inlineStr">
        <is>
          <t>예측</t>
        </is>
      </c>
    </row>
    <row r="106">
      <c r="A106" s="348" t="n">
        <v>46109</v>
      </c>
      <c r="B106" s="291" t="n">
        <v>3</v>
      </c>
      <c r="C106" s="291" t="n">
        <v>105560</v>
      </c>
      <c r="D106" s="291" t="inlineStr">
        <is>
          <t>KB금융</t>
        </is>
      </c>
      <c r="E106" s="292" t="n">
        <v>9408</v>
      </c>
      <c r="F106" s="346" t="n"/>
      <c r="G106" s="292" t="n">
        <v>9408</v>
      </c>
      <c r="H106" s="291" t="inlineStr">
        <is>
          <t>예측</t>
        </is>
      </c>
    </row>
    <row r="107">
      <c r="A107" s="347" t="n">
        <v>46111</v>
      </c>
      <c r="B107" s="282" t="n">
        <v>3</v>
      </c>
      <c r="C107" s="282" t="inlineStr">
        <is>
          <t>005930</t>
        </is>
      </c>
      <c r="D107" s="282" t="inlineStr">
        <is>
          <t>삼성전자</t>
        </is>
      </c>
      <c r="E107" s="283" t="n">
        <v>36828</v>
      </c>
      <c r="F107" s="344" t="n"/>
      <c r="G107" s="283" t="n">
        <v>36828</v>
      </c>
      <c r="H107" s="282" t="inlineStr">
        <is>
          <t>실적</t>
        </is>
      </c>
    </row>
    <row r="108">
      <c r="A108" s="347" t="n">
        <v>46111</v>
      </c>
      <c r="B108" s="282" t="n">
        <v>3</v>
      </c>
      <c r="C108" s="282" t="inlineStr">
        <is>
          <t>024110</t>
        </is>
      </c>
      <c r="D108" s="282" t="inlineStr">
        <is>
          <t>기업은행</t>
        </is>
      </c>
      <c r="E108" s="283" t="n">
        <v>187592</v>
      </c>
      <c r="F108" s="344" t="n"/>
      <c r="G108" s="283" t="n">
        <v>187592</v>
      </c>
      <c r="H108" s="282" t="inlineStr">
        <is>
          <t>실적</t>
        </is>
      </c>
    </row>
    <row r="109">
      <c r="A109" s="347" t="n">
        <v>46111</v>
      </c>
      <c r="B109" s="282" t="n">
        <v>3</v>
      </c>
      <c r="C109" s="282" t="inlineStr">
        <is>
          <t>329200</t>
        </is>
      </c>
      <c r="D109" s="282" t="inlineStr">
        <is>
          <t>TIGER리츠부동산인프라</t>
        </is>
      </c>
      <c r="E109" s="283" t="n">
        <v>165000</v>
      </c>
      <c r="F109" s="344" t="n"/>
      <c r="G109" s="283" t="n">
        <v>165000</v>
      </c>
      <c r="H109" s="282" t="inlineStr">
        <is>
          <t>실적</t>
        </is>
      </c>
    </row>
    <row r="110">
      <c r="A110" s="347" t="n">
        <v>46111</v>
      </c>
      <c r="B110" s="282" t="n">
        <v>3</v>
      </c>
      <c r="C110" s="282" t="inlineStr">
        <is>
          <t>433330</t>
        </is>
      </c>
      <c r="D110" s="282" t="inlineStr">
        <is>
          <t>SOL 미국 S&amp;P500</t>
        </is>
      </c>
      <c r="E110" s="283" t="n">
        <v>28476</v>
      </c>
      <c r="F110" s="344" t="n"/>
      <c r="G110" s="283" t="n">
        <v>28476</v>
      </c>
      <c r="H110" s="282" t="inlineStr">
        <is>
          <t>실적</t>
        </is>
      </c>
    </row>
    <row r="111">
      <c r="A111" s="347" t="n">
        <v>46111</v>
      </c>
      <c r="B111" s="282" t="n">
        <v>3</v>
      </c>
      <c r="C111" s="282" t="inlineStr">
        <is>
          <t>446720</t>
        </is>
      </c>
      <c r="D111" s="282" t="inlineStr">
        <is>
          <t>SOL 미국배당다우존스</t>
        </is>
      </c>
      <c r="E111" s="283" t="n">
        <v>43890</v>
      </c>
      <c r="F111" s="344" t="n"/>
      <c r="G111" s="283" t="n">
        <v>43890</v>
      </c>
      <c r="H111" s="282" t="inlineStr">
        <is>
          <t>실적</t>
        </is>
      </c>
    </row>
    <row r="112">
      <c r="A112" s="347" t="n">
        <v>46111</v>
      </c>
      <c r="B112" s="282" t="n">
        <v>3</v>
      </c>
      <c r="C112" s="282" t="inlineStr">
        <is>
          <t>458760</t>
        </is>
      </c>
      <c r="D112" s="282" t="inlineStr">
        <is>
          <t>TIGER 미배당다우커버드콜2호</t>
        </is>
      </c>
      <c r="E112" s="283" t="n">
        <v>1443182</v>
      </c>
      <c r="F112" s="344" t="n"/>
      <c r="G112" s="283" t="n">
        <v>1443182</v>
      </c>
      <c r="H112" s="282" t="inlineStr">
        <is>
          <t>실적</t>
        </is>
      </c>
    </row>
    <row r="113">
      <c r="A113" s="347" t="n">
        <v>46111</v>
      </c>
      <c r="B113" s="282" t="n">
        <v>3</v>
      </c>
      <c r="C113" s="282" t="inlineStr">
        <is>
          <t>468380</t>
        </is>
      </c>
      <c r="D113" s="282" t="inlineStr">
        <is>
          <t>KODEX iShares미국하이일드액티브</t>
        </is>
      </c>
      <c r="E113" s="283" t="n">
        <v>118000</v>
      </c>
      <c r="F113" s="344" t="n"/>
      <c r="G113" s="283" t="n">
        <v>118000</v>
      </c>
      <c r="H113" s="282" t="inlineStr">
        <is>
          <t>실적</t>
        </is>
      </c>
    </row>
    <row r="114">
      <c r="A114" s="347" t="n">
        <v>46111</v>
      </c>
      <c r="B114" s="282" t="n">
        <v>3</v>
      </c>
      <c r="C114" s="282" t="inlineStr">
        <is>
          <t>473330</t>
        </is>
      </c>
      <c r="D114" s="282" t="inlineStr">
        <is>
          <t>SOL 미국 30년국채커버드콜(합성)</t>
        </is>
      </c>
      <c r="E114" s="283" t="n">
        <v>73920</v>
      </c>
      <c r="F114" s="344" t="n"/>
      <c r="G114" s="283" t="n">
        <v>73920</v>
      </c>
      <c r="H114" s="282" t="inlineStr">
        <is>
          <t>실적</t>
        </is>
      </c>
    </row>
    <row r="115">
      <c r="A115" s="347" t="n">
        <v>46111</v>
      </c>
      <c r="B115" s="282" t="n">
        <v>3</v>
      </c>
      <c r="C115" s="282" t="inlineStr">
        <is>
          <t>475380</t>
        </is>
      </c>
      <c r="D115" s="282" t="inlineStr">
        <is>
          <t>RISE 글로벌리얼티인컴</t>
        </is>
      </c>
      <c r="E115" s="283" t="n">
        <v>3333</v>
      </c>
      <c r="F115" s="344" t="n"/>
      <c r="G115" s="283" t="n">
        <v>3333</v>
      </c>
      <c r="H115" s="282" t="inlineStr">
        <is>
          <t>실적</t>
        </is>
      </c>
    </row>
    <row r="116">
      <c r="A116" s="347" t="n">
        <v>46111</v>
      </c>
      <c r="B116" s="282" t="n">
        <v>3</v>
      </c>
      <c r="C116" s="282" t="inlineStr">
        <is>
          <t>476550</t>
        </is>
      </c>
      <c r="D116" s="282" t="inlineStr">
        <is>
          <t>TIGER 미국30년국채커버드콜액티브(H)</t>
        </is>
      </c>
      <c r="E116" s="283" t="n">
        <v>32325</v>
      </c>
      <c r="F116" s="344" t="n"/>
      <c r="G116" s="283" t="n">
        <v>32325</v>
      </c>
      <c r="H116" s="282" t="inlineStr">
        <is>
          <t>실적</t>
        </is>
      </c>
    </row>
    <row r="117">
      <c r="A117" s="347" t="n">
        <v>46111</v>
      </c>
      <c r="B117" s="282" t="n">
        <v>3</v>
      </c>
      <c r="C117" s="282" t="inlineStr">
        <is>
          <t>476690</t>
        </is>
      </c>
      <c r="D117" s="282" t="inlineStr">
        <is>
          <t>TIGER 글로벌비만치료제 TOP2 Plus</t>
        </is>
      </c>
      <c r="E117" s="283" t="n">
        <v>3300</v>
      </c>
      <c r="F117" s="344" t="n"/>
      <c r="G117" s="283" t="n">
        <v>3300</v>
      </c>
      <c r="H117" s="282" t="inlineStr">
        <is>
          <t>실적</t>
        </is>
      </c>
    </row>
    <row r="118">
      <c r="A118" s="347" t="n">
        <v>46111</v>
      </c>
      <c r="B118" s="282" t="n">
        <v>3</v>
      </c>
      <c r="C118" s="282" t="inlineStr">
        <is>
          <t>482730</t>
        </is>
      </c>
      <c r="D118" s="282" t="inlineStr">
        <is>
          <t>미국S&amp;P500타겟데일리커버드콜</t>
        </is>
      </c>
      <c r="E118" s="283" t="n">
        <v>41225</v>
      </c>
      <c r="F118" s="344" t="n"/>
      <c r="G118" s="283" t="n">
        <v>41225</v>
      </c>
      <c r="H118" s="282" t="inlineStr">
        <is>
          <t>실적</t>
        </is>
      </c>
    </row>
    <row r="119">
      <c r="A119" s="347" t="n">
        <v>46111</v>
      </c>
      <c r="B119" s="282" t="n">
        <v>3</v>
      </c>
      <c r="C119" s="282" t="inlineStr">
        <is>
          <t>483280</t>
        </is>
      </c>
      <c r="D119" s="282" t="inlineStr">
        <is>
          <t>KODEX 미국AI테크TOP10타겟커버드콜</t>
        </is>
      </c>
      <c r="E119" s="283" t="n">
        <v>329448</v>
      </c>
      <c r="F119" s="344" t="n"/>
      <c r="G119" s="283" t="n">
        <v>329448</v>
      </c>
      <c r="H119" s="282" t="inlineStr">
        <is>
          <t>실적</t>
        </is>
      </c>
    </row>
    <row r="120">
      <c r="A120" s="347" t="n">
        <v>46111</v>
      </c>
      <c r="B120" s="282" t="n">
        <v>3</v>
      </c>
      <c r="C120" s="282" t="inlineStr">
        <is>
          <t>498410</t>
        </is>
      </c>
      <c r="D120" s="282" t="inlineStr">
        <is>
          <t>KODEX금융고배당TOP10타겟위클리커버드콜</t>
        </is>
      </c>
      <c r="E120" s="283" t="n">
        <v>385074</v>
      </c>
      <c r="F120" s="344" t="n"/>
      <c r="G120" s="283" t="n">
        <v>385074</v>
      </c>
      <c r="H120" s="282" t="inlineStr">
        <is>
          <t>실적</t>
        </is>
      </c>
    </row>
    <row r="121">
      <c r="A121" s="347" t="n">
        <v>46111</v>
      </c>
      <c r="B121" s="282" t="n">
        <v>3</v>
      </c>
      <c r="C121" s="282" t="inlineStr">
        <is>
          <t>NVO</t>
        </is>
      </c>
      <c r="D121" s="282" t="inlineStr">
        <is>
          <t>노보 노디스크</t>
        </is>
      </c>
      <c r="E121" s="283" t="n"/>
      <c r="F121" s="344" t="n">
        <v>19.125</v>
      </c>
      <c r="G121" s="283" t="n">
        <v>25742.25</v>
      </c>
      <c r="H121" s="282" t="inlineStr">
        <is>
          <t>실적</t>
        </is>
      </c>
    </row>
    <row r="122">
      <c r="A122" s="347" t="n">
        <v>46112</v>
      </c>
      <c r="B122" s="282" t="n">
        <v>3</v>
      </c>
      <c r="C122" s="282" t="inlineStr">
        <is>
          <t>O</t>
        </is>
      </c>
      <c r="D122" s="282" t="inlineStr">
        <is>
          <t>리얼티인컴</t>
        </is>
      </c>
      <c r="E122" s="283" t="n"/>
      <c r="F122" s="344" t="n">
        <v>14.363</v>
      </c>
      <c r="G122" s="283" t="n">
        <v>19332.598</v>
      </c>
      <c r="H122" s="282" t="inlineStr">
        <is>
          <t>실적</t>
        </is>
      </c>
    </row>
    <row r="123">
      <c r="A123" s="347" t="n">
        <v>46114</v>
      </c>
      <c r="B123" s="282" t="n">
        <v>4</v>
      </c>
      <c r="C123" s="282" t="inlineStr">
        <is>
          <t>475560</t>
        </is>
      </c>
      <c r="D123" s="282" t="inlineStr">
        <is>
          <t>더본코리아</t>
        </is>
      </c>
      <c r="E123" s="283" t="n">
        <v>7500</v>
      </c>
      <c r="F123" s="344" t="n"/>
      <c r="G123" s="283" t="n">
        <v>7500</v>
      </c>
      <c r="H123" s="282" t="inlineStr">
        <is>
          <t>실적</t>
        </is>
      </c>
    </row>
    <row r="124">
      <c r="A124" s="347" t="n">
        <v>46121</v>
      </c>
      <c r="B124" s="282" t="n">
        <v>4</v>
      </c>
      <c r="C124" s="282" t="inlineStr">
        <is>
          <t>ORCL</t>
        </is>
      </c>
      <c r="D124" s="282" t="inlineStr">
        <is>
          <t>오라클</t>
        </is>
      </c>
      <c r="E124" s="283" t="n"/>
      <c r="F124" s="344" t="n">
        <v>1</v>
      </c>
      <c r="G124" s="283" t="n">
        <v>1346</v>
      </c>
      <c r="H124" s="282" t="inlineStr">
        <is>
          <t>실적</t>
        </is>
      </c>
    </row>
    <row r="125">
      <c r="A125" s="347" t="n">
        <v>46126</v>
      </c>
      <c r="B125" s="282" t="n">
        <v>4</v>
      </c>
      <c r="C125" s="282" t="inlineStr">
        <is>
          <t>0008S0</t>
        </is>
      </c>
      <c r="D125" s="282" t="inlineStr">
        <is>
          <t>TIGER 미국배당다우존스타겟데일리커버드콜</t>
        </is>
      </c>
      <c r="E125" s="283" t="n">
        <v>303000</v>
      </c>
      <c r="F125" s="344" t="n"/>
      <c r="G125" s="283" t="n">
        <v>303000</v>
      </c>
      <c r="H125" s="282" t="inlineStr">
        <is>
          <t>실적</t>
        </is>
      </c>
    </row>
    <row r="126">
      <c r="A126" s="347" t="n">
        <v>46126</v>
      </c>
      <c r="B126" s="282" t="n">
        <v>4</v>
      </c>
      <c r="C126" s="282" t="inlineStr">
        <is>
          <t>474220</t>
        </is>
      </c>
      <c r="D126" s="282" t="inlineStr">
        <is>
          <t>TIGER미국테크TOP10커버드콜</t>
        </is>
      </c>
      <c r="E126" s="283" t="n">
        <v>580860</v>
      </c>
      <c r="F126" s="344" t="n"/>
      <c r="G126" s="283" t="n">
        <v>580860</v>
      </c>
      <c r="H126" s="282" t="inlineStr">
        <is>
          <t>실적</t>
        </is>
      </c>
    </row>
    <row r="127">
      <c r="A127" s="347" t="n">
        <v>46126</v>
      </c>
      <c r="B127" s="282" t="n">
        <v>4</v>
      </c>
      <c r="C127" s="282" t="inlineStr">
        <is>
          <t>481060</t>
        </is>
      </c>
      <c r="D127" s="282" t="inlineStr">
        <is>
          <t>KODEX 미국30년국채타겟커버드콜(H)</t>
        </is>
      </c>
      <c r="E127" s="283" t="n">
        <v>244800</v>
      </c>
      <c r="F127" s="344" t="n"/>
      <c r="G127" s="283" t="n">
        <v>244800</v>
      </c>
      <c r="H127" s="282" t="inlineStr">
        <is>
          <t>실적</t>
        </is>
      </c>
    </row>
    <row r="128">
      <c r="A128" s="347" t="n">
        <v>46126</v>
      </c>
      <c r="B128" s="282" t="n">
        <v>4</v>
      </c>
      <c r="C128" s="282" t="inlineStr">
        <is>
          <t>490490</t>
        </is>
      </c>
      <c r="D128" s="282" t="inlineStr">
        <is>
          <t>SOL미국배당미국채혼합50</t>
        </is>
      </c>
      <c r="E128" s="283" t="n">
        <v>114630</v>
      </c>
      <c r="F128" s="344" t="n"/>
      <c r="G128" s="283" t="n">
        <v>114630</v>
      </c>
      <c r="H128" s="282" t="inlineStr">
        <is>
          <t>실적</t>
        </is>
      </c>
    </row>
    <row r="129">
      <c r="A129" s="347" t="n">
        <v>46126</v>
      </c>
      <c r="B129" s="282" t="n">
        <v>4</v>
      </c>
      <c r="C129" s="282" t="inlineStr">
        <is>
          <t>498400</t>
        </is>
      </c>
      <c r="D129" s="282" t="inlineStr">
        <is>
          <t>KODEX 200타켓위클리커버드콜</t>
        </is>
      </c>
      <c r="E129" s="283" t="n">
        <v>160082</v>
      </c>
      <c r="F129" s="344" t="n"/>
      <c r="G129" s="283" t="n">
        <v>160082</v>
      </c>
      <c r="H129" s="282" t="inlineStr">
        <is>
          <t>실적</t>
        </is>
      </c>
    </row>
    <row r="130">
      <c r="A130" s="347" t="n">
        <v>46126</v>
      </c>
      <c r="B130" s="282" t="n">
        <v>4</v>
      </c>
      <c r="C130" s="282" t="inlineStr">
        <is>
          <t>AMT</t>
        </is>
      </c>
      <c r="D130" s="282" t="inlineStr">
        <is>
          <t>아메리칸타워</t>
        </is>
      </c>
      <c r="E130" s="283" t="n"/>
      <c r="F130" s="344" t="n">
        <v>8.949999999999999</v>
      </c>
      <c r="G130" s="283" t="n">
        <v>12046.7</v>
      </c>
      <c r="H130" s="282" t="inlineStr">
        <is>
          <t>실적</t>
        </is>
      </c>
    </row>
    <row r="131">
      <c r="A131" s="347" t="n">
        <v>46141</v>
      </c>
      <c r="B131" s="282" t="n">
        <v>4</v>
      </c>
      <c r="C131" s="282" t="inlineStr">
        <is>
          <t>133690</t>
        </is>
      </c>
      <c r="D131" s="282" t="inlineStr">
        <is>
          <t>TIGER 미국나스닥100</t>
        </is>
      </c>
      <c r="E131" s="283" t="n">
        <v>13395</v>
      </c>
      <c r="F131" s="344" t="n"/>
      <c r="G131" s="283" t="n">
        <v>13395</v>
      </c>
      <c r="H131" s="282" t="inlineStr">
        <is>
          <t>실적</t>
        </is>
      </c>
    </row>
    <row r="132">
      <c r="A132" s="347" t="n">
        <v>46141</v>
      </c>
      <c r="B132" s="282" t="n">
        <v>4</v>
      </c>
      <c r="C132" s="282" t="inlineStr">
        <is>
          <t>329200</t>
        </is>
      </c>
      <c r="D132" s="282" t="inlineStr">
        <is>
          <t>TIGER리츠부동산인프라</t>
        </is>
      </c>
      <c r="E132" s="283" t="n">
        <v>165000</v>
      </c>
      <c r="F132" s="344" t="n"/>
      <c r="G132" s="283" t="n">
        <v>165000</v>
      </c>
      <c r="H132" s="282" t="inlineStr">
        <is>
          <t>실적</t>
        </is>
      </c>
    </row>
    <row r="133">
      <c r="A133" s="347" t="n">
        <v>46141</v>
      </c>
      <c r="B133" s="282" t="n">
        <v>4</v>
      </c>
      <c r="C133" s="282" t="inlineStr">
        <is>
          <t>360750</t>
        </is>
      </c>
      <c r="D133" s="282" t="inlineStr">
        <is>
          <t>TIGER미국S&amp;P500</t>
        </is>
      </c>
      <c r="E133" s="283" t="n">
        <v>13578</v>
      </c>
      <c r="F133" s="344" t="n"/>
      <c r="G133" s="283" t="n">
        <v>13578</v>
      </c>
      <c r="H133" s="282" t="inlineStr">
        <is>
          <t>실적</t>
        </is>
      </c>
    </row>
    <row r="134">
      <c r="A134" s="348" t="n">
        <v>46141</v>
      </c>
      <c r="B134" s="291" t="n">
        <v>4</v>
      </c>
      <c r="C134" s="291" t="inlineStr">
        <is>
          <t>364980</t>
        </is>
      </c>
      <c r="D134" s="291" t="inlineStr">
        <is>
          <t>TIGER 2차전지TOP10</t>
        </is>
      </c>
      <c r="E134" s="292" t="n">
        <v>5104</v>
      </c>
      <c r="F134" s="346" t="n"/>
      <c r="G134" s="292" t="n">
        <v>5104</v>
      </c>
      <c r="H134" s="291" t="inlineStr">
        <is>
          <t>예측</t>
        </is>
      </c>
    </row>
    <row r="135">
      <c r="A135" s="347" t="n">
        <v>46141</v>
      </c>
      <c r="B135" s="282" t="n">
        <v>4</v>
      </c>
      <c r="C135" s="282" t="inlineStr">
        <is>
          <t>367380</t>
        </is>
      </c>
      <c r="D135" s="282" t="inlineStr">
        <is>
          <t>ACE 미국나스닥100</t>
        </is>
      </c>
      <c r="E135" s="283" t="n">
        <v>13520</v>
      </c>
      <c r="F135" s="344" t="n"/>
      <c r="G135" s="283" t="n">
        <v>13520</v>
      </c>
      <c r="H135" s="282" t="inlineStr">
        <is>
          <t>실적</t>
        </is>
      </c>
    </row>
    <row r="136">
      <c r="A136" s="347" t="n">
        <v>46141</v>
      </c>
      <c r="B136" s="282" t="n">
        <v>4</v>
      </c>
      <c r="C136" s="282" t="inlineStr">
        <is>
          <t>379810</t>
        </is>
      </c>
      <c r="D136" s="282" t="inlineStr">
        <is>
          <t>KODEX 미국나스닥100</t>
        </is>
      </c>
      <c r="E136" s="283" t="n">
        <v>30600</v>
      </c>
      <c r="F136" s="344" t="n"/>
      <c r="G136" s="283" t="n">
        <v>30600</v>
      </c>
      <c r="H136" s="282" t="inlineStr">
        <is>
          <t>실적</t>
        </is>
      </c>
    </row>
    <row r="137">
      <c r="A137" s="347" t="n">
        <v>46141</v>
      </c>
      <c r="B137" s="282" t="n">
        <v>4</v>
      </c>
      <c r="C137" s="282" t="inlineStr">
        <is>
          <t>433330</t>
        </is>
      </c>
      <c r="D137" s="282" t="inlineStr">
        <is>
          <t>SOL 미국 S&amp;P500</t>
        </is>
      </c>
      <c r="E137" s="283" t="n">
        <v>13560</v>
      </c>
      <c r="F137" s="344" t="n"/>
      <c r="G137" s="283" t="n">
        <v>13560</v>
      </c>
      <c r="H137" s="282" t="inlineStr">
        <is>
          <t>실적</t>
        </is>
      </c>
    </row>
    <row r="138">
      <c r="A138" s="347" t="n">
        <v>46141</v>
      </c>
      <c r="B138" s="282" t="n">
        <v>4</v>
      </c>
      <c r="C138" s="282" t="inlineStr">
        <is>
          <t>446720</t>
        </is>
      </c>
      <c r="D138" s="282" t="inlineStr">
        <is>
          <t>SOL 미국배당다우존스</t>
        </is>
      </c>
      <c r="E138" s="283" t="n">
        <v>39900</v>
      </c>
      <c r="F138" s="344" t="n"/>
      <c r="G138" s="283" t="n">
        <v>39900</v>
      </c>
      <c r="H138" s="282" t="inlineStr">
        <is>
          <t>실적</t>
        </is>
      </c>
    </row>
    <row r="139">
      <c r="A139" s="347" t="n">
        <v>46141</v>
      </c>
      <c r="B139" s="282" t="n">
        <v>4</v>
      </c>
      <c r="C139" s="282" t="inlineStr">
        <is>
          <t>458760</t>
        </is>
      </c>
      <c r="D139" s="282" t="inlineStr">
        <is>
          <t>TIGER 미배당다우커버드콜2호</t>
        </is>
      </c>
      <c r="E139" s="283" t="n">
        <v>1412476</v>
      </c>
      <c r="F139" s="344" t="n"/>
      <c r="G139" s="283" t="n">
        <v>1412476</v>
      </c>
      <c r="H139" s="282" t="inlineStr">
        <is>
          <t>실적</t>
        </is>
      </c>
    </row>
    <row r="140">
      <c r="A140" s="347" t="n">
        <v>46141</v>
      </c>
      <c r="B140" s="282" t="n">
        <v>4</v>
      </c>
      <c r="C140" s="282" t="inlineStr">
        <is>
          <t>468380</t>
        </is>
      </c>
      <c r="D140" s="282" t="inlineStr">
        <is>
          <t>KODEX iShares미국하이일드액티브</t>
        </is>
      </c>
      <c r="E140" s="283" t="n">
        <v>142000</v>
      </c>
      <c r="F140" s="344" t="n"/>
      <c r="G140" s="283" t="n">
        <v>142000</v>
      </c>
      <c r="H140" s="282" t="inlineStr">
        <is>
          <t>실적</t>
        </is>
      </c>
    </row>
    <row r="141">
      <c r="A141" s="347" t="n">
        <v>46141</v>
      </c>
      <c r="B141" s="282" t="n">
        <v>4</v>
      </c>
      <c r="C141" s="282" t="inlineStr">
        <is>
          <t>473330</t>
        </is>
      </c>
      <c r="D141" s="282" t="inlineStr">
        <is>
          <t>SOL 미국 30년국채커버드콜(합성)</t>
        </is>
      </c>
      <c r="E141" s="283" t="n">
        <v>91200</v>
      </c>
      <c r="F141" s="344" t="n"/>
      <c r="G141" s="283" t="n">
        <v>91200</v>
      </c>
      <c r="H141" s="282" t="inlineStr">
        <is>
          <t>실적</t>
        </is>
      </c>
    </row>
    <row r="142">
      <c r="A142" s="347" t="n">
        <v>46141</v>
      </c>
      <c r="B142" s="282" t="n">
        <v>4</v>
      </c>
      <c r="C142" s="282" t="inlineStr">
        <is>
          <t>475380</t>
        </is>
      </c>
      <c r="D142" s="282" t="inlineStr">
        <is>
          <t>RISE 글로벌리얼티인컴</t>
        </is>
      </c>
      <c r="E142" s="283" t="n">
        <v>3535</v>
      </c>
      <c r="F142" s="344" t="n"/>
      <c r="G142" s="283" t="n">
        <v>3535</v>
      </c>
      <c r="H142" s="282" t="inlineStr">
        <is>
          <t>실적</t>
        </is>
      </c>
    </row>
    <row r="143">
      <c r="A143" s="347" t="n">
        <v>46141</v>
      </c>
      <c r="B143" s="282" t="n">
        <v>4</v>
      </c>
      <c r="C143" s="282" t="inlineStr">
        <is>
          <t>476550</t>
        </is>
      </c>
      <c r="D143" s="282" t="inlineStr">
        <is>
          <t>TIGER 미국30년국채커버드콜액티브(H)</t>
        </is>
      </c>
      <c r="E143" s="283" t="n">
        <v>31894</v>
      </c>
      <c r="F143" s="344" t="n"/>
      <c r="G143" s="283" t="n">
        <v>31894</v>
      </c>
      <c r="H143" s="282" t="inlineStr">
        <is>
          <t>실적</t>
        </is>
      </c>
    </row>
    <row r="144">
      <c r="A144" s="347" t="n">
        <v>46141</v>
      </c>
      <c r="B144" s="282" t="n">
        <v>4</v>
      </c>
      <c r="C144" s="282" t="inlineStr">
        <is>
          <t>476690</t>
        </is>
      </c>
      <c r="D144" s="282" t="inlineStr">
        <is>
          <t>TIGER 글로벌비만치료제 TOP2 Plus</t>
        </is>
      </c>
      <c r="E144" s="283" t="n">
        <v>1200</v>
      </c>
      <c r="F144" s="344" t="n"/>
      <c r="G144" s="283" t="n">
        <v>1200</v>
      </c>
      <c r="H144" s="282" t="inlineStr">
        <is>
          <t>실적</t>
        </is>
      </c>
    </row>
    <row r="145">
      <c r="A145" s="347" t="n">
        <v>46141</v>
      </c>
      <c r="B145" s="282" t="n">
        <v>4</v>
      </c>
      <c r="C145" s="282" t="inlineStr">
        <is>
          <t>482730</t>
        </is>
      </c>
      <c r="D145" s="282" t="inlineStr">
        <is>
          <t>미국S&amp;P500타겟데일리커버드콜</t>
        </is>
      </c>
      <c r="E145" s="283" t="n">
        <v>42925</v>
      </c>
      <c r="F145" s="344" t="n"/>
      <c r="G145" s="283" t="n">
        <v>42925</v>
      </c>
      <c r="H145" s="282" t="inlineStr">
        <is>
          <t>실적</t>
        </is>
      </c>
    </row>
    <row r="146">
      <c r="A146" s="347" t="n">
        <v>46141</v>
      </c>
      <c r="B146" s="282" t="n">
        <v>4</v>
      </c>
      <c r="C146" s="282" t="inlineStr">
        <is>
          <t>483280</t>
        </is>
      </c>
      <c r="D146" s="282" t="inlineStr">
        <is>
          <t>KODEX 미국AI테크TOP10타겟커버드콜</t>
        </is>
      </c>
      <c r="E146" s="283" t="n">
        <v>356160</v>
      </c>
      <c r="F146" s="344" t="n"/>
      <c r="G146" s="283" t="n">
        <v>356160</v>
      </c>
      <c r="H146" s="282" t="inlineStr">
        <is>
          <t>실적</t>
        </is>
      </c>
    </row>
    <row r="147">
      <c r="A147" s="347" t="n">
        <v>46141</v>
      </c>
      <c r="B147" s="282" t="n">
        <v>4</v>
      </c>
      <c r="C147" s="282" t="inlineStr">
        <is>
          <t>498270</t>
        </is>
      </c>
      <c r="D147" s="282" t="inlineStr">
        <is>
          <t>KIWOOM 미국양자컴퓨팅</t>
        </is>
      </c>
      <c r="E147" s="283" t="n">
        <v>3564</v>
      </c>
      <c r="F147" s="344" t="n"/>
      <c r="G147" s="283" t="n">
        <v>3564</v>
      </c>
      <c r="H147" s="282" t="inlineStr">
        <is>
          <t>실적</t>
        </is>
      </c>
    </row>
    <row r="148">
      <c r="A148" s="347" t="n">
        <v>46141</v>
      </c>
      <c r="B148" s="282" t="n">
        <v>4</v>
      </c>
      <c r="C148" s="282" t="inlineStr">
        <is>
          <t>498410</t>
        </is>
      </c>
      <c r="D148" s="282" t="inlineStr">
        <is>
          <t>KODEX금융고배당TOP10타겟위클리커버드콜</t>
        </is>
      </c>
      <c r="E148" s="283" t="n">
        <v>392205</v>
      </c>
      <c r="F148" s="344" t="n"/>
      <c r="G148" s="283" t="n">
        <v>392205</v>
      </c>
      <c r="H148" s="282" t="inlineStr">
        <is>
          <t>실적</t>
        </is>
      </c>
    </row>
    <row r="149">
      <c r="A149" s="347" t="n">
        <v>46142</v>
      </c>
      <c r="B149" s="282" t="n">
        <v>4</v>
      </c>
      <c r="C149" s="282" t="inlineStr">
        <is>
          <t>O</t>
        </is>
      </c>
      <c r="D149" s="282" t="inlineStr">
        <is>
          <t>리얼티인컴</t>
        </is>
      </c>
      <c r="E149" s="283" t="n"/>
      <c r="F149" s="344" t="n">
        <v>14.363</v>
      </c>
      <c r="G149" s="283" t="n">
        <v>19332.598</v>
      </c>
      <c r="H149" s="282" t="inlineStr">
        <is>
          <t>실적</t>
        </is>
      </c>
    </row>
    <row r="150">
      <c r="A150" s="347" t="n">
        <v>46149</v>
      </c>
      <c r="B150" s="282" t="n">
        <v>5</v>
      </c>
      <c r="C150" s="282" t="n">
        <v>105560</v>
      </c>
      <c r="D150" s="282" t="inlineStr">
        <is>
          <t>KB금융</t>
        </is>
      </c>
      <c r="E150" s="283" t="n">
        <v>13716</v>
      </c>
      <c r="F150" s="344" t="n"/>
      <c r="G150" s="283" t="n">
        <v>13716</v>
      </c>
      <c r="H150" s="282" t="inlineStr">
        <is>
          <t>실적</t>
        </is>
      </c>
    </row>
    <row r="151">
      <c r="A151" s="347" t="n">
        <v>46153</v>
      </c>
      <c r="B151" s="282" t="n">
        <v>5</v>
      </c>
      <c r="C151" s="282" t="inlineStr">
        <is>
          <t>AAPL</t>
        </is>
      </c>
      <c r="D151" s="282" t="inlineStr">
        <is>
          <t>애플</t>
        </is>
      </c>
      <c r="E151" s="283" t="n"/>
      <c r="F151" s="344" t="n">
        <v>2.43</v>
      </c>
      <c r="G151" s="283" t="n">
        <v>3270.78</v>
      </c>
      <c r="H151" s="282" t="inlineStr">
        <is>
          <t>실적</t>
        </is>
      </c>
    </row>
    <row r="152">
      <c r="A152" s="347" t="n">
        <v>46156</v>
      </c>
      <c r="B152" s="282" t="n">
        <v>5</v>
      </c>
      <c r="C152" s="282" t="inlineStr">
        <is>
          <t>0008S0</t>
        </is>
      </c>
      <c r="D152" s="282" t="inlineStr">
        <is>
          <t>TIGER 미국배당다우존스타겟데일리커버드콜</t>
        </is>
      </c>
      <c r="E152" s="283" t="n">
        <v>306000</v>
      </c>
      <c r="F152" s="344" t="n"/>
      <c r="G152" s="283" t="n">
        <v>306000</v>
      </c>
      <c r="H152" s="282" t="inlineStr">
        <is>
          <t>실적</t>
        </is>
      </c>
    </row>
    <row r="153">
      <c r="A153" s="347" t="n">
        <v>46156</v>
      </c>
      <c r="B153" s="282" t="n">
        <v>5</v>
      </c>
      <c r="C153" s="282" t="inlineStr">
        <is>
          <t>474220</t>
        </is>
      </c>
      <c r="D153" s="282" t="inlineStr">
        <is>
          <t>TIGER미국테크TOP10커버드콜</t>
        </is>
      </c>
      <c r="E153" s="283" t="n">
        <v>636180</v>
      </c>
      <c r="F153" s="344" t="n"/>
      <c r="G153" s="283" t="n">
        <v>636180</v>
      </c>
      <c r="H153" s="282" t="inlineStr">
        <is>
          <t>실적</t>
        </is>
      </c>
    </row>
    <row r="154">
      <c r="A154" s="347" t="n">
        <v>46156</v>
      </c>
      <c r="B154" s="282" t="n">
        <v>5</v>
      </c>
      <c r="C154" s="282" t="inlineStr">
        <is>
          <t>481060</t>
        </is>
      </c>
      <c r="D154" s="282" t="inlineStr">
        <is>
          <t>KODEX 미국30년국채타겟커버드콜(H)</t>
        </is>
      </c>
      <c r="E154" s="283" t="n">
        <v>241740</v>
      </c>
      <c r="F154" s="344" t="n"/>
      <c r="G154" s="283" t="n">
        <v>241740</v>
      </c>
      <c r="H154" s="282" t="inlineStr">
        <is>
          <t>실적</t>
        </is>
      </c>
    </row>
    <row r="155">
      <c r="A155" s="347" t="n">
        <v>46156</v>
      </c>
      <c r="B155" s="282" t="n">
        <v>5</v>
      </c>
      <c r="C155" s="282" t="inlineStr">
        <is>
          <t>490490</t>
        </is>
      </c>
      <c r="D155" s="282" t="inlineStr">
        <is>
          <t>SOL미국배당미국채혼합50</t>
        </is>
      </c>
      <c r="E155" s="283" t="n">
        <v>84062</v>
      </c>
      <c r="F155" s="344" t="n"/>
      <c r="G155" s="283" t="n">
        <v>84062</v>
      </c>
      <c r="H155" s="282" t="inlineStr">
        <is>
          <t>실적</t>
        </is>
      </c>
    </row>
    <row r="156">
      <c r="A156" s="347" t="n">
        <v>46156</v>
      </c>
      <c r="B156" s="282" t="n">
        <v>5</v>
      </c>
      <c r="C156" s="282" t="inlineStr">
        <is>
          <t>498400</t>
        </is>
      </c>
      <c r="D156" s="282" t="inlineStr">
        <is>
          <t>KODEX 200타켓위클리커버드콜</t>
        </is>
      </c>
      <c r="E156" s="283" t="n">
        <v>212628</v>
      </c>
      <c r="F156" s="344" t="n"/>
      <c r="G156" s="283" t="n">
        <v>212628</v>
      </c>
      <c r="H156" s="282" t="inlineStr">
        <is>
          <t>실적</t>
        </is>
      </c>
    </row>
    <row r="157">
      <c r="A157" s="347" t="n">
        <v>46157</v>
      </c>
      <c r="B157" s="282" t="n">
        <v>5</v>
      </c>
      <c r="C157" s="282" t="inlineStr">
        <is>
          <t>SBUX</t>
        </is>
      </c>
      <c r="D157" s="282" t="inlineStr">
        <is>
          <t>스타벅스</t>
        </is>
      </c>
      <c r="E157" s="283" t="n"/>
      <c r="F157" s="344" t="n">
        <v>1.24</v>
      </c>
      <c r="G157" s="283" t="n">
        <v>1669.04</v>
      </c>
      <c r="H157" s="282" t="inlineStr">
        <is>
          <t>실적</t>
        </is>
      </c>
    </row>
    <row r="158">
      <c r="A158" s="347" t="n">
        <v>46157</v>
      </c>
      <c r="B158" s="282" t="n">
        <v>5</v>
      </c>
      <c r="C158" s="282" t="inlineStr">
        <is>
          <t>XOM</t>
        </is>
      </c>
      <c r="D158" s="282" t="inlineStr">
        <is>
          <t>엑슨모빌</t>
        </is>
      </c>
      <c r="E158" s="283" t="n"/>
      <c r="F158" s="344" t="n">
        <v>1.03</v>
      </c>
      <c r="G158" s="283" t="n">
        <v>1386.38</v>
      </c>
      <c r="H158" s="282" t="inlineStr">
        <is>
          <t>실적</t>
        </is>
      </c>
    </row>
    <row r="159">
      <c r="A159" s="347" t="n">
        <v>46161</v>
      </c>
      <c r="B159" s="282" t="n">
        <v>5</v>
      </c>
      <c r="C159" s="282" t="inlineStr">
        <is>
          <t>CVX</t>
        </is>
      </c>
      <c r="D159" s="282" t="inlineStr">
        <is>
          <t>셰브론</t>
        </is>
      </c>
      <c r="E159" s="283" t="n"/>
      <c r="F159" s="344" t="n">
        <v>1.78</v>
      </c>
      <c r="G159" s="283" t="n">
        <v>2395.88</v>
      </c>
      <c r="H159" s="282" t="inlineStr">
        <is>
          <t>실적</t>
        </is>
      </c>
    </row>
    <row r="160">
      <c r="A160" s="347" t="n">
        <v>46163</v>
      </c>
      <c r="B160" s="282" t="n">
        <v>5</v>
      </c>
      <c r="C160" s="282" t="inlineStr">
        <is>
          <t>MSFT</t>
        </is>
      </c>
      <c r="D160" s="282" t="inlineStr">
        <is>
          <t>마이크로소프트</t>
        </is>
      </c>
      <c r="E160" s="283" t="n"/>
      <c r="F160" s="344" t="n">
        <v>1.82</v>
      </c>
      <c r="G160" s="283" t="n">
        <v>2449.72</v>
      </c>
      <c r="H160" s="282" t="inlineStr">
        <is>
          <t>실적</t>
        </is>
      </c>
    </row>
    <row r="161">
      <c r="A161" s="347" t="n">
        <v>46170</v>
      </c>
      <c r="B161" s="282" t="n">
        <v>5</v>
      </c>
      <c r="C161" s="282" t="inlineStr">
        <is>
          <t>005389</t>
        </is>
      </c>
      <c r="D161" s="282" t="inlineStr">
        <is>
          <t>현대차3우B</t>
        </is>
      </c>
      <c r="E161" s="283" t="n">
        <v>32500</v>
      </c>
      <c r="F161" s="344" t="n"/>
      <c r="G161" s="283" t="n">
        <v>32500</v>
      </c>
      <c r="H161" s="282" t="inlineStr">
        <is>
          <t>실적</t>
        </is>
      </c>
    </row>
    <row r="162">
      <c r="A162" s="347" t="n">
        <v>46170</v>
      </c>
      <c r="B162" s="282" t="n">
        <v>5</v>
      </c>
      <c r="C162" s="282" t="inlineStr">
        <is>
          <t>329200</t>
        </is>
      </c>
      <c r="D162" s="282" t="inlineStr">
        <is>
          <t>TIGER리츠부동산인프라</t>
        </is>
      </c>
      <c r="E162" s="283" t="n">
        <v>165000</v>
      </c>
      <c r="F162" s="344" t="n"/>
      <c r="G162" s="283" t="n">
        <v>165000</v>
      </c>
      <c r="H162" s="282" t="inlineStr">
        <is>
          <t>실적</t>
        </is>
      </c>
    </row>
    <row r="163">
      <c r="A163" s="347" t="n">
        <v>46170</v>
      </c>
      <c r="B163" s="282" t="n">
        <v>5</v>
      </c>
      <c r="C163" s="282" t="inlineStr">
        <is>
          <t>433330</t>
        </is>
      </c>
      <c r="D163" s="282" t="inlineStr">
        <is>
          <t>SOL 미국 S&amp;P500</t>
        </is>
      </c>
      <c r="E163" s="283" t="n">
        <v>24408</v>
      </c>
      <c r="F163" s="344" t="n"/>
      <c r="G163" s="283" t="n">
        <v>24408</v>
      </c>
      <c r="H163" s="282" t="inlineStr">
        <is>
          <t>실적</t>
        </is>
      </c>
    </row>
    <row r="164">
      <c r="A164" s="347" t="n">
        <v>46170</v>
      </c>
      <c r="B164" s="282" t="n">
        <v>5</v>
      </c>
      <c r="C164" s="282" t="inlineStr">
        <is>
          <t>446720</t>
        </is>
      </c>
      <c r="D164" s="282" t="inlineStr">
        <is>
          <t>SOL 미국배당다우존스</t>
        </is>
      </c>
      <c r="E164" s="283" t="n">
        <v>43890</v>
      </c>
      <c r="F164" s="344" t="n"/>
      <c r="G164" s="283" t="n">
        <v>43890</v>
      </c>
      <c r="H164" s="282" t="inlineStr">
        <is>
          <t>실적</t>
        </is>
      </c>
    </row>
    <row r="165">
      <c r="A165" s="347" t="n">
        <v>46170</v>
      </c>
      <c r="B165" s="282" t="n">
        <v>5</v>
      </c>
      <c r="C165" s="282" t="inlineStr">
        <is>
          <t>458760</t>
        </is>
      </c>
      <c r="D165" s="282" t="inlineStr">
        <is>
          <t>TIGER 미배당다우커버드콜2호</t>
        </is>
      </c>
      <c r="E165" s="283" t="n">
        <v>1473888</v>
      </c>
      <c r="F165" s="344" t="n"/>
      <c r="G165" s="283" t="n">
        <v>1473888</v>
      </c>
      <c r="H165" s="282" t="inlineStr">
        <is>
          <t>실적</t>
        </is>
      </c>
    </row>
    <row r="166">
      <c r="A166" s="347" t="n">
        <v>46170</v>
      </c>
      <c r="B166" s="282" t="n">
        <v>5</v>
      </c>
      <c r="C166" s="282" t="inlineStr">
        <is>
          <t>468380</t>
        </is>
      </c>
      <c r="D166" s="282" t="inlineStr">
        <is>
          <t>KODEX iShares미국하이일드액티브</t>
        </is>
      </c>
      <c r="E166" s="283" t="n">
        <v>122000</v>
      </c>
      <c r="F166" s="344" t="n"/>
      <c r="G166" s="283" t="n">
        <v>122000</v>
      </c>
      <c r="H166" s="282" t="inlineStr">
        <is>
          <t>실적</t>
        </is>
      </c>
    </row>
    <row r="167">
      <c r="A167" s="347" t="n">
        <v>46170</v>
      </c>
      <c r="B167" s="282" t="n">
        <v>5</v>
      </c>
      <c r="C167" s="282" t="inlineStr">
        <is>
          <t>473330</t>
        </is>
      </c>
      <c r="D167" s="282" t="inlineStr">
        <is>
          <t>SOL 미국 30년국채커버드콜(합성)</t>
        </is>
      </c>
      <c r="E167" s="283" t="n">
        <v>72000</v>
      </c>
      <c r="F167" s="344" t="n"/>
      <c r="G167" s="283" t="n">
        <v>72000</v>
      </c>
      <c r="H167" s="282" t="inlineStr">
        <is>
          <t>실적</t>
        </is>
      </c>
    </row>
    <row r="168">
      <c r="A168" s="347" t="n">
        <v>46170</v>
      </c>
      <c r="B168" s="282" t="n">
        <v>5</v>
      </c>
      <c r="C168" s="282" t="inlineStr">
        <is>
          <t>475380</t>
        </is>
      </c>
      <c r="D168" s="282" t="inlineStr">
        <is>
          <t>RISE 글로벌리얼티인컴</t>
        </is>
      </c>
      <c r="E168" s="283" t="n">
        <v>3535</v>
      </c>
      <c r="F168" s="344" t="n"/>
      <c r="G168" s="283" t="n">
        <v>3535</v>
      </c>
      <c r="H168" s="282" t="inlineStr">
        <is>
          <t>실적</t>
        </is>
      </c>
    </row>
    <row r="169">
      <c r="A169" s="347" t="n">
        <v>46170</v>
      </c>
      <c r="B169" s="282" t="n">
        <v>5</v>
      </c>
      <c r="C169" s="282" t="inlineStr">
        <is>
          <t>476550</t>
        </is>
      </c>
      <c r="D169" s="282" t="inlineStr">
        <is>
          <t>TIGER 미국30년국채커버드콜액티브(H)</t>
        </is>
      </c>
      <c r="E169" s="283" t="n">
        <v>31032</v>
      </c>
      <c r="F169" s="344" t="n"/>
      <c r="G169" s="283" t="n">
        <v>31032</v>
      </c>
      <c r="H169" s="282" t="inlineStr">
        <is>
          <t>실적</t>
        </is>
      </c>
    </row>
    <row r="170">
      <c r="A170" s="347" t="n">
        <v>46170</v>
      </c>
      <c r="B170" s="282" t="n">
        <v>5</v>
      </c>
      <c r="C170" s="282" t="inlineStr">
        <is>
          <t>476690</t>
        </is>
      </c>
      <c r="D170" s="282" t="inlineStr">
        <is>
          <t>TIGER 글로벌비만치료제 TOP2 Plus</t>
        </is>
      </c>
      <c r="E170" s="283" t="n">
        <v>1200</v>
      </c>
      <c r="F170" s="344" t="n"/>
      <c r="G170" s="283" t="n">
        <v>1200</v>
      </c>
      <c r="H170" s="282" t="inlineStr">
        <is>
          <t>실적</t>
        </is>
      </c>
    </row>
    <row r="171">
      <c r="A171" s="347" t="n">
        <v>46170</v>
      </c>
      <c r="B171" s="282" t="n">
        <v>5</v>
      </c>
      <c r="C171" s="282" t="inlineStr">
        <is>
          <t>482730</t>
        </is>
      </c>
      <c r="D171" s="282" t="inlineStr">
        <is>
          <t>미국S&amp;P500타겟데일리커버드콜</t>
        </is>
      </c>
      <c r="E171" s="283" t="n">
        <v>45900</v>
      </c>
      <c r="F171" s="344" t="n"/>
      <c r="G171" s="283" t="n">
        <v>45900</v>
      </c>
      <c r="H171" s="282" t="inlineStr">
        <is>
          <t>실적</t>
        </is>
      </c>
    </row>
    <row r="172">
      <c r="A172" s="347" t="n">
        <v>46170</v>
      </c>
      <c r="B172" s="282" t="n">
        <v>5</v>
      </c>
      <c r="C172" s="282" t="inlineStr">
        <is>
          <t>483280</t>
        </is>
      </c>
      <c r="D172" s="282" t="inlineStr">
        <is>
          <t>KODEX 미국AI테크TOP10타겟커버드콜</t>
        </is>
      </c>
      <c r="E172" s="283" t="n">
        <v>376194</v>
      </c>
      <c r="F172" s="344" t="n"/>
      <c r="G172" s="283" t="n">
        <v>376194</v>
      </c>
      <c r="H172" s="282" t="inlineStr">
        <is>
          <t>실적</t>
        </is>
      </c>
    </row>
    <row r="173">
      <c r="A173" s="347" t="n">
        <v>46170</v>
      </c>
      <c r="B173" s="282" t="n">
        <v>5</v>
      </c>
      <c r="C173" s="282" t="inlineStr">
        <is>
          <t>498410</t>
        </is>
      </c>
      <c r="D173" s="282" t="inlineStr">
        <is>
          <t>KODEX금융고배당TOP10타겟위클리커버드콜</t>
        </is>
      </c>
      <c r="E173" s="283" t="n">
        <v>368435</v>
      </c>
      <c r="F173" s="344" t="n"/>
      <c r="G173" s="283" t="n">
        <v>368435</v>
      </c>
      <c r="H173" s="282" t="inlineStr">
        <is>
          <t>실적</t>
        </is>
      </c>
    </row>
    <row r="174">
      <c r="A174" s="347" t="n">
        <v>46171</v>
      </c>
      <c r="B174" s="282" t="n">
        <v>5</v>
      </c>
      <c r="C174" s="282" t="inlineStr">
        <is>
          <t>O</t>
        </is>
      </c>
      <c r="D174" s="282" t="inlineStr">
        <is>
          <t>리얼티인컴</t>
        </is>
      </c>
      <c r="E174" s="283" t="n"/>
      <c r="F174" s="344" t="n">
        <v>14.363</v>
      </c>
      <c r="G174" s="283" t="n">
        <v>19332.598</v>
      </c>
      <c r="H174" s="282" t="inlineStr">
        <is>
          <t>실적</t>
        </is>
      </c>
    </row>
    <row r="175">
      <c r="A175" s="347" t="n">
        <v>46171</v>
      </c>
      <c r="B175" s="282" t="n">
        <v>5</v>
      </c>
      <c r="C175" s="282" t="inlineStr">
        <is>
          <t>TMUS</t>
        </is>
      </c>
      <c r="D175" s="282" t="inlineStr">
        <is>
          <t>T-모바일</t>
        </is>
      </c>
      <c r="E175" s="283" t="n"/>
      <c r="F175" s="344" t="n">
        <v>4.08</v>
      </c>
      <c r="G175" s="283" t="n">
        <v>5491.68</v>
      </c>
      <c r="H175" s="282" t="inlineStr">
        <is>
          <t>실적</t>
        </is>
      </c>
    </row>
    <row r="176">
      <c r="A176" s="347" t="n">
        <v>46174</v>
      </c>
      <c r="B176" s="282" t="n">
        <v>6</v>
      </c>
      <c r="C176" s="282" t="inlineStr">
        <is>
          <t>NKE</t>
        </is>
      </c>
      <c r="D176" s="282" t="inlineStr">
        <is>
          <t>나이키</t>
        </is>
      </c>
      <c r="E176" s="283" t="n"/>
      <c r="F176" s="344" t="n">
        <v>4.1</v>
      </c>
      <c r="G176" s="283" t="n">
        <v>5518.599999999999</v>
      </c>
      <c r="H176" s="282" t="inlineStr">
        <is>
          <t>실적</t>
        </is>
      </c>
    </row>
    <row r="177">
      <c r="A177" s="347" t="n">
        <v>46177</v>
      </c>
      <c r="B177" s="282" t="n">
        <v>6</v>
      </c>
      <c r="C177" s="282" t="inlineStr">
        <is>
          <t>NVDA</t>
        </is>
      </c>
      <c r="D177" s="282" t="inlineStr">
        <is>
          <t>엔비디아</t>
        </is>
      </c>
      <c r="E177" s="283" t="n"/>
      <c r="F177" s="344" t="n">
        <v>1</v>
      </c>
      <c r="G177" s="283" t="n">
        <v>1346</v>
      </c>
      <c r="H177" s="282" t="inlineStr">
        <is>
          <t>실적</t>
        </is>
      </c>
    </row>
    <row r="178">
      <c r="A178" s="347" t="n">
        <v>46184</v>
      </c>
      <c r="B178" s="282" t="n">
        <v>6</v>
      </c>
      <c r="C178" s="282" t="inlineStr">
        <is>
          <t>TSM</t>
        </is>
      </c>
      <c r="D178" s="282" t="inlineStr">
        <is>
          <t>TSMC</t>
        </is>
      </c>
      <c r="E178" s="283" t="n"/>
      <c r="F178" s="344" t="n">
        <v>0.955</v>
      </c>
      <c r="G178" s="283" t="n">
        <v>1285.43</v>
      </c>
      <c r="H178" s="282" t="inlineStr">
        <is>
          <t>실적</t>
        </is>
      </c>
    </row>
    <row r="179">
      <c r="A179" s="347" t="n">
        <v>46185</v>
      </c>
      <c r="B179" s="282" t="n">
        <v>6</v>
      </c>
      <c r="C179" s="282" t="inlineStr">
        <is>
          <t>0008S0</t>
        </is>
      </c>
      <c r="D179" s="282" t="inlineStr">
        <is>
          <t>TIGER 미국배당다우존스타겟데일리커버드콜</t>
        </is>
      </c>
      <c r="E179" s="283" t="n">
        <v>318000</v>
      </c>
      <c r="F179" s="344" t="n"/>
      <c r="G179" s="283" t="n">
        <v>318000</v>
      </c>
      <c r="H179" s="282" t="inlineStr">
        <is>
          <t>실적</t>
        </is>
      </c>
    </row>
    <row r="180">
      <c r="A180" s="347" t="n">
        <v>46185</v>
      </c>
      <c r="B180" s="282" t="n">
        <v>6</v>
      </c>
      <c r="C180" s="282" t="inlineStr">
        <is>
          <t>474220</t>
        </is>
      </c>
      <c r="D180" s="282" t="inlineStr">
        <is>
          <t>TIGER미국테크TOP10커버드콜</t>
        </is>
      </c>
      <c r="E180" s="283" t="n">
        <v>613130</v>
      </c>
      <c r="F180" s="344" t="n"/>
      <c r="G180" s="283" t="n">
        <v>613130</v>
      </c>
      <c r="H180" s="282" t="inlineStr">
        <is>
          <t>실적</t>
        </is>
      </c>
    </row>
    <row r="181">
      <c r="A181" s="347" t="n">
        <v>46185</v>
      </c>
      <c r="B181" s="282" t="n">
        <v>6</v>
      </c>
      <c r="C181" s="282" t="inlineStr">
        <is>
          <t>481060</t>
        </is>
      </c>
      <c r="D181" s="282" t="inlineStr">
        <is>
          <t>KODEX 미국30년국채타겟커버드콜(H)</t>
        </is>
      </c>
      <c r="E181" s="283" t="n">
        <v>238680</v>
      </c>
      <c r="F181" s="344" t="n"/>
      <c r="G181" s="283" t="n">
        <v>238680</v>
      </c>
      <c r="H181" s="282" t="inlineStr">
        <is>
          <t>실적</t>
        </is>
      </c>
    </row>
    <row r="182">
      <c r="A182" s="347" t="n">
        <v>46185</v>
      </c>
      <c r="B182" s="282" t="n">
        <v>6</v>
      </c>
      <c r="C182" s="282" t="inlineStr">
        <is>
          <t>490490</t>
        </is>
      </c>
      <c r="D182" s="282" t="inlineStr">
        <is>
          <t>SOL미국배당미국채혼합50</t>
        </is>
      </c>
      <c r="E182" s="283" t="n">
        <v>129914</v>
      </c>
      <c r="F182" s="344" t="n"/>
      <c r="G182" s="283" t="n">
        <v>129914</v>
      </c>
      <c r="H182" s="282" t="inlineStr">
        <is>
          <t>실적</t>
        </is>
      </c>
    </row>
    <row r="183">
      <c r="A183" s="347" t="n">
        <v>46185</v>
      </c>
      <c r="B183" s="282" t="n">
        <v>6</v>
      </c>
      <c r="C183" s="282" t="inlineStr">
        <is>
          <t>498400</t>
        </is>
      </c>
      <c r="D183" s="282" t="inlineStr">
        <is>
          <t>KODEX 200타켓위클리커버드콜</t>
        </is>
      </c>
      <c r="E183" s="283" t="n">
        <v>213850</v>
      </c>
      <c r="F183" s="344" t="n"/>
      <c r="G183" s="283" t="n">
        <v>213850</v>
      </c>
      <c r="H183" s="282" t="inlineStr">
        <is>
          <t>실적</t>
        </is>
      </c>
    </row>
    <row r="184">
      <c r="A184" s="347" t="n">
        <v>46185</v>
      </c>
      <c r="B184" s="282" t="n">
        <v>6</v>
      </c>
      <c r="C184" s="282" t="inlineStr">
        <is>
          <t>AMT</t>
        </is>
      </c>
      <c r="D184" s="282" t="inlineStr">
        <is>
          <t>아메리칸타워</t>
        </is>
      </c>
      <c r="E184" s="283" t="n"/>
      <c r="F184" s="344" t="n">
        <v>8.949999999999999</v>
      </c>
      <c r="G184" s="283" t="n">
        <v>12046.7</v>
      </c>
      <c r="H184" s="282" t="inlineStr">
        <is>
          <t>실적</t>
        </is>
      </c>
    </row>
    <row r="185">
      <c r="A185" s="347" t="n">
        <v>46197</v>
      </c>
      <c r="B185" s="282" t="n">
        <v>6</v>
      </c>
      <c r="C185" s="282" t="inlineStr">
        <is>
          <t>QLD</t>
        </is>
      </c>
      <c r="D185" s="282" t="inlineStr">
        <is>
          <t>QLD</t>
        </is>
      </c>
      <c r="E185" s="283" t="n"/>
      <c r="F185" s="344" t="n">
        <v>8.539999999999999</v>
      </c>
      <c r="G185" s="283" t="n">
        <v>11494.84</v>
      </c>
      <c r="H185" s="282" t="inlineStr">
        <is>
          <t>실적</t>
        </is>
      </c>
    </row>
    <row r="186">
      <c r="A186" s="347" t="n">
        <v>46197</v>
      </c>
      <c r="B186" s="282" t="n">
        <v>6</v>
      </c>
      <c r="C186" s="282" t="inlineStr">
        <is>
          <t>SCHD</t>
        </is>
      </c>
      <c r="D186" s="282" t="inlineStr">
        <is>
          <t>SCHD</t>
        </is>
      </c>
      <c r="E186" s="283" t="n"/>
      <c r="F186" s="344" t="n">
        <v>6.072</v>
      </c>
      <c r="G186" s="283" t="n">
        <v>8172.912</v>
      </c>
      <c r="H186" s="282" t="inlineStr">
        <is>
          <t>실적</t>
        </is>
      </c>
    </row>
    <row r="187">
      <c r="A187" s="348" t="n">
        <v>46200</v>
      </c>
      <c r="B187" s="291" t="n">
        <v>6</v>
      </c>
      <c r="C187" s="291" t="inlineStr">
        <is>
          <t>005389</t>
        </is>
      </c>
      <c r="D187" s="291" t="inlineStr">
        <is>
          <t>현대차3우B</t>
        </is>
      </c>
      <c r="E187" s="292" t="n">
        <v>26000</v>
      </c>
      <c r="F187" s="346" t="n"/>
      <c r="G187" s="292" t="n">
        <v>26000</v>
      </c>
      <c r="H187" s="291" t="inlineStr">
        <is>
          <t>예측</t>
        </is>
      </c>
    </row>
    <row r="188">
      <c r="A188" s="348" t="n">
        <v>46200</v>
      </c>
      <c r="B188" s="291" t="n">
        <v>6</v>
      </c>
      <c r="C188" s="291" t="n">
        <v>105560</v>
      </c>
      <c r="D188" s="291" t="inlineStr">
        <is>
          <t>KB금융</t>
        </is>
      </c>
      <c r="E188" s="292" t="n">
        <v>9492</v>
      </c>
      <c r="F188" s="346" t="n"/>
      <c r="G188" s="292" t="n">
        <v>9492</v>
      </c>
      <c r="H188" s="291" t="inlineStr">
        <is>
          <t>예측</t>
        </is>
      </c>
    </row>
    <row r="189">
      <c r="A189" s="347" t="n">
        <v>46202</v>
      </c>
      <c r="B189" s="282" t="n">
        <v>6</v>
      </c>
      <c r="C189" s="282" t="inlineStr">
        <is>
          <t>005930</t>
        </is>
      </c>
      <c r="D189" s="282" t="inlineStr">
        <is>
          <t>삼성전자</t>
        </is>
      </c>
      <c r="E189" s="283" t="n">
        <v>37026</v>
      </c>
      <c r="F189" s="344" t="n"/>
      <c r="G189" s="283" t="n">
        <v>37026</v>
      </c>
      <c r="H189" s="282" t="inlineStr">
        <is>
          <t>실적</t>
        </is>
      </c>
    </row>
    <row r="190">
      <c r="A190" s="347" t="n">
        <v>46202</v>
      </c>
      <c r="B190" s="282" t="n">
        <v>6</v>
      </c>
      <c r="C190" s="282" t="inlineStr">
        <is>
          <t>329200</t>
        </is>
      </c>
      <c r="D190" s="282" t="inlineStr">
        <is>
          <t>TIGER리츠부동산인프라</t>
        </is>
      </c>
      <c r="E190" s="283" t="n">
        <v>165000</v>
      </c>
      <c r="F190" s="344" t="n"/>
      <c r="G190" s="283" t="n">
        <v>165000</v>
      </c>
      <c r="H190" s="282" t="inlineStr">
        <is>
          <t>실적</t>
        </is>
      </c>
    </row>
    <row r="191">
      <c r="A191" s="347" t="n">
        <v>46202</v>
      </c>
      <c r="B191" s="282" t="n">
        <v>6</v>
      </c>
      <c r="C191" s="282" t="inlineStr">
        <is>
          <t>433330</t>
        </is>
      </c>
      <c r="D191" s="282" t="inlineStr">
        <is>
          <t>SOL 미국 S&amp;P500</t>
        </is>
      </c>
      <c r="E191" s="283" t="n">
        <v>32544</v>
      </c>
      <c r="F191" s="344" t="n"/>
      <c r="G191" s="283" t="n">
        <v>32544</v>
      </c>
      <c r="H191" s="282" t="inlineStr">
        <is>
          <t>실적</t>
        </is>
      </c>
    </row>
    <row r="192">
      <c r="A192" s="347" t="n">
        <v>46202</v>
      </c>
      <c r="B192" s="282" t="n">
        <v>6</v>
      </c>
      <c r="C192" s="282" t="inlineStr">
        <is>
          <t>446720</t>
        </is>
      </c>
      <c r="D192" s="282" t="inlineStr">
        <is>
          <t>SOL 미국배당다우존스</t>
        </is>
      </c>
      <c r="E192" s="283" t="n">
        <v>55860</v>
      </c>
      <c r="F192" s="344" t="n"/>
      <c r="G192" s="283" t="n">
        <v>55860</v>
      </c>
      <c r="H192" s="282" t="inlineStr">
        <is>
          <t>실적</t>
        </is>
      </c>
    </row>
    <row r="193">
      <c r="A193" s="347" t="n">
        <v>46202</v>
      </c>
      <c r="B193" s="282" t="n">
        <v>6</v>
      </c>
      <c r="C193" s="282" t="inlineStr">
        <is>
          <t>458760</t>
        </is>
      </c>
      <c r="D193" s="282" t="inlineStr">
        <is>
          <t>TIGER 미배당다우커버드콜2호</t>
        </is>
      </c>
      <c r="E193" s="283" t="n">
        <v>1489241</v>
      </c>
      <c r="F193" s="344" t="n"/>
      <c r="G193" s="283" t="n">
        <v>1489241</v>
      </c>
      <c r="H193" s="282" t="inlineStr">
        <is>
          <t>실적</t>
        </is>
      </c>
    </row>
    <row r="194">
      <c r="A194" s="347" t="n">
        <v>46202</v>
      </c>
      <c r="B194" s="282" t="n">
        <v>6</v>
      </c>
      <c r="C194" s="282" t="inlineStr">
        <is>
          <t>468380</t>
        </is>
      </c>
      <c r="D194" s="282" t="inlineStr">
        <is>
          <t>KODEX iShares미국하이일드액티브</t>
        </is>
      </c>
      <c r="E194" s="283" t="n">
        <v>130000</v>
      </c>
      <c r="F194" s="344" t="n"/>
      <c r="G194" s="283" t="n">
        <v>130000</v>
      </c>
      <c r="H194" s="282" t="inlineStr">
        <is>
          <t>실적</t>
        </is>
      </c>
    </row>
    <row r="195">
      <c r="A195" s="347" t="n">
        <v>46202</v>
      </c>
      <c r="B195" s="282" t="n">
        <v>6</v>
      </c>
      <c r="C195" s="282" t="inlineStr">
        <is>
          <t>473330</t>
        </is>
      </c>
      <c r="D195" s="282" t="inlineStr">
        <is>
          <t>SOL 미국 30년국채커버드콜(합성)</t>
        </is>
      </c>
      <c r="E195" s="283" t="n">
        <v>81600</v>
      </c>
      <c r="F195" s="344" t="n"/>
      <c r="G195" s="283" t="n">
        <v>81600</v>
      </c>
      <c r="H195" s="282" t="inlineStr">
        <is>
          <t>실적</t>
        </is>
      </c>
    </row>
    <row r="196">
      <c r="A196" s="347" t="n">
        <v>46202</v>
      </c>
      <c r="B196" s="282" t="n">
        <v>6</v>
      </c>
      <c r="C196" s="282" t="inlineStr">
        <is>
          <t>475380</t>
        </is>
      </c>
      <c r="D196" s="282" t="inlineStr">
        <is>
          <t>RISE 글로벌리얼티인컴</t>
        </is>
      </c>
      <c r="E196" s="283" t="n">
        <v>3535</v>
      </c>
      <c r="F196" s="344" t="n"/>
      <c r="G196" s="283" t="n">
        <v>3535</v>
      </c>
      <c r="H196" s="282" t="inlineStr">
        <is>
          <t>실적</t>
        </is>
      </c>
    </row>
    <row r="197">
      <c r="A197" s="347" t="n">
        <v>46202</v>
      </c>
      <c r="B197" s="282" t="n">
        <v>6</v>
      </c>
      <c r="C197" s="282" t="inlineStr">
        <is>
          <t>476550</t>
        </is>
      </c>
      <c r="D197" s="282" t="inlineStr">
        <is>
          <t>TIGER 미국30년국채커버드콜액티브(H)</t>
        </is>
      </c>
      <c r="E197" s="283" t="n">
        <v>31463</v>
      </c>
      <c r="F197" s="344" t="n"/>
      <c r="G197" s="283" t="n">
        <v>31463</v>
      </c>
      <c r="H197" s="282" t="inlineStr">
        <is>
          <t>실적</t>
        </is>
      </c>
    </row>
    <row r="198">
      <c r="A198" s="347" t="n">
        <v>46202</v>
      </c>
      <c r="B198" s="282" t="n">
        <v>6</v>
      </c>
      <c r="C198" s="282" t="inlineStr">
        <is>
          <t>476690</t>
        </is>
      </c>
      <c r="D198" s="282" t="inlineStr">
        <is>
          <t>TIGER 글로벌비만치료제 TOP2 Plus</t>
        </is>
      </c>
      <c r="E198" s="283" t="n">
        <v>1500</v>
      </c>
      <c r="F198" s="344" t="n"/>
      <c r="G198" s="283" t="n">
        <v>1500</v>
      </c>
      <c r="H198" s="282" t="inlineStr">
        <is>
          <t>실적</t>
        </is>
      </c>
    </row>
    <row r="199">
      <c r="A199" s="347" t="n">
        <v>46202</v>
      </c>
      <c r="B199" s="282" t="n">
        <v>6</v>
      </c>
      <c r="C199" s="282" t="inlineStr">
        <is>
          <t>482730</t>
        </is>
      </c>
      <c r="D199" s="282" t="inlineStr">
        <is>
          <t>미국S&amp;P500타겟데일리커버드콜</t>
        </is>
      </c>
      <c r="E199" s="283" t="n">
        <v>45900</v>
      </c>
      <c r="F199" s="344" t="n"/>
      <c r="G199" s="283" t="n">
        <v>45900</v>
      </c>
      <c r="H199" s="282" t="inlineStr">
        <is>
          <t>실적</t>
        </is>
      </c>
    </row>
    <row r="200">
      <c r="A200" s="347" t="n">
        <v>46202</v>
      </c>
      <c r="B200" s="282" t="n">
        <v>6</v>
      </c>
      <c r="C200" s="282" t="inlineStr">
        <is>
          <t>483280</t>
        </is>
      </c>
      <c r="D200" s="282" t="inlineStr">
        <is>
          <t>KODEX 미국AI테크TOP10타겟커버드콜</t>
        </is>
      </c>
      <c r="E200" s="283" t="n">
        <v>351708</v>
      </c>
      <c r="F200" s="344" t="n"/>
      <c r="G200" s="283" t="n">
        <v>351708</v>
      </c>
      <c r="H200" s="282" t="inlineStr">
        <is>
          <t>실적</t>
        </is>
      </c>
    </row>
    <row r="201">
      <c r="A201" s="347" t="n">
        <v>46202</v>
      </c>
      <c r="B201" s="282" t="n">
        <v>6</v>
      </c>
      <c r="C201" s="282" t="inlineStr">
        <is>
          <t>498410</t>
        </is>
      </c>
      <c r="D201" s="282" t="inlineStr">
        <is>
          <t>KODEX금융고배당TOP10타겟위클리커버드콜</t>
        </is>
      </c>
      <c r="E201" s="283" t="n">
        <v>332780</v>
      </c>
      <c r="F201" s="344" t="n"/>
      <c r="G201" s="283" t="n">
        <v>332780</v>
      </c>
      <c r="H201" s="282" t="inlineStr">
        <is>
          <t>실적</t>
        </is>
      </c>
    </row>
    <row r="202">
      <c r="A202" s="347" t="n">
        <v>46203</v>
      </c>
      <c r="B202" s="282" t="n">
        <v>6</v>
      </c>
      <c r="C202" s="282" t="inlineStr">
        <is>
          <t>O</t>
        </is>
      </c>
      <c r="D202" s="282" t="inlineStr">
        <is>
          <t>리얼티인컴</t>
        </is>
      </c>
      <c r="E202" s="283" t="n"/>
      <c r="F202" s="344" t="n">
        <v>14.363</v>
      </c>
      <c r="G202" s="283" t="n">
        <v>19332.598</v>
      </c>
      <c r="H202" s="282" t="inlineStr">
        <is>
          <t>실적</t>
        </is>
      </c>
    </row>
    <row r="203">
      <c r="A203" s="347" t="n">
        <v>46213</v>
      </c>
      <c r="B203" s="282" t="n">
        <v>7</v>
      </c>
      <c r="C203" s="282" t="inlineStr">
        <is>
          <t>ORCL</t>
        </is>
      </c>
      <c r="D203" s="282" t="inlineStr">
        <is>
          <t>오라클</t>
        </is>
      </c>
      <c r="E203" s="283" t="n"/>
      <c r="F203" s="344" t="n">
        <v>1</v>
      </c>
      <c r="G203" s="283" t="n">
        <v>1346</v>
      </c>
      <c r="H203" s="282" t="inlineStr">
        <is>
          <t>실적</t>
        </is>
      </c>
    </row>
    <row r="204">
      <c r="A204" s="347" t="n">
        <v>46217</v>
      </c>
      <c r="B204" s="282" t="n">
        <v>7</v>
      </c>
      <c r="C204" s="282" t="inlineStr">
        <is>
          <t>0008S0</t>
        </is>
      </c>
      <c r="D204" s="282" t="inlineStr">
        <is>
          <t>TIGER 미국배당다우존스타겟데일리커버드콜</t>
        </is>
      </c>
      <c r="E204" s="283" t="n">
        <v>312000</v>
      </c>
      <c r="F204" s="344" t="n"/>
      <c r="G204" s="283" t="n">
        <v>312000</v>
      </c>
      <c r="H204" s="282" t="inlineStr">
        <is>
          <t>실적</t>
        </is>
      </c>
    </row>
    <row r="205">
      <c r="A205" s="347" t="n">
        <v>46217</v>
      </c>
      <c r="B205" s="282" t="n">
        <v>7</v>
      </c>
      <c r="C205" s="282" t="inlineStr">
        <is>
          <t>474220</t>
        </is>
      </c>
      <c r="D205" s="282" t="inlineStr">
        <is>
          <t>TIGER미국테크TOP10커버드콜</t>
        </is>
      </c>
      <c r="E205" s="283" t="n">
        <v>608520</v>
      </c>
      <c r="F205" s="344" t="n"/>
      <c r="G205" s="283" t="n">
        <v>608520</v>
      </c>
      <c r="H205" s="282" t="inlineStr">
        <is>
          <t>실적</t>
        </is>
      </c>
    </row>
    <row r="206">
      <c r="A206" s="347" t="n">
        <v>46217</v>
      </c>
      <c r="B206" s="282" t="n">
        <v>7</v>
      </c>
      <c r="C206" s="282" t="inlineStr">
        <is>
          <t>481060</t>
        </is>
      </c>
      <c r="D206" s="282" t="inlineStr">
        <is>
          <t>KODEX 미국30년국채타겟커버드콜(H)</t>
        </is>
      </c>
      <c r="E206" s="283" t="n">
        <v>238680</v>
      </c>
      <c r="F206" s="344" t="n"/>
      <c r="G206" s="283" t="n">
        <v>238680</v>
      </c>
      <c r="H206" s="282" t="inlineStr">
        <is>
          <t>실적</t>
        </is>
      </c>
    </row>
    <row r="207">
      <c r="A207" s="347" t="n">
        <v>46217</v>
      </c>
      <c r="B207" s="282" t="n">
        <v>7</v>
      </c>
      <c r="C207" s="282" t="inlineStr">
        <is>
          <t>490490</t>
        </is>
      </c>
      <c r="D207" s="282" t="inlineStr">
        <is>
          <t>SOL미국배당미국채혼합50</t>
        </is>
      </c>
      <c r="E207" s="283" t="n">
        <v>103167</v>
      </c>
      <c r="F207" s="344" t="n"/>
      <c r="G207" s="283" t="n">
        <v>103167</v>
      </c>
      <c r="H207" s="282" t="inlineStr">
        <is>
          <t>실적</t>
        </is>
      </c>
    </row>
    <row r="208">
      <c r="A208" s="347" t="n">
        <v>46217</v>
      </c>
      <c r="B208" s="282" t="n">
        <v>7</v>
      </c>
      <c r="C208" s="282" t="inlineStr">
        <is>
          <t>498400</t>
        </is>
      </c>
      <c r="D208" s="282" t="inlineStr">
        <is>
          <t>KODEX 200타켓위클리커버드콜</t>
        </is>
      </c>
      <c r="E208" s="283" t="n">
        <v>197353</v>
      </c>
      <c r="F208" s="344" t="n"/>
      <c r="G208" s="283" t="n">
        <v>197353</v>
      </c>
      <c r="H208" s="282" t="inlineStr">
        <is>
          <t>실적</t>
        </is>
      </c>
    </row>
    <row r="209">
      <c r="A209" s="347" t="n">
        <v>46233</v>
      </c>
      <c r="B209" s="282" t="n">
        <v>7</v>
      </c>
      <c r="C209" s="282" t="inlineStr">
        <is>
          <t>0219E0</t>
        </is>
      </c>
      <c r="D209" s="282" t="inlineStr">
        <is>
          <t>KODEX 200커버드콜액티브</t>
        </is>
      </c>
      <c r="E209" s="283" t="n">
        <v>192168</v>
      </c>
      <c r="F209" s="344" t="n"/>
      <c r="G209" s="283" t="n">
        <v>192168</v>
      </c>
      <c r="H209" s="282" t="inlineStr">
        <is>
          <t>실적</t>
        </is>
      </c>
    </row>
    <row r="210">
      <c r="A210" s="347" t="n">
        <v>46233</v>
      </c>
      <c r="B210" s="282" t="n">
        <v>7</v>
      </c>
      <c r="C210" s="282" t="inlineStr">
        <is>
          <t>024110</t>
        </is>
      </c>
      <c r="D210" s="282" t="inlineStr">
        <is>
          <t>기업은행</t>
        </is>
      </c>
      <c r="E210" s="283" t="n">
        <v>37590</v>
      </c>
      <c r="F210" s="344" t="n"/>
      <c r="G210" s="283" t="n">
        <v>37590</v>
      </c>
      <c r="H210" s="282" t="inlineStr">
        <is>
          <t>실적</t>
        </is>
      </c>
    </row>
    <row r="211">
      <c r="A211" s="347" t="n">
        <v>46233</v>
      </c>
      <c r="B211" s="282" t="n">
        <v>7</v>
      </c>
      <c r="C211" s="282" t="inlineStr">
        <is>
          <t>133690</t>
        </is>
      </c>
      <c r="D211" s="282" t="inlineStr">
        <is>
          <t>TIGER 미국나스닥100</t>
        </is>
      </c>
      <c r="E211" s="283" t="n">
        <v>14535</v>
      </c>
      <c r="F211" s="344" t="n"/>
      <c r="G211" s="283" t="n">
        <v>14535</v>
      </c>
      <c r="H211" s="282" t="inlineStr">
        <is>
          <t>실적</t>
        </is>
      </c>
    </row>
    <row r="212">
      <c r="A212" s="347" t="n">
        <v>46233</v>
      </c>
      <c r="B212" s="282" t="n">
        <v>7</v>
      </c>
      <c r="C212" s="282" t="inlineStr">
        <is>
          <t>329200</t>
        </is>
      </c>
      <c r="D212" s="282" t="inlineStr">
        <is>
          <t>TIGER리츠부동산인프라</t>
        </is>
      </c>
      <c r="E212" s="283" t="n">
        <v>165000</v>
      </c>
      <c r="F212" s="344" t="n"/>
      <c r="G212" s="283" t="n">
        <v>165000</v>
      </c>
      <c r="H212" s="282" t="inlineStr">
        <is>
          <t>실적</t>
        </is>
      </c>
    </row>
    <row r="213">
      <c r="A213" s="347" t="n">
        <v>46233</v>
      </c>
      <c r="B213" s="282" t="n">
        <v>7</v>
      </c>
      <c r="C213" s="282" t="inlineStr">
        <is>
          <t>360750</t>
        </is>
      </c>
      <c r="D213" s="282" t="inlineStr">
        <is>
          <t>TIGER미국S&amp;P500</t>
        </is>
      </c>
      <c r="E213" s="283" t="n">
        <v>14454</v>
      </c>
      <c r="F213" s="344" t="n"/>
      <c r="G213" s="283" t="n">
        <v>14454</v>
      </c>
      <c r="H213" s="282" t="inlineStr">
        <is>
          <t>실적</t>
        </is>
      </c>
    </row>
    <row r="214">
      <c r="A214" s="347" t="n">
        <v>46233</v>
      </c>
      <c r="B214" s="282" t="n">
        <v>7</v>
      </c>
      <c r="C214" s="282" t="inlineStr">
        <is>
          <t>367380</t>
        </is>
      </c>
      <c r="D214" s="282" t="inlineStr">
        <is>
          <t>ACE 미국나스닥100</t>
        </is>
      </c>
      <c r="E214" s="283" t="n">
        <v>15210</v>
      </c>
      <c r="F214" s="344" t="n"/>
      <c r="G214" s="283" t="n">
        <v>15210</v>
      </c>
      <c r="H214" s="282" t="inlineStr">
        <is>
          <t>실적</t>
        </is>
      </c>
    </row>
    <row r="215">
      <c r="A215" s="347" t="n">
        <v>46233</v>
      </c>
      <c r="B215" s="282" t="n">
        <v>7</v>
      </c>
      <c r="C215" s="282" t="inlineStr">
        <is>
          <t>379810</t>
        </is>
      </c>
      <c r="D215" s="282" t="inlineStr">
        <is>
          <t>KODEX 미국나스닥100</t>
        </is>
      </c>
      <c r="E215" s="283" t="n">
        <v>37350</v>
      </c>
      <c r="F215" s="344" t="n"/>
      <c r="G215" s="283" t="n">
        <v>37350</v>
      </c>
      <c r="H215" s="282" t="inlineStr">
        <is>
          <t>실적</t>
        </is>
      </c>
    </row>
    <row r="216">
      <c r="A216" s="347" t="n">
        <v>46233</v>
      </c>
      <c r="B216" s="282" t="n">
        <v>7</v>
      </c>
      <c r="C216" s="282" t="inlineStr">
        <is>
          <t>433330</t>
        </is>
      </c>
      <c r="D216" s="282" t="inlineStr">
        <is>
          <t>SOL 미국 S&amp;P500</t>
        </is>
      </c>
      <c r="E216" s="283" t="n">
        <v>16272</v>
      </c>
      <c r="F216" s="344" t="n"/>
      <c r="G216" s="283" t="n">
        <v>16272</v>
      </c>
      <c r="H216" s="282" t="inlineStr">
        <is>
          <t>실적</t>
        </is>
      </c>
    </row>
    <row r="217">
      <c r="A217" s="347" t="n">
        <v>46233</v>
      </c>
      <c r="B217" s="282" t="n">
        <v>7</v>
      </c>
      <c r="C217" s="282" t="inlineStr">
        <is>
          <t>446720</t>
        </is>
      </c>
      <c r="D217" s="282" t="inlineStr">
        <is>
          <t>SOL 미국배당다우존스</t>
        </is>
      </c>
      <c r="E217" s="283" t="n">
        <v>46550</v>
      </c>
      <c r="F217" s="344" t="n"/>
      <c r="G217" s="283" t="n">
        <v>46550</v>
      </c>
      <c r="H217" s="282" t="inlineStr">
        <is>
          <t>실적</t>
        </is>
      </c>
    </row>
    <row r="218">
      <c r="A218" s="347" t="n">
        <v>46233</v>
      </c>
      <c r="B218" s="282" t="n">
        <v>7</v>
      </c>
      <c r="C218" s="282" t="inlineStr">
        <is>
          <t>458760</t>
        </is>
      </c>
      <c r="D218" s="282" t="inlineStr">
        <is>
          <t>TIGER 미배당다우커버드콜2호</t>
        </is>
      </c>
      <c r="E218" s="283" t="n">
        <v>1427829</v>
      </c>
      <c r="F218" s="344" t="n"/>
      <c r="G218" s="283" t="n">
        <v>1427829</v>
      </c>
      <c r="H218" s="282" t="inlineStr">
        <is>
          <t>실적</t>
        </is>
      </c>
    </row>
    <row r="219">
      <c r="A219" s="347" t="n">
        <v>46233</v>
      </c>
      <c r="B219" s="282" t="n">
        <v>7</v>
      </c>
      <c r="C219" s="282" t="inlineStr">
        <is>
          <t>468380</t>
        </is>
      </c>
      <c r="D219" s="282" t="inlineStr">
        <is>
          <t>KODEX iShares미국하이일드액티브</t>
        </is>
      </c>
      <c r="E219" s="283" t="n">
        <v>130000</v>
      </c>
      <c r="F219" s="344" t="n"/>
      <c r="G219" s="283" t="n">
        <v>130000</v>
      </c>
      <c r="H219" s="282" t="inlineStr">
        <is>
          <t>실적</t>
        </is>
      </c>
    </row>
    <row r="220">
      <c r="A220" s="347" t="n">
        <v>46233</v>
      </c>
      <c r="B220" s="282" t="n">
        <v>7</v>
      </c>
      <c r="C220" s="282" t="inlineStr">
        <is>
          <t>473330</t>
        </is>
      </c>
      <c r="D220" s="282" t="inlineStr">
        <is>
          <t>SOL 미국 30년국채커버드콜(합성)</t>
        </is>
      </c>
      <c r="E220" s="283" t="n">
        <v>62400</v>
      </c>
      <c r="F220" s="344" t="n"/>
      <c r="G220" s="283" t="n">
        <v>62400</v>
      </c>
      <c r="H220" s="282" t="inlineStr">
        <is>
          <t>실적</t>
        </is>
      </c>
    </row>
    <row r="221">
      <c r="A221" s="347" t="n">
        <v>46233</v>
      </c>
      <c r="B221" s="282" t="n">
        <v>7</v>
      </c>
      <c r="C221" s="282" t="inlineStr">
        <is>
          <t>475380</t>
        </is>
      </c>
      <c r="D221" s="282" t="inlineStr">
        <is>
          <t>RISE 글로벌리얼티인컴</t>
        </is>
      </c>
      <c r="E221" s="283" t="n">
        <v>3333</v>
      </c>
      <c r="F221" s="344" t="n"/>
      <c r="G221" s="283" t="n">
        <v>3333</v>
      </c>
      <c r="H221" s="282" t="inlineStr">
        <is>
          <t>실적</t>
        </is>
      </c>
    </row>
    <row r="222">
      <c r="A222" s="347" t="n">
        <v>46233</v>
      </c>
      <c r="B222" s="282" t="n">
        <v>7</v>
      </c>
      <c r="C222" s="282" t="inlineStr">
        <is>
          <t>476550</t>
        </is>
      </c>
      <c r="D222" s="282" t="inlineStr">
        <is>
          <t>TIGER 미국30년국채커버드콜액티브(H)</t>
        </is>
      </c>
      <c r="E222" s="283" t="n">
        <v>30170</v>
      </c>
      <c r="F222" s="344" t="n"/>
      <c r="G222" s="283" t="n">
        <v>30170</v>
      </c>
      <c r="H222" s="282" t="inlineStr">
        <is>
          <t>실적</t>
        </is>
      </c>
    </row>
    <row r="223">
      <c r="A223" s="347" t="n">
        <v>46233</v>
      </c>
      <c r="B223" s="282" t="n">
        <v>7</v>
      </c>
      <c r="C223" s="282" t="inlineStr">
        <is>
          <t>476690</t>
        </is>
      </c>
      <c r="D223" s="282" t="inlineStr">
        <is>
          <t>TIGER 글로벌비만치료제 TOP2 Plus</t>
        </is>
      </c>
      <c r="E223" s="283" t="n">
        <v>1100</v>
      </c>
      <c r="F223" s="344" t="n"/>
      <c r="G223" s="283" t="n">
        <v>1100</v>
      </c>
      <c r="H223" s="282" t="inlineStr">
        <is>
          <t>실적</t>
        </is>
      </c>
    </row>
    <row r="224">
      <c r="A224" s="347" t="n">
        <v>46233</v>
      </c>
      <c r="B224" s="282" t="n">
        <v>7</v>
      </c>
      <c r="C224" s="282" t="inlineStr">
        <is>
          <t>482730</t>
        </is>
      </c>
      <c r="D224" s="282" t="inlineStr">
        <is>
          <t>미국S&amp;P500타겟데일리커버드콜</t>
        </is>
      </c>
      <c r="E224" s="283" t="n">
        <v>43350</v>
      </c>
      <c r="F224" s="344" t="n"/>
      <c r="G224" s="283" t="n">
        <v>43350</v>
      </c>
      <c r="H224" s="282" t="inlineStr">
        <is>
          <t>실적</t>
        </is>
      </c>
    </row>
    <row r="225">
      <c r="A225" s="347" t="n">
        <v>46233</v>
      </c>
      <c r="B225" s="282" t="n">
        <v>7</v>
      </c>
      <c r="C225" s="282" t="inlineStr">
        <is>
          <t>483280</t>
        </is>
      </c>
      <c r="D225" s="282" t="inlineStr">
        <is>
          <t>KODEX 미국AI테크TOP10타겟커버드콜</t>
        </is>
      </c>
      <c r="E225" s="283" t="n">
        <v>260442</v>
      </c>
      <c r="F225" s="344" t="n"/>
      <c r="G225" s="283" t="n">
        <v>260442</v>
      </c>
      <c r="H225" s="282" t="inlineStr">
        <is>
          <t>실적</t>
        </is>
      </c>
    </row>
    <row r="226">
      <c r="A226" s="347" t="n">
        <v>46233</v>
      </c>
      <c r="B226" s="282" t="n">
        <v>7</v>
      </c>
      <c r="C226" s="282" t="inlineStr">
        <is>
          <t>498270</t>
        </is>
      </c>
      <c r="D226" s="282" t="inlineStr">
        <is>
          <t>KIWOOM 미국양자컴퓨팅</t>
        </is>
      </c>
      <c r="E226" s="283" t="n">
        <v>4158</v>
      </c>
      <c r="F226" s="344" t="n"/>
      <c r="G226" s="283" t="n">
        <v>4158</v>
      </c>
      <c r="H226" s="282" t="inlineStr">
        <is>
          <t>실적</t>
        </is>
      </c>
    </row>
    <row r="227">
      <c r="A227" s="347" t="n">
        <v>46233</v>
      </c>
      <c r="B227" s="282" t="n">
        <v>7</v>
      </c>
      <c r="C227" s="282" t="inlineStr">
        <is>
          <t>498410</t>
        </is>
      </c>
      <c r="D227" s="282" t="inlineStr">
        <is>
          <t>KODEX금융고배당TOP10타겟위클리커버드콜</t>
        </is>
      </c>
      <c r="E227" s="283" t="n">
        <v>366058</v>
      </c>
      <c r="F227" s="344" t="n"/>
      <c r="G227" s="283" t="n">
        <v>366058</v>
      </c>
      <c r="H227" s="282" t="inlineStr">
        <is>
          <t>실적</t>
        </is>
      </c>
    </row>
    <row r="228">
      <c r="A228" s="347" t="n">
        <v>46234</v>
      </c>
      <c r="B228" s="282" t="n">
        <v>7</v>
      </c>
      <c r="C228" s="282" t="inlineStr">
        <is>
          <t>O</t>
        </is>
      </c>
      <c r="D228" s="282" t="inlineStr">
        <is>
          <t>리얼티인컴</t>
        </is>
      </c>
      <c r="E228" s="283" t="n"/>
      <c r="F228" s="344" t="n">
        <v>14.363</v>
      </c>
      <c r="G228" s="283" t="n">
        <v>19332.598</v>
      </c>
      <c r="H228" s="282" t="inlineStr">
        <is>
          <t>실적</t>
        </is>
      </c>
    </row>
    <row r="229">
      <c r="A229" s="347" t="n">
        <v>46240</v>
      </c>
      <c r="B229" s="282" t="n">
        <v>8</v>
      </c>
      <c r="C229" s="282" t="n">
        <v>105560</v>
      </c>
      <c r="D229" s="282" t="inlineStr">
        <is>
          <t>KB금융</t>
        </is>
      </c>
      <c r="E229" s="283" t="n">
        <v>13860</v>
      </c>
      <c r="F229" s="344" t="n"/>
      <c r="G229" s="283" t="n">
        <v>13860</v>
      </c>
      <c r="H229" s="282" t="inlineStr">
        <is>
          <t>실적</t>
        </is>
      </c>
    </row>
    <row r="230">
      <c r="A230" s="347" t="n">
        <v>46244</v>
      </c>
      <c r="B230" s="282" t="n">
        <v>8</v>
      </c>
      <c r="C230" s="282" t="inlineStr">
        <is>
          <t>AAPL</t>
        </is>
      </c>
      <c r="D230" s="282" t="inlineStr">
        <is>
          <t>애플</t>
        </is>
      </c>
      <c r="E230" s="283" t="n"/>
      <c r="F230" s="344" t="n">
        <v>2.43</v>
      </c>
      <c r="G230" s="283" t="n">
        <v>3270.78</v>
      </c>
      <c r="H230" s="282" t="inlineStr">
        <is>
          <t>실적</t>
        </is>
      </c>
    </row>
    <row r="231">
      <c r="A231" s="347" t="n">
        <v>46247</v>
      </c>
      <c r="B231" s="282" t="n">
        <v>8</v>
      </c>
      <c r="C231" s="282" t="inlineStr">
        <is>
          <t>0008S0</t>
        </is>
      </c>
      <c r="D231" s="282" t="inlineStr">
        <is>
          <t>TIGER 미국배당다우존스타겟데일리커버드콜</t>
        </is>
      </c>
      <c r="E231" s="283" t="n">
        <v>309000</v>
      </c>
      <c r="F231" s="344" t="n"/>
      <c r="G231" s="283" t="n">
        <v>309000</v>
      </c>
      <c r="H231" s="282" t="inlineStr">
        <is>
          <t>실적</t>
        </is>
      </c>
    </row>
    <row r="232">
      <c r="A232" s="347" t="n">
        <v>46247</v>
      </c>
      <c r="B232" s="282" t="n">
        <v>8</v>
      </c>
      <c r="C232" s="282" t="inlineStr">
        <is>
          <t>474220</t>
        </is>
      </c>
      <c r="D232" s="282" t="inlineStr">
        <is>
          <t>TIGER미국테크TOP10커버드콜</t>
        </is>
      </c>
      <c r="E232" s="283" t="n">
        <v>599300</v>
      </c>
      <c r="F232" s="344" t="n"/>
      <c r="G232" s="283" t="n">
        <v>599300</v>
      </c>
      <c r="H232" s="282" t="inlineStr">
        <is>
          <t>실적</t>
        </is>
      </c>
    </row>
    <row r="233">
      <c r="A233" s="347" t="n">
        <v>46247</v>
      </c>
      <c r="B233" s="282" t="n">
        <v>8</v>
      </c>
      <c r="C233" s="282" t="inlineStr">
        <is>
          <t>481060</t>
        </is>
      </c>
      <c r="D233" s="282" t="inlineStr">
        <is>
          <t>KODEX 미국30년국채타겟커버드콜(H)</t>
        </is>
      </c>
      <c r="E233" s="283" t="n">
        <v>226440</v>
      </c>
      <c r="F233" s="344" t="n"/>
      <c r="G233" s="283" t="n">
        <v>226440</v>
      </c>
      <c r="H233" s="282" t="inlineStr">
        <is>
          <t>실적</t>
        </is>
      </c>
    </row>
    <row r="234">
      <c r="A234" s="347" t="n">
        <v>46247</v>
      </c>
      <c r="B234" s="282" t="n">
        <v>8</v>
      </c>
      <c r="C234" s="282" t="inlineStr">
        <is>
          <t>490490</t>
        </is>
      </c>
      <c r="D234" s="282" t="inlineStr">
        <is>
          <t>SOL미국배당미국채혼합50</t>
        </is>
      </c>
      <c r="E234" s="283" t="n">
        <v>80241</v>
      </c>
      <c r="F234" s="344" t="n"/>
      <c r="G234" s="283" t="n">
        <v>80241</v>
      </c>
      <c r="H234" s="282" t="inlineStr">
        <is>
          <t>실적</t>
        </is>
      </c>
    </row>
    <row r="235">
      <c r="A235" s="347" t="n">
        <v>46247</v>
      </c>
      <c r="B235" s="282" t="n">
        <v>8</v>
      </c>
      <c r="C235" s="282" t="inlineStr">
        <is>
          <t>498400</t>
        </is>
      </c>
      <c r="D235" s="282" t="inlineStr">
        <is>
          <t>KODEX 200타켓위클리커버드콜</t>
        </is>
      </c>
      <c r="E235" s="283" t="n">
        <v>164970</v>
      </c>
      <c r="F235" s="344" t="n"/>
      <c r="G235" s="283" t="n">
        <v>164970</v>
      </c>
      <c r="H235" s="282" t="inlineStr">
        <is>
          <t>실적</t>
        </is>
      </c>
    </row>
    <row r="236">
      <c r="A236" s="347" t="n">
        <v>46248</v>
      </c>
      <c r="B236" s="282" t="n">
        <v>8</v>
      </c>
      <c r="C236" s="282" t="inlineStr">
        <is>
          <t>SBUX</t>
        </is>
      </c>
      <c r="D236" s="282" t="inlineStr">
        <is>
          <t>스타벅스</t>
        </is>
      </c>
      <c r="E236" s="283" t="n"/>
      <c r="F236" s="344" t="n">
        <v>1.24</v>
      </c>
      <c r="G236" s="283" t="n">
        <v>1669.04</v>
      </c>
      <c r="H236" s="282" t="inlineStr">
        <is>
          <t>실적</t>
        </is>
      </c>
    </row>
    <row r="237">
      <c r="A237" s="347" t="n">
        <v>46251</v>
      </c>
      <c r="B237" s="282" t="n">
        <v>8</v>
      </c>
      <c r="C237" s="282" t="inlineStr">
        <is>
          <t>NVO</t>
        </is>
      </c>
      <c r="D237" s="282" t="inlineStr">
        <is>
          <t>노보 노디스크</t>
        </is>
      </c>
      <c r="E237" s="283" t="n"/>
      <c r="F237" s="344" t="n">
        <v>8.685</v>
      </c>
      <c r="G237" s="283" t="n">
        <v>11690.01</v>
      </c>
      <c r="H237" s="282" t="inlineStr">
        <is>
          <t>실적</t>
        </is>
      </c>
    </row>
    <row r="238">
      <c r="A238" s="347" t="n">
        <v>46251</v>
      </c>
      <c r="B238" s="282" t="n">
        <v>8</v>
      </c>
      <c r="C238" s="282" t="inlineStr">
        <is>
          <t>XOM</t>
        </is>
      </c>
      <c r="D238" s="282" t="inlineStr">
        <is>
          <t>엑슨모빌</t>
        </is>
      </c>
      <c r="E238" s="283" t="n"/>
      <c r="F238" s="344" t="n">
        <v>1.03</v>
      </c>
      <c r="G238" s="283" t="n">
        <v>1386.38</v>
      </c>
      <c r="H238" s="282" t="inlineStr">
        <is>
          <t>실적</t>
        </is>
      </c>
    </row>
    <row r="239">
      <c r="A239" s="347" t="n">
        <v>46253</v>
      </c>
      <c r="B239" s="282" t="n">
        <v>8</v>
      </c>
      <c r="C239" s="282" t="inlineStr">
        <is>
          <t>CVX</t>
        </is>
      </c>
      <c r="D239" s="282" t="inlineStr">
        <is>
          <t>셰브론</t>
        </is>
      </c>
      <c r="E239" s="283" t="n"/>
      <c r="F239" s="344" t="n">
        <v>1.78</v>
      </c>
      <c r="G239" s="283" t="n">
        <v>2395.88</v>
      </c>
      <c r="H239" s="282" t="inlineStr">
        <is>
          <t>실적</t>
        </is>
      </c>
    </row>
    <row r="240">
      <c r="A240" s="347" t="n">
        <v>46254</v>
      </c>
      <c r="B240" s="282" t="n">
        <v>8</v>
      </c>
      <c r="C240" s="282" t="inlineStr">
        <is>
          <t>MSFT</t>
        </is>
      </c>
      <c r="D240" s="282" t="inlineStr">
        <is>
          <t>마이크로소프트</t>
        </is>
      </c>
      <c r="E240" s="283" t="n"/>
      <c r="F240" s="344" t="n">
        <v>1.82</v>
      </c>
      <c r="G240" s="283" t="n">
        <v>2449.72</v>
      </c>
      <c r="H240" s="282" t="inlineStr">
        <is>
          <t>실적</t>
        </is>
      </c>
    </row>
    <row r="241">
      <c r="A241" s="347" t="n">
        <v>46262</v>
      </c>
      <c r="B241" s="282" t="n">
        <v>8</v>
      </c>
      <c r="C241" s="282" t="inlineStr">
        <is>
          <t>005389</t>
        </is>
      </c>
      <c r="D241" s="282" t="inlineStr">
        <is>
          <t>현대차3우B</t>
        </is>
      </c>
      <c r="E241" s="283" t="n">
        <v>32500</v>
      </c>
      <c r="F241" s="344" t="n"/>
      <c r="G241" s="283" t="n">
        <v>32500</v>
      </c>
      <c r="H241" s="282" t="inlineStr">
        <is>
          <t>실적</t>
        </is>
      </c>
    </row>
    <row r="242">
      <c r="A242" s="347" t="n">
        <v>46262</v>
      </c>
      <c r="B242" s="282" t="n">
        <v>8</v>
      </c>
      <c r="C242" s="282" t="inlineStr">
        <is>
          <t>0219E0</t>
        </is>
      </c>
      <c r="D242" s="282" t="inlineStr">
        <is>
          <t>KODEX 200커버드콜액티브</t>
        </is>
      </c>
      <c r="E242" s="283" t="n">
        <v>209752</v>
      </c>
      <c r="F242" s="344" t="n"/>
      <c r="G242" s="283" t="n">
        <v>209752</v>
      </c>
      <c r="H242" s="282" t="inlineStr">
        <is>
          <t>실적</t>
        </is>
      </c>
    </row>
    <row r="243">
      <c r="A243" s="347" t="n">
        <v>46262</v>
      </c>
      <c r="B243" s="282" t="n">
        <v>8</v>
      </c>
      <c r="C243" s="282" t="inlineStr">
        <is>
          <t>329200</t>
        </is>
      </c>
      <c r="D243" s="282" t="inlineStr">
        <is>
          <t>TIGER리츠부동산인프라</t>
        </is>
      </c>
      <c r="E243" s="283" t="n">
        <v>165000</v>
      </c>
      <c r="F243" s="344" t="n"/>
      <c r="G243" s="283" t="n">
        <v>165000</v>
      </c>
      <c r="H243" s="282" t="inlineStr">
        <is>
          <t>실적</t>
        </is>
      </c>
    </row>
    <row r="244">
      <c r="A244" s="347" t="n">
        <v>46262</v>
      </c>
      <c r="B244" s="282" t="n">
        <v>8</v>
      </c>
      <c r="C244" s="282" t="inlineStr">
        <is>
          <t>433330</t>
        </is>
      </c>
      <c r="D244" s="282" t="inlineStr">
        <is>
          <t>SOL 미국 S&amp;P500</t>
        </is>
      </c>
      <c r="E244" s="283" t="n">
        <v>25764</v>
      </c>
      <c r="F244" s="344" t="n"/>
      <c r="G244" s="283" t="n">
        <v>25764</v>
      </c>
      <c r="H244" s="282" t="inlineStr">
        <is>
          <t>실적</t>
        </is>
      </c>
    </row>
    <row r="245">
      <c r="A245" s="347" t="n">
        <v>46262</v>
      </c>
      <c r="B245" s="282" t="n">
        <v>8</v>
      </c>
      <c r="C245" s="282" t="inlineStr">
        <is>
          <t>446720</t>
        </is>
      </c>
      <c r="D245" s="282" t="inlineStr">
        <is>
          <t>SOL 미국배당다우존스</t>
        </is>
      </c>
      <c r="E245" s="283" t="n">
        <v>35910</v>
      </c>
      <c r="F245" s="344" t="n"/>
      <c r="G245" s="283" t="n">
        <v>35910</v>
      </c>
      <c r="H245" s="282" t="inlineStr">
        <is>
          <t>실적</t>
        </is>
      </c>
    </row>
    <row r="246">
      <c r="A246" s="347" t="n">
        <v>46262</v>
      </c>
      <c r="B246" s="282" t="n">
        <v>8</v>
      </c>
      <c r="C246" s="282" t="inlineStr">
        <is>
          <t>458760</t>
        </is>
      </c>
      <c r="D246" s="282" t="inlineStr">
        <is>
          <t>TIGER 미배당다우커버드콜2호</t>
        </is>
      </c>
      <c r="E246" s="283" t="n">
        <v>1381770</v>
      </c>
      <c r="F246" s="344" t="n"/>
      <c r="G246" s="283" t="n">
        <v>1381770</v>
      </c>
      <c r="H246" s="282" t="inlineStr">
        <is>
          <t>실적</t>
        </is>
      </c>
    </row>
    <row r="247">
      <c r="A247" s="347" t="n">
        <v>46262</v>
      </c>
      <c r="B247" s="282" t="n">
        <v>8</v>
      </c>
      <c r="C247" s="282" t="inlineStr">
        <is>
          <t>468380</t>
        </is>
      </c>
      <c r="D247" s="282" t="inlineStr">
        <is>
          <t>KODEX iShares미국하이일드액티브</t>
        </is>
      </c>
      <c r="E247" s="283" t="n">
        <v>126000</v>
      </c>
      <c r="F247" s="344" t="n"/>
      <c r="G247" s="283" t="n">
        <v>126000</v>
      </c>
      <c r="H247" s="282" t="inlineStr">
        <is>
          <t>실적</t>
        </is>
      </c>
    </row>
    <row r="248">
      <c r="A248" s="347" t="n">
        <v>46262</v>
      </c>
      <c r="B248" s="282" t="n">
        <v>8</v>
      </c>
      <c r="C248" s="282" t="inlineStr">
        <is>
          <t>473330</t>
        </is>
      </c>
      <c r="D248" s="282" t="inlineStr">
        <is>
          <t>SOL 미국 30년국채커버드콜(합성)</t>
        </is>
      </c>
      <c r="E248" s="283" t="n">
        <v>57600</v>
      </c>
      <c r="F248" s="344" t="n"/>
      <c r="G248" s="283" t="n">
        <v>57600</v>
      </c>
      <c r="H248" s="282" t="inlineStr">
        <is>
          <t>실적</t>
        </is>
      </c>
    </row>
    <row r="249">
      <c r="A249" s="347" t="n">
        <v>46262</v>
      </c>
      <c r="B249" s="282" t="n">
        <v>8</v>
      </c>
      <c r="C249" s="282" t="inlineStr">
        <is>
          <t>475380</t>
        </is>
      </c>
      <c r="D249" s="282" t="inlineStr">
        <is>
          <t>RISE 글로벌리얼티인컴</t>
        </is>
      </c>
      <c r="E249" s="283" t="n">
        <v>3232</v>
      </c>
      <c r="F249" s="344" t="n"/>
      <c r="G249" s="283" t="n">
        <v>3232</v>
      </c>
      <c r="H249" s="282" t="inlineStr">
        <is>
          <t>실적</t>
        </is>
      </c>
    </row>
    <row r="250">
      <c r="A250" s="347" t="n">
        <v>46262</v>
      </c>
      <c r="B250" s="282" t="n">
        <v>8</v>
      </c>
      <c r="C250" s="282" t="inlineStr">
        <is>
          <t>476550</t>
        </is>
      </c>
      <c r="D250" s="282" t="inlineStr">
        <is>
          <t>TIGER 미국30년국채커버드콜액티브(H)</t>
        </is>
      </c>
      <c r="E250" s="283" t="n">
        <v>29739</v>
      </c>
      <c r="F250" s="344" t="n"/>
      <c r="G250" s="283" t="n">
        <v>29739</v>
      </c>
      <c r="H250" s="282" t="inlineStr">
        <is>
          <t>실적</t>
        </is>
      </c>
    </row>
    <row r="251">
      <c r="A251" s="347" t="n">
        <v>46262</v>
      </c>
      <c r="B251" s="282" t="n">
        <v>8</v>
      </c>
      <c r="C251" s="282" t="inlineStr">
        <is>
          <t>476690</t>
        </is>
      </c>
      <c r="D251" s="282" t="inlineStr">
        <is>
          <t>TIGER 글로벌비만치료제 TOP2 Plus</t>
        </is>
      </c>
      <c r="E251" s="283" t="n">
        <v>1100</v>
      </c>
      <c r="F251" s="344" t="n"/>
      <c r="G251" s="283" t="n">
        <v>1100</v>
      </c>
      <c r="H251" s="282" t="inlineStr">
        <is>
          <t>실적</t>
        </is>
      </c>
    </row>
    <row r="252">
      <c r="A252" s="347" t="n">
        <v>46262</v>
      </c>
      <c r="B252" s="282" t="n">
        <v>8</v>
      </c>
      <c r="C252" s="282" t="inlineStr">
        <is>
          <t>482730</t>
        </is>
      </c>
      <c r="D252" s="282" t="inlineStr">
        <is>
          <t>미국S&amp;P500타겟데일리커버드콜</t>
        </is>
      </c>
      <c r="E252" s="283" t="n">
        <v>42500</v>
      </c>
      <c r="F252" s="344" t="n"/>
      <c r="G252" s="283" t="n">
        <v>42500</v>
      </c>
      <c r="H252" s="282" t="inlineStr">
        <is>
          <t>실적</t>
        </is>
      </c>
    </row>
    <row r="253">
      <c r="A253" s="347" t="n">
        <v>46262</v>
      </c>
      <c r="B253" s="282" t="n">
        <v>8</v>
      </c>
      <c r="C253" s="282" t="inlineStr">
        <is>
          <t>483280</t>
        </is>
      </c>
      <c r="D253" s="282" t="inlineStr">
        <is>
          <t>KODEX 미국AI테크TOP10타겟커버드콜</t>
        </is>
      </c>
      <c r="E253" s="283" t="n">
        <v>318318</v>
      </c>
      <c r="F253" s="344" t="n"/>
      <c r="G253" s="283" t="n">
        <v>318318</v>
      </c>
      <c r="H253" s="282" t="inlineStr">
        <is>
          <t>실적</t>
        </is>
      </c>
    </row>
    <row r="254">
      <c r="A254" s="347" t="n">
        <v>46262</v>
      </c>
      <c r="B254" s="282" t="n">
        <v>8</v>
      </c>
      <c r="C254" s="282" t="inlineStr">
        <is>
          <t>498410</t>
        </is>
      </c>
      <c r="D254" s="282" t="inlineStr">
        <is>
          <t>KODEX금융고배당TOP10타겟위클리커버드콜</t>
        </is>
      </c>
      <c r="E254" s="283" t="n">
        <v>342288</v>
      </c>
      <c r="F254" s="344" t="n"/>
      <c r="G254" s="283" t="n">
        <v>342288</v>
      </c>
      <c r="H254" s="282" t="inlineStr">
        <is>
          <t>실적</t>
        </is>
      </c>
    </row>
    <row r="255">
      <c r="A255" s="347" t="n">
        <v>46262</v>
      </c>
      <c r="B255" s="282" t="n">
        <v>8</v>
      </c>
      <c r="C255" s="282" t="inlineStr">
        <is>
          <t>TMUS</t>
        </is>
      </c>
      <c r="D255" s="282" t="inlineStr">
        <is>
          <t>T-모바일</t>
        </is>
      </c>
      <c r="E255" s="283" t="n"/>
      <c r="F255" s="344" t="n">
        <v>4.08</v>
      </c>
      <c r="G255" s="283" t="n">
        <v>5491.68</v>
      </c>
      <c r="H255" s="282" t="inlineStr">
        <is>
          <t>실적</t>
        </is>
      </c>
    </row>
    <row r="256">
      <c r="A256" s="347" t="n">
        <v>46265</v>
      </c>
      <c r="B256" s="282" t="n">
        <v>8</v>
      </c>
      <c r="C256" s="282" t="inlineStr">
        <is>
          <t>O</t>
        </is>
      </c>
      <c r="D256" s="282" t="inlineStr">
        <is>
          <t>리얼티인컴</t>
        </is>
      </c>
      <c r="E256" s="283" t="n"/>
      <c r="F256" s="344" t="n">
        <v>14.363</v>
      </c>
      <c r="G256" s="283" t="n">
        <v>19332.598</v>
      </c>
      <c r="H256" s="282" t="inlineStr">
        <is>
          <t>실적</t>
        </is>
      </c>
    </row>
    <row r="257">
      <c r="A257" s="347" t="n">
        <v>46266</v>
      </c>
      <c r="B257" s="282" t="n">
        <v>9</v>
      </c>
      <c r="C257" s="282" t="inlineStr">
        <is>
          <t>NKE</t>
        </is>
      </c>
      <c r="D257" s="282" t="inlineStr">
        <is>
          <t>나이키</t>
        </is>
      </c>
      <c r="E257" s="283" t="n"/>
      <c r="F257" s="344" t="n">
        <v>4.1</v>
      </c>
      <c r="G257" s="283" t="n">
        <v>5518.599999999999</v>
      </c>
      <c r="H257" s="282" t="inlineStr">
        <is>
          <t>실적</t>
        </is>
      </c>
    </row>
    <row r="258">
      <c r="A258" s="348" t="n">
        <v>46267</v>
      </c>
      <c r="B258" s="291" t="n">
        <v>9</v>
      </c>
      <c r="C258" s="291" t="inlineStr">
        <is>
          <t>O</t>
        </is>
      </c>
      <c r="D258" s="291" t="inlineStr">
        <is>
          <t>리얼티인컴</t>
        </is>
      </c>
      <c r="E258" s="292" t="n"/>
      <c r="F258" s="346" t="n">
        <v>14.098</v>
      </c>
      <c r="G258" s="292" t="n">
        <v>18975.908</v>
      </c>
      <c r="H258" s="291" t="inlineStr">
        <is>
          <t>예측</t>
        </is>
      </c>
    </row>
    <row r="259">
      <c r="A259" s="348" t="n">
        <v>46277</v>
      </c>
      <c r="B259" s="291" t="n">
        <v>9</v>
      </c>
      <c r="C259" s="291" t="inlineStr">
        <is>
          <t>0008S0</t>
        </is>
      </c>
      <c r="D259" s="291" t="inlineStr">
        <is>
          <t>TIGER 미국배당다우존스타겟데일리커버드콜</t>
        </is>
      </c>
      <c r="E259" s="292" t="n">
        <v>264000</v>
      </c>
      <c r="F259" s="346" t="n"/>
      <c r="G259" s="292" t="n">
        <v>264000</v>
      </c>
      <c r="H259" s="291" t="inlineStr">
        <is>
          <t>예측</t>
        </is>
      </c>
    </row>
    <row r="260">
      <c r="A260" s="348" t="n">
        <v>46277</v>
      </c>
      <c r="B260" s="291" t="n">
        <v>9</v>
      </c>
      <c r="C260" s="291" t="inlineStr">
        <is>
          <t>474220</t>
        </is>
      </c>
      <c r="D260" s="291" t="inlineStr">
        <is>
          <t>TIGER미국테크TOP10커버드콜</t>
        </is>
      </c>
      <c r="E260" s="292" t="n">
        <v>500185</v>
      </c>
      <c r="F260" s="346" t="n"/>
      <c r="G260" s="292" t="n">
        <v>500185</v>
      </c>
      <c r="H260" s="291" t="inlineStr">
        <is>
          <t>예측</t>
        </is>
      </c>
    </row>
    <row r="261">
      <c r="A261" s="348" t="n">
        <v>46277</v>
      </c>
      <c r="B261" s="291" t="n">
        <v>9</v>
      </c>
      <c r="C261" s="291" t="inlineStr">
        <is>
          <t>490490</t>
        </is>
      </c>
      <c r="D261" s="291" t="inlineStr">
        <is>
          <t>SOL미국배당미국채혼합50</t>
        </is>
      </c>
      <c r="E261" s="292" t="n">
        <v>137556</v>
      </c>
      <c r="F261" s="346" t="n"/>
      <c r="G261" s="292" t="n">
        <v>137556</v>
      </c>
      <c r="H261" s="291" t="inlineStr">
        <is>
          <t>예측</t>
        </is>
      </c>
    </row>
    <row r="262">
      <c r="A262" s="348" t="n">
        <v>46277</v>
      </c>
      <c r="B262" s="291" t="n">
        <v>9</v>
      </c>
      <c r="C262" s="291" t="inlineStr">
        <is>
          <t>498400</t>
        </is>
      </c>
      <c r="D262" s="291" t="inlineStr">
        <is>
          <t>KODEX 200타켓위클리커버드콜</t>
        </is>
      </c>
      <c r="E262" s="292" t="n">
        <v>98371</v>
      </c>
      <c r="F262" s="346" t="n"/>
      <c r="G262" s="292" t="n">
        <v>98371</v>
      </c>
      <c r="H262" s="291" t="inlineStr">
        <is>
          <t>예측</t>
        </is>
      </c>
    </row>
    <row r="263">
      <c r="A263" s="348" t="n">
        <v>46285</v>
      </c>
      <c r="B263" s="291" t="n">
        <v>9</v>
      </c>
      <c r="C263" s="291" t="inlineStr">
        <is>
          <t>481060</t>
        </is>
      </c>
      <c r="D263" s="291" t="inlineStr">
        <is>
          <t>KODEX 미국30년국채타겟커버드콜(H)</t>
        </is>
      </c>
      <c r="E263" s="292" t="n">
        <v>296820</v>
      </c>
      <c r="F263" s="346" t="n"/>
      <c r="G263" s="292" t="n">
        <v>296820</v>
      </c>
      <c r="H263" s="291" t="inlineStr">
        <is>
          <t>예측</t>
        </is>
      </c>
    </row>
    <row r="264">
      <c r="A264" s="348" t="n">
        <v>46289</v>
      </c>
      <c r="B264" s="291" t="n">
        <v>9</v>
      </c>
      <c r="C264" s="291" t="inlineStr">
        <is>
          <t>QLD</t>
        </is>
      </c>
      <c r="D264" s="291" t="inlineStr">
        <is>
          <t>QLD</t>
        </is>
      </c>
      <c r="E264" s="292" t="n"/>
      <c r="F264" s="346" t="n">
        <v>3.22</v>
      </c>
      <c r="G264" s="292" t="n">
        <v>4334.12</v>
      </c>
      <c r="H264" s="291" t="inlineStr">
        <is>
          <t>예측</t>
        </is>
      </c>
    </row>
    <row r="265">
      <c r="A265" s="348" t="n">
        <v>46289</v>
      </c>
      <c r="B265" s="291" t="n">
        <v>9</v>
      </c>
      <c r="C265" s="291" t="inlineStr">
        <is>
          <t>SCHD</t>
        </is>
      </c>
      <c r="D265" s="291" t="inlineStr">
        <is>
          <t>SCHD</t>
        </is>
      </c>
      <c r="E265" s="292" t="n"/>
      <c r="F265" s="346" t="n">
        <v>6.14</v>
      </c>
      <c r="G265" s="292" t="n">
        <v>8264.439999999999</v>
      </c>
      <c r="H265" s="291" t="inlineStr">
        <is>
          <t>예측</t>
        </is>
      </c>
    </row>
    <row r="266">
      <c r="A266" s="348" t="n">
        <v>46292</v>
      </c>
      <c r="B266" s="291" t="n">
        <v>9</v>
      </c>
      <c r="C266" s="291" t="inlineStr">
        <is>
          <t>005389</t>
        </is>
      </c>
      <c r="D266" s="291" t="inlineStr">
        <is>
          <t>현대차3우B</t>
        </is>
      </c>
      <c r="E266" s="292" t="n">
        <v>26000</v>
      </c>
      <c r="F266" s="346" t="n"/>
      <c r="G266" s="292" t="n">
        <v>26000</v>
      </c>
      <c r="H266" s="291" t="inlineStr">
        <is>
          <t>예측</t>
        </is>
      </c>
    </row>
    <row r="267">
      <c r="A267" s="348" t="n">
        <v>46292</v>
      </c>
      <c r="B267" s="291" t="n">
        <v>9</v>
      </c>
      <c r="C267" s="291" t="n">
        <v>105560</v>
      </c>
      <c r="D267" s="291" t="inlineStr">
        <is>
          <t>KB금융</t>
        </is>
      </c>
      <c r="E267" s="292" t="n">
        <v>9540</v>
      </c>
      <c r="F267" s="346" t="n"/>
      <c r="G267" s="292" t="n">
        <v>9540</v>
      </c>
      <c r="H267" s="291" t="inlineStr">
        <is>
          <t>예측</t>
        </is>
      </c>
    </row>
    <row r="268">
      <c r="A268" s="348" t="n">
        <v>46293</v>
      </c>
      <c r="B268" s="291" t="n">
        <v>9</v>
      </c>
      <c r="C268" s="291" t="inlineStr">
        <is>
          <t>005930</t>
        </is>
      </c>
      <c r="D268" s="291" t="inlineStr">
        <is>
          <t>삼성전자</t>
        </is>
      </c>
      <c r="E268" s="292" t="n">
        <v>36184</v>
      </c>
      <c r="F268" s="346" t="n"/>
      <c r="G268" s="292" t="n">
        <v>36184</v>
      </c>
      <c r="H268" s="291" t="inlineStr">
        <is>
          <t>예측</t>
        </is>
      </c>
    </row>
    <row r="269">
      <c r="A269" s="348" t="n">
        <v>46293</v>
      </c>
      <c r="B269" s="291" t="n">
        <v>9</v>
      </c>
      <c r="C269" s="291" t="inlineStr">
        <is>
          <t>329200</t>
        </is>
      </c>
      <c r="D269" s="291" t="inlineStr">
        <is>
          <t>TIGER리츠부동산인프라</t>
        </is>
      </c>
      <c r="E269" s="292" t="n">
        <v>195000</v>
      </c>
      <c r="F269" s="346" t="n"/>
      <c r="G269" s="292" t="n">
        <v>195000</v>
      </c>
      <c r="H269" s="291" t="inlineStr">
        <is>
          <t>예측</t>
        </is>
      </c>
    </row>
    <row r="270">
      <c r="A270" s="348" t="n">
        <v>46293</v>
      </c>
      <c r="B270" s="291" t="n">
        <v>9</v>
      </c>
      <c r="C270" s="291" t="inlineStr">
        <is>
          <t>433330</t>
        </is>
      </c>
      <c r="D270" s="291" t="inlineStr">
        <is>
          <t>SOL 미국 S&amp;P500</t>
        </is>
      </c>
      <c r="E270" s="292" t="n">
        <v>21018</v>
      </c>
      <c r="F270" s="346" t="n"/>
      <c r="G270" s="292" t="n">
        <v>21018</v>
      </c>
      <c r="H270" s="291" t="inlineStr">
        <is>
          <t>예측</t>
        </is>
      </c>
    </row>
    <row r="271">
      <c r="A271" s="348" t="n">
        <v>46293</v>
      </c>
      <c r="B271" s="291" t="n">
        <v>9</v>
      </c>
      <c r="C271" s="291" t="inlineStr">
        <is>
          <t>446720</t>
        </is>
      </c>
      <c r="D271" s="291" t="inlineStr">
        <is>
          <t>SOL 미국배당다우존스</t>
        </is>
      </c>
      <c r="E271" s="292" t="n">
        <v>43225</v>
      </c>
      <c r="F271" s="346" t="n"/>
      <c r="G271" s="292" t="n">
        <v>43225</v>
      </c>
      <c r="H271" s="291" t="inlineStr">
        <is>
          <t>예측</t>
        </is>
      </c>
    </row>
    <row r="272">
      <c r="A272" s="348" t="n">
        <v>46293</v>
      </c>
      <c r="B272" s="291" t="n">
        <v>9</v>
      </c>
      <c r="C272" s="291" t="inlineStr">
        <is>
          <t>458760</t>
        </is>
      </c>
      <c r="D272" s="291" t="inlineStr">
        <is>
          <t>TIGER 미배당다우커버드콜2호</t>
        </is>
      </c>
      <c r="E272" s="292" t="n">
        <v>1366417</v>
      </c>
      <c r="F272" s="346" t="n"/>
      <c r="G272" s="292" t="n">
        <v>1366417</v>
      </c>
      <c r="H272" s="291" t="inlineStr">
        <is>
          <t>예측</t>
        </is>
      </c>
    </row>
    <row r="273">
      <c r="A273" s="348" t="n">
        <v>46293</v>
      </c>
      <c r="B273" s="291" t="n">
        <v>9</v>
      </c>
      <c r="C273" s="291" t="inlineStr">
        <is>
          <t>468380</t>
        </is>
      </c>
      <c r="D273" s="291" t="inlineStr">
        <is>
          <t>KODEX iShares미국하이일드액티브</t>
        </is>
      </c>
      <c r="E273" s="292" t="n">
        <v>119000</v>
      </c>
      <c r="F273" s="346" t="n"/>
      <c r="G273" s="292" t="n">
        <v>119000</v>
      </c>
      <c r="H273" s="291" t="inlineStr">
        <is>
          <t>예측</t>
        </is>
      </c>
    </row>
    <row r="274">
      <c r="A274" s="348" t="n">
        <v>46293</v>
      </c>
      <c r="B274" s="291" t="n">
        <v>9</v>
      </c>
      <c r="C274" s="291" t="inlineStr">
        <is>
          <t>473330</t>
        </is>
      </c>
      <c r="D274" s="291" t="inlineStr">
        <is>
          <t>SOL 미국 30년국채커버드콜(합성)</t>
        </is>
      </c>
      <c r="E274" s="292" t="n">
        <v>89280</v>
      </c>
      <c r="F274" s="346" t="n"/>
      <c r="G274" s="292" t="n">
        <v>89280</v>
      </c>
      <c r="H274" s="291" t="inlineStr">
        <is>
          <t>예측</t>
        </is>
      </c>
    </row>
    <row r="275">
      <c r="A275" s="348" t="n">
        <v>46293</v>
      </c>
      <c r="B275" s="291" t="n">
        <v>9</v>
      </c>
      <c r="C275" s="291" t="inlineStr">
        <is>
          <t>475380</t>
        </is>
      </c>
      <c r="D275" s="291" t="inlineStr">
        <is>
          <t>RISE 글로벌리얼티인컴</t>
        </is>
      </c>
      <c r="E275" s="292" t="n">
        <v>3737</v>
      </c>
      <c r="F275" s="346" t="n"/>
      <c r="G275" s="292" t="n">
        <v>3737</v>
      </c>
      <c r="H275" s="291" t="inlineStr">
        <is>
          <t>예측</t>
        </is>
      </c>
    </row>
    <row r="276">
      <c r="A276" s="348" t="n">
        <v>46293</v>
      </c>
      <c r="B276" s="291" t="n">
        <v>9</v>
      </c>
      <c r="C276" s="291" t="inlineStr">
        <is>
          <t>476550</t>
        </is>
      </c>
      <c r="D276" s="291" t="inlineStr">
        <is>
          <t>TIGER 미국30년국채커버드콜액티브(H)</t>
        </is>
      </c>
      <c r="E276" s="292" t="n">
        <v>38790</v>
      </c>
      <c r="F276" s="346" t="n"/>
      <c r="G276" s="292" t="n">
        <v>38790</v>
      </c>
      <c r="H276" s="291" t="inlineStr">
        <is>
          <t>예측</t>
        </is>
      </c>
    </row>
    <row r="277">
      <c r="A277" s="348" t="n">
        <v>46293</v>
      </c>
      <c r="B277" s="291" t="n">
        <v>9</v>
      </c>
      <c r="C277" s="291" t="inlineStr">
        <is>
          <t>476690</t>
        </is>
      </c>
      <c r="D277" s="291" t="inlineStr">
        <is>
          <t>TIGER 글로벌비만치료제 TOP2 Plus</t>
        </is>
      </c>
      <c r="E277" s="292" t="n">
        <v>1250</v>
      </c>
      <c r="F277" s="346" t="n"/>
      <c r="G277" s="292" t="n">
        <v>1250</v>
      </c>
      <c r="H277" s="291" t="inlineStr">
        <is>
          <t>예측</t>
        </is>
      </c>
    </row>
    <row r="278">
      <c r="A278" s="348" t="n">
        <v>46293</v>
      </c>
      <c r="B278" s="291" t="n">
        <v>9</v>
      </c>
      <c r="C278" s="291" t="inlineStr">
        <is>
          <t>482730</t>
        </is>
      </c>
      <c r="D278" s="291" t="inlineStr">
        <is>
          <t>미국S&amp;P500타겟데일리커버드콜</t>
        </is>
      </c>
      <c r="E278" s="292" t="n">
        <v>38250</v>
      </c>
      <c r="F278" s="346" t="n"/>
      <c r="G278" s="292" t="n">
        <v>38250</v>
      </c>
      <c r="H278" s="291" t="inlineStr">
        <is>
          <t>예측</t>
        </is>
      </c>
    </row>
    <row r="279">
      <c r="A279" s="348" t="n">
        <v>46293</v>
      </c>
      <c r="B279" s="291" t="n">
        <v>9</v>
      </c>
      <c r="C279" s="291" t="inlineStr">
        <is>
          <t>483280</t>
        </is>
      </c>
      <c r="D279" s="291" t="inlineStr">
        <is>
          <t>KODEX 미국AI테크TOP10타겟커버드콜</t>
        </is>
      </c>
      <c r="E279" s="292" t="n">
        <v>309414</v>
      </c>
      <c r="F279" s="346" t="n"/>
      <c r="G279" s="292" t="n">
        <v>309414</v>
      </c>
      <c r="H279" s="291" t="inlineStr">
        <is>
          <t>예측</t>
        </is>
      </c>
    </row>
    <row r="280">
      <c r="A280" s="348" t="n">
        <v>46294</v>
      </c>
      <c r="B280" s="291" t="n">
        <v>9</v>
      </c>
      <c r="C280" s="291" t="inlineStr">
        <is>
          <t>498410</t>
        </is>
      </c>
      <c r="D280" s="291" t="inlineStr">
        <is>
          <t>KODEX금융고배당TOP10타겟위클리커버드콜</t>
        </is>
      </c>
      <c r="E280" s="292" t="n">
        <v>375566</v>
      </c>
      <c r="F280" s="346" t="n"/>
      <c r="G280" s="292" t="n">
        <v>375566</v>
      </c>
      <c r="H280" s="291" t="inlineStr">
        <is>
          <t>예측</t>
        </is>
      </c>
    </row>
    <row r="281">
      <c r="A281" s="348" t="n">
        <v>46295</v>
      </c>
      <c r="B281" s="291" t="n">
        <v>9</v>
      </c>
      <c r="C281" s="291" t="inlineStr">
        <is>
          <t>0219E0</t>
        </is>
      </c>
      <c r="D281" s="291" t="inlineStr">
        <is>
          <t>KODEX 200커버드콜액티브</t>
        </is>
      </c>
      <c r="E281" s="292" t="n">
        <v>200960</v>
      </c>
      <c r="F281" s="346" t="n"/>
      <c r="G281" s="292" t="n">
        <v>200960</v>
      </c>
      <c r="H281" s="291" t="inlineStr">
        <is>
          <t>예측</t>
        </is>
      </c>
    </row>
    <row r="282">
      <c r="A282" s="348" t="n">
        <v>46295</v>
      </c>
      <c r="B282" s="291" t="n">
        <v>9</v>
      </c>
      <c r="C282" s="291" t="inlineStr">
        <is>
          <t>AMT</t>
        </is>
      </c>
      <c r="D282" s="291" t="inlineStr">
        <is>
          <t>아메리칸타워</t>
        </is>
      </c>
      <c r="E282" s="292" t="n"/>
      <c r="F282" s="346" t="n">
        <v>8.5</v>
      </c>
      <c r="G282" s="292" t="n">
        <v>11441</v>
      </c>
      <c r="H282" s="291" t="inlineStr">
        <is>
          <t>예측</t>
        </is>
      </c>
    </row>
    <row r="283">
      <c r="A283" s="348" t="n">
        <v>46304</v>
      </c>
      <c r="B283" s="291" t="n">
        <v>10</v>
      </c>
      <c r="C283" s="291" t="inlineStr">
        <is>
          <t>AMT</t>
        </is>
      </c>
      <c r="D283" s="291" t="inlineStr">
        <is>
          <t>아메리칸타워</t>
        </is>
      </c>
      <c r="E283" s="292" t="n"/>
      <c r="F283" s="346" t="n">
        <v>8.1</v>
      </c>
      <c r="G283" s="292" t="n">
        <v>10902.6</v>
      </c>
      <c r="H283" s="291" t="inlineStr">
        <is>
          <t>예측</t>
        </is>
      </c>
    </row>
    <row r="284">
      <c r="A284" s="348" t="n">
        <v>46305</v>
      </c>
      <c r="B284" s="291" t="n">
        <v>10</v>
      </c>
      <c r="C284" s="291" t="inlineStr">
        <is>
          <t>ORCL</t>
        </is>
      </c>
      <c r="D284" s="291" t="inlineStr">
        <is>
          <t>오라클</t>
        </is>
      </c>
      <c r="E284" s="292" t="n"/>
      <c r="F284" s="346" t="n">
        <v>0.9</v>
      </c>
      <c r="G284" s="292" t="n">
        <v>1211.4</v>
      </c>
      <c r="H284" s="291" t="inlineStr">
        <is>
          <t>예측</t>
        </is>
      </c>
    </row>
    <row r="285">
      <c r="A285" s="348" t="n">
        <v>46306</v>
      </c>
      <c r="B285" s="291" t="n">
        <v>10</v>
      </c>
      <c r="C285" s="291" t="inlineStr">
        <is>
          <t>O</t>
        </is>
      </c>
      <c r="D285" s="291" t="inlineStr">
        <is>
          <t>리얼티인컴</t>
        </is>
      </c>
      <c r="E285" s="292" t="n"/>
      <c r="F285" s="346" t="n">
        <v>14.204</v>
      </c>
      <c r="G285" s="292" t="n">
        <v>19118.584</v>
      </c>
      <c r="H285" s="291" t="inlineStr">
        <is>
          <t>예측</t>
        </is>
      </c>
    </row>
    <row r="286">
      <c r="A286" s="348" t="n">
        <v>46309</v>
      </c>
      <c r="B286" s="291" t="n">
        <v>10</v>
      </c>
      <c r="C286" s="291" t="inlineStr">
        <is>
          <t>0008S0</t>
        </is>
      </c>
      <c r="D286" s="291" t="inlineStr">
        <is>
          <t>TIGER 미국배당다우존스타겟데일리커버드콜</t>
        </is>
      </c>
      <c r="E286" s="292" t="n">
        <v>261000</v>
      </c>
      <c r="F286" s="346" t="n"/>
      <c r="G286" s="292" t="n">
        <v>261000</v>
      </c>
      <c r="H286" s="291" t="inlineStr">
        <is>
          <t>예측</t>
        </is>
      </c>
    </row>
    <row r="287">
      <c r="A287" s="348" t="n">
        <v>46309</v>
      </c>
      <c r="B287" s="291" t="n">
        <v>10</v>
      </c>
      <c r="C287" s="291" t="inlineStr">
        <is>
          <t>474220</t>
        </is>
      </c>
      <c r="D287" s="291" t="inlineStr">
        <is>
          <t>TIGER미국테크TOP10커버드콜</t>
        </is>
      </c>
      <c r="E287" s="292" t="n">
        <v>527845</v>
      </c>
      <c r="F287" s="346" t="n"/>
      <c r="G287" s="292" t="n">
        <v>527845</v>
      </c>
      <c r="H287" s="291" t="inlineStr">
        <is>
          <t>예측</t>
        </is>
      </c>
    </row>
    <row r="288">
      <c r="A288" s="348" t="n">
        <v>46309</v>
      </c>
      <c r="B288" s="291" t="n">
        <v>10</v>
      </c>
      <c r="C288" s="291" t="inlineStr">
        <is>
          <t>481060</t>
        </is>
      </c>
      <c r="D288" s="291" t="inlineStr">
        <is>
          <t>KODEX 미국30년국채타겟커버드콜(H)</t>
        </is>
      </c>
      <c r="E288" s="292" t="n">
        <v>287640</v>
      </c>
      <c r="F288" s="346" t="n"/>
      <c r="G288" s="292" t="n">
        <v>287640</v>
      </c>
      <c r="H288" s="291" t="inlineStr">
        <is>
          <t>예측</t>
        </is>
      </c>
    </row>
    <row r="289">
      <c r="A289" s="348" t="n">
        <v>46309</v>
      </c>
      <c r="B289" s="291" t="n">
        <v>10</v>
      </c>
      <c r="C289" s="291" t="inlineStr">
        <is>
          <t>490490</t>
        </is>
      </c>
      <c r="D289" s="291" t="inlineStr">
        <is>
          <t>SOL미국배당미국채혼합50</t>
        </is>
      </c>
      <c r="E289" s="292" t="n">
        <v>80241</v>
      </c>
      <c r="F289" s="346" t="n"/>
      <c r="G289" s="292" t="n">
        <v>80241</v>
      </c>
      <c r="H289" s="291" t="inlineStr">
        <is>
          <t>예측</t>
        </is>
      </c>
    </row>
    <row r="290">
      <c r="A290" s="348" t="n">
        <v>46309</v>
      </c>
      <c r="B290" s="291" t="n">
        <v>10</v>
      </c>
      <c r="C290" s="291" t="inlineStr">
        <is>
          <t>498400</t>
        </is>
      </c>
      <c r="D290" s="291" t="inlineStr">
        <is>
          <t>KODEX 200타켓위클리커버드콜</t>
        </is>
      </c>
      <c r="E290" s="292" t="n">
        <v>105092</v>
      </c>
      <c r="F290" s="346" t="n"/>
      <c r="G290" s="292" t="n">
        <v>105092</v>
      </c>
      <c r="H290" s="291" t="inlineStr">
        <is>
          <t>예측</t>
        </is>
      </c>
    </row>
    <row r="291">
      <c r="A291" s="348" t="n">
        <v>46325</v>
      </c>
      <c r="B291" s="291" t="n">
        <v>10</v>
      </c>
      <c r="C291" s="291" t="inlineStr">
        <is>
          <t>133690</t>
        </is>
      </c>
      <c r="D291" s="291" t="inlineStr">
        <is>
          <t>TIGER 미국나스닥100</t>
        </is>
      </c>
      <c r="E291" s="292" t="n">
        <v>11457</v>
      </c>
      <c r="F291" s="346" t="n"/>
      <c r="G291" s="292" t="n">
        <v>11457</v>
      </c>
      <c r="H291" s="291" t="inlineStr">
        <is>
          <t>예측</t>
        </is>
      </c>
    </row>
    <row r="292">
      <c r="A292" s="348" t="n">
        <v>46325</v>
      </c>
      <c r="B292" s="291" t="n">
        <v>10</v>
      </c>
      <c r="C292" s="291" t="inlineStr">
        <is>
          <t>329200</t>
        </is>
      </c>
      <c r="D292" s="291" t="inlineStr">
        <is>
          <t>TIGER리츠부동산인프라</t>
        </is>
      </c>
      <c r="E292" s="292" t="n">
        <v>155000</v>
      </c>
      <c r="F292" s="346" t="n"/>
      <c r="G292" s="292" t="n">
        <v>155000</v>
      </c>
      <c r="H292" s="291" t="inlineStr">
        <is>
          <t>예측</t>
        </is>
      </c>
    </row>
    <row r="293">
      <c r="A293" s="348" t="n">
        <v>46325</v>
      </c>
      <c r="B293" s="291" t="n">
        <v>10</v>
      </c>
      <c r="C293" s="291" t="inlineStr">
        <is>
          <t>360750</t>
        </is>
      </c>
      <c r="D293" s="291" t="inlineStr">
        <is>
          <t>TIGER미국S&amp;P500</t>
        </is>
      </c>
      <c r="E293" s="292" t="n">
        <v>13688</v>
      </c>
      <c r="F293" s="346" t="n"/>
      <c r="G293" s="292" t="n">
        <v>13688</v>
      </c>
      <c r="H293" s="291" t="inlineStr">
        <is>
          <t>예측</t>
        </is>
      </c>
    </row>
    <row r="294">
      <c r="A294" s="348" t="n">
        <v>46325</v>
      </c>
      <c r="B294" s="291" t="n">
        <v>10</v>
      </c>
      <c r="C294" s="291" t="inlineStr">
        <is>
          <t>367380</t>
        </is>
      </c>
      <c r="D294" s="291" t="inlineStr">
        <is>
          <t>ACE 미국나스닥100</t>
        </is>
      </c>
      <c r="E294" s="292" t="n">
        <v>12337</v>
      </c>
      <c r="F294" s="346" t="n"/>
      <c r="G294" s="292" t="n">
        <v>12337</v>
      </c>
      <c r="H294" s="291" t="inlineStr">
        <is>
          <t>예측</t>
        </is>
      </c>
    </row>
    <row r="295">
      <c r="A295" s="348" t="n">
        <v>46325</v>
      </c>
      <c r="B295" s="291" t="n">
        <v>10</v>
      </c>
      <c r="C295" s="291" t="inlineStr">
        <is>
          <t>379810</t>
        </is>
      </c>
      <c r="D295" s="291" t="inlineStr">
        <is>
          <t>KODEX 미국나스닥100</t>
        </is>
      </c>
      <c r="E295" s="292" t="n">
        <v>28350</v>
      </c>
      <c r="F295" s="346" t="n"/>
      <c r="G295" s="292" t="n">
        <v>28350</v>
      </c>
      <c r="H295" s="291" t="inlineStr">
        <is>
          <t>예측</t>
        </is>
      </c>
    </row>
    <row r="296">
      <c r="A296" s="348" t="n">
        <v>46325</v>
      </c>
      <c r="B296" s="291" t="n">
        <v>10</v>
      </c>
      <c r="C296" s="291" t="inlineStr">
        <is>
          <t>433330</t>
        </is>
      </c>
      <c r="D296" s="291" t="inlineStr">
        <is>
          <t>SOL 미국 S&amp;P500</t>
        </is>
      </c>
      <c r="E296" s="292" t="n">
        <v>14916</v>
      </c>
      <c r="F296" s="346" t="n"/>
      <c r="G296" s="292" t="n">
        <v>14916</v>
      </c>
      <c r="H296" s="291" t="inlineStr">
        <is>
          <t>예측</t>
        </is>
      </c>
    </row>
    <row r="297">
      <c r="A297" s="348" t="n">
        <v>46325</v>
      </c>
      <c r="B297" s="291" t="n">
        <v>10</v>
      </c>
      <c r="C297" s="291" t="inlineStr">
        <is>
          <t>446720</t>
        </is>
      </c>
      <c r="D297" s="291" t="inlineStr">
        <is>
          <t>SOL 미국배당다우존스</t>
        </is>
      </c>
      <c r="E297" s="292" t="n">
        <v>43890</v>
      </c>
      <c r="F297" s="346" t="n"/>
      <c r="G297" s="292" t="n">
        <v>43890</v>
      </c>
      <c r="H297" s="291" t="inlineStr">
        <is>
          <t>예측</t>
        </is>
      </c>
    </row>
    <row r="298">
      <c r="A298" s="348" t="n">
        <v>46325</v>
      </c>
      <c r="B298" s="291" t="n">
        <v>10</v>
      </c>
      <c r="C298" s="291" t="inlineStr">
        <is>
          <t>458760</t>
        </is>
      </c>
      <c r="D298" s="291" t="inlineStr">
        <is>
          <t>TIGER 미배당다우커버드콜2호</t>
        </is>
      </c>
      <c r="E298" s="292" t="n">
        <v>1343388</v>
      </c>
      <c r="F298" s="346" t="n"/>
      <c r="G298" s="292" t="n">
        <v>1343388</v>
      </c>
      <c r="H298" s="291" t="inlineStr">
        <is>
          <t>예측</t>
        </is>
      </c>
    </row>
    <row r="299">
      <c r="A299" s="348" t="n">
        <v>46325</v>
      </c>
      <c r="B299" s="291" t="n">
        <v>10</v>
      </c>
      <c r="C299" s="291" t="inlineStr">
        <is>
          <t>468380</t>
        </is>
      </c>
      <c r="D299" s="291" t="inlineStr">
        <is>
          <t>KODEX iShares미국하이일드액티브</t>
        </is>
      </c>
      <c r="E299" s="292" t="n">
        <v>120000</v>
      </c>
      <c r="F299" s="346" t="n"/>
      <c r="G299" s="292" t="n">
        <v>120000</v>
      </c>
      <c r="H299" s="291" t="inlineStr">
        <is>
          <t>예측</t>
        </is>
      </c>
    </row>
    <row r="300">
      <c r="A300" s="348" t="n">
        <v>46325</v>
      </c>
      <c r="B300" s="291" t="n">
        <v>10</v>
      </c>
      <c r="C300" s="291" t="inlineStr">
        <is>
          <t>473330</t>
        </is>
      </c>
      <c r="D300" s="291" t="inlineStr">
        <is>
          <t>SOL 미국 30년국채커버드콜(합성)</t>
        </is>
      </c>
      <c r="E300" s="292" t="n">
        <v>78720</v>
      </c>
      <c r="F300" s="346" t="n"/>
      <c r="G300" s="292" t="n">
        <v>78720</v>
      </c>
      <c r="H300" s="291" t="inlineStr">
        <is>
          <t>예측</t>
        </is>
      </c>
    </row>
    <row r="301">
      <c r="A301" s="348" t="n">
        <v>46325</v>
      </c>
      <c r="B301" s="291" t="n">
        <v>10</v>
      </c>
      <c r="C301" s="291" t="inlineStr">
        <is>
          <t>475380</t>
        </is>
      </c>
      <c r="D301" s="291" t="inlineStr">
        <is>
          <t>RISE 글로벌리얼티인컴</t>
        </is>
      </c>
      <c r="E301" s="292" t="n">
        <v>3737</v>
      </c>
      <c r="F301" s="346" t="n"/>
      <c r="G301" s="292" t="n">
        <v>3737</v>
      </c>
      <c r="H301" s="291" t="inlineStr">
        <is>
          <t>예측</t>
        </is>
      </c>
    </row>
    <row r="302">
      <c r="A302" s="348" t="n">
        <v>46325</v>
      </c>
      <c r="B302" s="291" t="n">
        <v>10</v>
      </c>
      <c r="C302" s="291" t="inlineStr">
        <is>
          <t>476550</t>
        </is>
      </c>
      <c r="D302" s="291" t="inlineStr">
        <is>
          <t>TIGER 미국30년국채커버드콜액티브(H)</t>
        </is>
      </c>
      <c r="E302" s="292" t="n">
        <v>37928</v>
      </c>
      <c r="F302" s="346" t="n"/>
      <c r="G302" s="292" t="n">
        <v>37928</v>
      </c>
      <c r="H302" s="291" t="inlineStr">
        <is>
          <t>예측</t>
        </is>
      </c>
    </row>
    <row r="303">
      <c r="A303" s="348" t="n">
        <v>46325</v>
      </c>
      <c r="B303" s="291" t="n">
        <v>10</v>
      </c>
      <c r="C303" s="291" t="inlineStr">
        <is>
          <t>476690</t>
        </is>
      </c>
      <c r="D303" s="291" t="inlineStr">
        <is>
          <t>TIGER 글로벌비만치료제 TOP2 Plus</t>
        </is>
      </c>
      <c r="E303" s="292" t="n">
        <v>1200</v>
      </c>
      <c r="F303" s="346" t="n"/>
      <c r="G303" s="292" t="n">
        <v>1200</v>
      </c>
      <c r="H303" s="291" t="inlineStr">
        <is>
          <t>예측</t>
        </is>
      </c>
    </row>
    <row r="304">
      <c r="A304" s="348" t="n">
        <v>46325</v>
      </c>
      <c r="B304" s="291" t="n">
        <v>10</v>
      </c>
      <c r="C304" s="291" t="inlineStr">
        <is>
          <t>482730</t>
        </is>
      </c>
      <c r="D304" s="291" t="inlineStr">
        <is>
          <t>미국S&amp;P500타겟데일리커버드콜</t>
        </is>
      </c>
      <c r="E304" s="292" t="n">
        <v>40375</v>
      </c>
      <c r="F304" s="346" t="n"/>
      <c r="G304" s="292" t="n">
        <v>40375</v>
      </c>
      <c r="H304" s="291" t="inlineStr">
        <is>
          <t>예측</t>
        </is>
      </c>
    </row>
    <row r="305">
      <c r="A305" s="348" t="n">
        <v>46325</v>
      </c>
      <c r="B305" s="291" t="n">
        <v>10</v>
      </c>
      <c r="C305" s="291" t="inlineStr">
        <is>
          <t>483280</t>
        </is>
      </c>
      <c r="D305" s="291" t="inlineStr">
        <is>
          <t>KODEX 미국AI테크TOP10타겟커버드콜</t>
        </is>
      </c>
      <c r="E305" s="292" t="n">
        <v>324996</v>
      </c>
      <c r="F305" s="346" t="n"/>
      <c r="G305" s="292" t="n">
        <v>324996</v>
      </c>
      <c r="H305" s="291" t="inlineStr">
        <is>
          <t>예측</t>
        </is>
      </c>
    </row>
    <row r="306">
      <c r="A306" s="348" t="n">
        <v>46325</v>
      </c>
      <c r="B306" s="291" t="n">
        <v>10</v>
      </c>
      <c r="C306" s="291" t="inlineStr">
        <is>
          <t>498410</t>
        </is>
      </c>
      <c r="D306" s="291" t="inlineStr">
        <is>
          <t>KODEX금융고배당TOP10타겟위클리커버드콜</t>
        </is>
      </c>
      <c r="E306" s="292" t="n">
        <v>366058</v>
      </c>
      <c r="F306" s="346" t="n"/>
      <c r="G306" s="292" t="n">
        <v>366058</v>
      </c>
      <c r="H306" s="291" t="inlineStr">
        <is>
          <t>예측</t>
        </is>
      </c>
    </row>
    <row r="307">
      <c r="A307" s="348" t="n">
        <v>46326</v>
      </c>
      <c r="B307" s="291" t="n">
        <v>10</v>
      </c>
      <c r="C307" s="291" t="inlineStr">
        <is>
          <t>0219E0</t>
        </is>
      </c>
      <c r="D307" s="291" t="inlineStr">
        <is>
          <t>KODEX 200커버드콜액티브</t>
        </is>
      </c>
      <c r="E307" s="292" t="n">
        <v>200960</v>
      </c>
      <c r="F307" s="346" t="n"/>
      <c r="G307" s="292" t="n">
        <v>200960</v>
      </c>
      <c r="H307" s="291" t="inlineStr">
        <is>
          <t>예측</t>
        </is>
      </c>
    </row>
    <row r="308">
      <c r="A308" s="348" t="n">
        <v>46335</v>
      </c>
      <c r="B308" s="291" t="n">
        <v>11</v>
      </c>
      <c r="C308" s="291" t="inlineStr">
        <is>
          <t>AAPL</t>
        </is>
      </c>
      <c r="D308" s="291" t="inlineStr">
        <is>
          <t>애플</t>
        </is>
      </c>
      <c r="E308" s="292" t="n"/>
      <c r="F308" s="346" t="n">
        <v>2.295</v>
      </c>
      <c r="G308" s="292" t="n">
        <v>3089.07</v>
      </c>
      <c r="H308" s="291" t="inlineStr">
        <is>
          <t>예측</t>
        </is>
      </c>
    </row>
    <row r="309">
      <c r="A309" s="348" t="n">
        <v>46339</v>
      </c>
      <c r="B309" s="291" t="n">
        <v>11</v>
      </c>
      <c r="C309" s="291" t="inlineStr">
        <is>
          <t>0008S0</t>
        </is>
      </c>
      <c r="D309" s="291" t="inlineStr">
        <is>
          <t>TIGER 미국배당다우존스타겟데일리커버드콜</t>
        </is>
      </c>
      <c r="E309" s="292" t="n">
        <v>267000</v>
      </c>
      <c r="F309" s="346" t="n"/>
      <c r="G309" s="292" t="n">
        <v>267000</v>
      </c>
      <c r="H309" s="291" t="inlineStr">
        <is>
          <t>예측</t>
        </is>
      </c>
    </row>
    <row r="310">
      <c r="A310" s="348" t="n">
        <v>46339</v>
      </c>
      <c r="B310" s="291" t="n">
        <v>11</v>
      </c>
      <c r="C310" s="291" t="n">
        <v>105560</v>
      </c>
      <c r="D310" s="291" t="inlineStr">
        <is>
          <t>KB금융</t>
        </is>
      </c>
      <c r="E310" s="292" t="n">
        <v>11160</v>
      </c>
      <c r="F310" s="346" t="n"/>
      <c r="G310" s="292" t="n">
        <v>11160</v>
      </c>
      <c r="H310" s="291" t="inlineStr">
        <is>
          <t>예측</t>
        </is>
      </c>
    </row>
    <row r="311">
      <c r="A311" s="348" t="n">
        <v>46339</v>
      </c>
      <c r="B311" s="291" t="n">
        <v>11</v>
      </c>
      <c r="C311" s="291" t="inlineStr">
        <is>
          <t>498400</t>
        </is>
      </c>
      <c r="D311" s="291" t="inlineStr">
        <is>
          <t>KODEX 200타켓위클리커버드콜</t>
        </is>
      </c>
      <c r="E311" s="292" t="n">
        <v>119756</v>
      </c>
      <c r="F311" s="346" t="n"/>
      <c r="G311" s="292" t="n">
        <v>119756</v>
      </c>
      <c r="H311" s="291" t="inlineStr">
        <is>
          <t>예측</t>
        </is>
      </c>
    </row>
    <row r="312">
      <c r="A312" s="348" t="n">
        <v>46340</v>
      </c>
      <c r="B312" s="291" t="n">
        <v>11</v>
      </c>
      <c r="C312" s="291" t="inlineStr">
        <is>
          <t>474220</t>
        </is>
      </c>
      <c r="D312" s="291" t="inlineStr">
        <is>
          <t>TIGER미국테크TOP10커버드콜</t>
        </is>
      </c>
      <c r="E312" s="292" t="n">
        <v>576250</v>
      </c>
      <c r="F312" s="346" t="n"/>
      <c r="G312" s="292" t="n">
        <v>576250</v>
      </c>
      <c r="H312" s="291" t="inlineStr">
        <is>
          <t>예측</t>
        </is>
      </c>
    </row>
    <row r="313">
      <c r="A313" s="348" t="n">
        <v>46340</v>
      </c>
      <c r="B313" s="291" t="n">
        <v>11</v>
      </c>
      <c r="C313" s="291" t="inlineStr">
        <is>
          <t>481060</t>
        </is>
      </c>
      <c r="D313" s="291" t="inlineStr">
        <is>
          <t>KODEX 미국30년국채타겟커버드콜(H)</t>
        </is>
      </c>
      <c r="E313" s="292" t="n">
        <v>278460</v>
      </c>
      <c r="F313" s="346" t="n"/>
      <c r="G313" s="292" t="n">
        <v>278460</v>
      </c>
      <c r="H313" s="291" t="inlineStr">
        <is>
          <t>예측</t>
        </is>
      </c>
    </row>
    <row r="314">
      <c r="A314" s="348" t="n">
        <v>46340</v>
      </c>
      <c r="B314" s="291" t="n">
        <v>11</v>
      </c>
      <c r="C314" s="291" t="inlineStr">
        <is>
          <t>490490</t>
        </is>
      </c>
      <c r="D314" s="291" t="inlineStr">
        <is>
          <t>SOL미국배당미국채혼합50</t>
        </is>
      </c>
      <c r="E314" s="292" t="n">
        <v>122272</v>
      </c>
      <c r="F314" s="346" t="n"/>
      <c r="G314" s="292" t="n">
        <v>122272</v>
      </c>
      <c r="H314" s="291" t="inlineStr">
        <is>
          <t>예측</t>
        </is>
      </c>
    </row>
    <row r="315">
      <c r="A315" s="348" t="n">
        <v>46340</v>
      </c>
      <c r="B315" s="291" t="n">
        <v>11</v>
      </c>
      <c r="C315" s="291" t="inlineStr">
        <is>
          <t>O</t>
        </is>
      </c>
      <c r="D315" s="291" t="inlineStr">
        <is>
          <t>리얼티인컴</t>
        </is>
      </c>
      <c r="E315" s="292" t="n"/>
      <c r="F315" s="346" t="n">
        <v>14.151</v>
      </c>
      <c r="G315" s="292" t="n">
        <v>19047.246</v>
      </c>
      <c r="H315" s="291" t="inlineStr">
        <is>
          <t>예측</t>
        </is>
      </c>
    </row>
    <row r="316">
      <c r="A316" s="348" t="n">
        <v>46340</v>
      </c>
      <c r="B316" s="291" t="n">
        <v>11</v>
      </c>
      <c r="C316" s="291" t="inlineStr">
        <is>
          <t>SBUX</t>
        </is>
      </c>
      <c r="D316" s="291" t="inlineStr">
        <is>
          <t>스타벅스</t>
        </is>
      </c>
      <c r="E316" s="292" t="n"/>
      <c r="F316" s="346" t="n">
        <v>1.23</v>
      </c>
      <c r="G316" s="292" t="n">
        <v>1655.58</v>
      </c>
      <c r="H316" s="291" t="inlineStr">
        <is>
          <t>예측</t>
        </is>
      </c>
    </row>
    <row r="317">
      <c r="A317" s="348" t="n">
        <v>46340</v>
      </c>
      <c r="B317" s="291" t="n">
        <v>11</v>
      </c>
      <c r="C317" s="291" t="inlineStr">
        <is>
          <t>XOM</t>
        </is>
      </c>
      <c r="D317" s="291" t="inlineStr">
        <is>
          <t>엑슨모빌</t>
        </is>
      </c>
      <c r="E317" s="292" t="n"/>
      <c r="F317" s="346" t="n">
        <v>1.01</v>
      </c>
      <c r="G317" s="292" t="n">
        <v>1359.46</v>
      </c>
      <c r="H317" s="291" t="inlineStr">
        <is>
          <t>예측</t>
        </is>
      </c>
    </row>
    <row r="318">
      <c r="A318" s="348" t="n">
        <v>46344</v>
      </c>
      <c r="B318" s="291" t="n">
        <v>11</v>
      </c>
      <c r="C318" s="291" t="inlineStr">
        <is>
          <t>CVX</t>
        </is>
      </c>
      <c r="D318" s="291" t="inlineStr">
        <is>
          <t>셰브론</t>
        </is>
      </c>
      <c r="E318" s="292" t="n"/>
      <c r="F318" s="346" t="n">
        <v>1.67</v>
      </c>
      <c r="G318" s="292" t="n">
        <v>2247.82</v>
      </c>
      <c r="H318" s="291" t="inlineStr">
        <is>
          <t>예측</t>
        </is>
      </c>
    </row>
    <row r="319">
      <c r="A319" s="348" t="n">
        <v>46346</v>
      </c>
      <c r="B319" s="291" t="n">
        <v>11</v>
      </c>
      <c r="C319" s="291" t="inlineStr">
        <is>
          <t>MSFT</t>
        </is>
      </c>
      <c r="D319" s="291" t="inlineStr">
        <is>
          <t>마이크로소프트</t>
        </is>
      </c>
      <c r="E319" s="292" t="n"/>
      <c r="F319" s="346" t="n">
        <v>1.74</v>
      </c>
      <c r="G319" s="292" t="n">
        <v>2342.04</v>
      </c>
      <c r="H319" s="291" t="inlineStr">
        <is>
          <t>예측</t>
        </is>
      </c>
    </row>
    <row r="320">
      <c r="A320" s="348" t="n">
        <v>46352</v>
      </c>
      <c r="B320" s="291" t="n">
        <v>11</v>
      </c>
      <c r="C320" s="291" t="inlineStr">
        <is>
          <t>TMUS</t>
        </is>
      </c>
      <c r="D320" s="291" t="inlineStr">
        <is>
          <t>T-모바일</t>
        </is>
      </c>
      <c r="E320" s="292" t="n"/>
      <c r="F320" s="346" t="n">
        <v>3.8</v>
      </c>
      <c r="G320" s="292" t="n">
        <v>5114.8</v>
      </c>
      <c r="H320" s="291" t="inlineStr">
        <is>
          <t>예측</t>
        </is>
      </c>
    </row>
    <row r="321">
      <c r="A321" s="348" t="n">
        <v>46353</v>
      </c>
      <c r="B321" s="291" t="n">
        <v>11</v>
      </c>
      <c r="C321" s="291" t="inlineStr">
        <is>
          <t>005389</t>
        </is>
      </c>
      <c r="D321" s="291" t="inlineStr">
        <is>
          <t>현대차3우B</t>
        </is>
      </c>
      <c r="E321" s="292" t="n">
        <v>32500</v>
      </c>
      <c r="F321" s="346" t="n"/>
      <c r="G321" s="292" t="n">
        <v>32500</v>
      </c>
      <c r="H321" s="291" t="inlineStr">
        <is>
          <t>예측</t>
        </is>
      </c>
    </row>
    <row r="322">
      <c r="A322" s="348" t="n">
        <v>46353</v>
      </c>
      <c r="B322" s="291" t="n">
        <v>11</v>
      </c>
      <c r="C322" s="291" t="inlineStr">
        <is>
          <t>472170</t>
        </is>
      </c>
      <c r="D322" s="291" t="inlineStr">
        <is>
          <t>TIGER 미국테크TOP10채권혼합</t>
        </is>
      </c>
      <c r="E322" s="292" t="n">
        <v>100521</v>
      </c>
      <c r="F322" s="346" t="n"/>
      <c r="G322" s="292" t="n">
        <v>100521</v>
      </c>
      <c r="H322" s="291" t="inlineStr">
        <is>
          <t>예측</t>
        </is>
      </c>
    </row>
    <row r="323">
      <c r="A323" s="348" t="n">
        <v>46353</v>
      </c>
      <c r="B323" s="291" t="n">
        <v>11</v>
      </c>
      <c r="C323" s="291" t="inlineStr">
        <is>
          <t>498410</t>
        </is>
      </c>
      <c r="D323" s="291" t="inlineStr">
        <is>
          <t>KODEX금융고배당TOP10타겟위클리커버드콜</t>
        </is>
      </c>
      <c r="E323" s="292" t="n">
        <v>366058</v>
      </c>
      <c r="F323" s="346" t="n"/>
      <c r="G323" s="292" t="n">
        <v>366058</v>
      </c>
      <c r="H323" s="291" t="inlineStr">
        <is>
          <t>예측</t>
        </is>
      </c>
    </row>
    <row r="324">
      <c r="A324" s="348" t="n">
        <v>46354</v>
      </c>
      <c r="B324" s="291" t="n">
        <v>11</v>
      </c>
      <c r="C324" s="291" t="inlineStr">
        <is>
          <t>329200</t>
        </is>
      </c>
      <c r="D324" s="291" t="inlineStr">
        <is>
          <t>TIGER리츠부동산인프라</t>
        </is>
      </c>
      <c r="E324" s="292" t="n">
        <v>107500</v>
      </c>
      <c r="F324" s="346" t="n"/>
      <c r="G324" s="292" t="n">
        <v>107500</v>
      </c>
      <c r="H324" s="291" t="inlineStr">
        <is>
          <t>예측</t>
        </is>
      </c>
    </row>
    <row r="325">
      <c r="A325" s="348" t="n">
        <v>46354</v>
      </c>
      <c r="B325" s="291" t="n">
        <v>11</v>
      </c>
      <c r="C325" s="291" t="inlineStr">
        <is>
          <t>433330</t>
        </is>
      </c>
      <c r="D325" s="291" t="inlineStr">
        <is>
          <t>SOL 미국 S&amp;P500</t>
        </is>
      </c>
      <c r="E325" s="292" t="n">
        <v>23730</v>
      </c>
      <c r="F325" s="346" t="n"/>
      <c r="G325" s="292" t="n">
        <v>23730</v>
      </c>
      <c r="H325" s="291" t="inlineStr">
        <is>
          <t>예측</t>
        </is>
      </c>
    </row>
    <row r="326">
      <c r="A326" s="348" t="n">
        <v>46354</v>
      </c>
      <c r="B326" s="291" t="n">
        <v>11</v>
      </c>
      <c r="C326" s="291" t="inlineStr">
        <is>
          <t>446720</t>
        </is>
      </c>
      <c r="D326" s="291" t="inlineStr">
        <is>
          <t>SOL 미국배당다우존스</t>
        </is>
      </c>
      <c r="E326" s="292" t="n">
        <v>53865</v>
      </c>
      <c r="F326" s="346" t="n"/>
      <c r="G326" s="292" t="n">
        <v>53865</v>
      </c>
      <c r="H326" s="291" t="inlineStr">
        <is>
          <t>예측</t>
        </is>
      </c>
    </row>
    <row r="327">
      <c r="A327" s="348" t="n">
        <v>46354</v>
      </c>
      <c r="B327" s="291" t="n">
        <v>11</v>
      </c>
      <c r="C327" s="291" t="inlineStr">
        <is>
          <t>458760</t>
        </is>
      </c>
      <c r="D327" s="291" t="inlineStr">
        <is>
          <t>TIGER 미배당다우커버드콜2호</t>
        </is>
      </c>
      <c r="E327" s="292" t="n">
        <v>1435506</v>
      </c>
      <c r="F327" s="346" t="n"/>
      <c r="G327" s="292" t="n">
        <v>1435506</v>
      </c>
      <c r="H327" s="291" t="inlineStr">
        <is>
          <t>예측</t>
        </is>
      </c>
    </row>
    <row r="328">
      <c r="A328" s="348" t="n">
        <v>46354</v>
      </c>
      <c r="B328" s="291" t="n">
        <v>11</v>
      </c>
      <c r="C328" s="291" t="inlineStr">
        <is>
          <t>468380</t>
        </is>
      </c>
      <c r="D328" s="291" t="inlineStr">
        <is>
          <t>KODEX iShares미국하이일드액티브</t>
        </is>
      </c>
      <c r="E328" s="292" t="n">
        <v>124000</v>
      </c>
      <c r="F328" s="346" t="n"/>
      <c r="G328" s="292" t="n">
        <v>124000</v>
      </c>
      <c r="H328" s="291" t="inlineStr">
        <is>
          <t>예측</t>
        </is>
      </c>
    </row>
    <row r="329">
      <c r="A329" s="348" t="n">
        <v>46354</v>
      </c>
      <c r="B329" s="291" t="n">
        <v>11</v>
      </c>
      <c r="C329" s="291" t="inlineStr">
        <is>
          <t>473330</t>
        </is>
      </c>
      <c r="D329" s="291" t="inlineStr">
        <is>
          <t>SOL 미국 30년국채커버드콜(합성)</t>
        </is>
      </c>
      <c r="E329" s="292" t="n">
        <v>108000</v>
      </c>
      <c r="F329" s="346" t="n"/>
      <c r="G329" s="292" t="n">
        <v>108000</v>
      </c>
      <c r="H329" s="291" t="inlineStr">
        <is>
          <t>예측</t>
        </is>
      </c>
    </row>
    <row r="330">
      <c r="A330" s="348" t="n">
        <v>46354</v>
      </c>
      <c r="B330" s="291" t="n">
        <v>11</v>
      </c>
      <c r="C330" s="291" t="inlineStr">
        <is>
          <t>475380</t>
        </is>
      </c>
      <c r="D330" s="291" t="inlineStr">
        <is>
          <t>RISE 글로벌리얼티인컴</t>
        </is>
      </c>
      <c r="E330" s="292" t="n">
        <v>3737</v>
      </c>
      <c r="F330" s="346" t="n"/>
      <c r="G330" s="292" t="n">
        <v>3737</v>
      </c>
      <c r="H330" s="291" t="inlineStr">
        <is>
          <t>예측</t>
        </is>
      </c>
    </row>
    <row r="331">
      <c r="A331" s="348" t="n">
        <v>46354</v>
      </c>
      <c r="B331" s="291" t="n">
        <v>11</v>
      </c>
      <c r="C331" s="291" t="inlineStr">
        <is>
          <t>476550</t>
        </is>
      </c>
      <c r="D331" s="291" t="inlineStr">
        <is>
          <t>TIGER 미국30년국채커버드콜액티브(H)</t>
        </is>
      </c>
      <c r="E331" s="292" t="n">
        <v>37066</v>
      </c>
      <c r="F331" s="346" t="n"/>
      <c r="G331" s="292" t="n">
        <v>37066</v>
      </c>
      <c r="H331" s="291" t="inlineStr">
        <is>
          <t>예측</t>
        </is>
      </c>
    </row>
    <row r="332">
      <c r="A332" s="348" t="n">
        <v>46354</v>
      </c>
      <c r="B332" s="291" t="n">
        <v>11</v>
      </c>
      <c r="C332" s="291" t="inlineStr">
        <is>
          <t>476690</t>
        </is>
      </c>
      <c r="D332" s="291" t="inlineStr">
        <is>
          <t>TIGER 글로벌비만치료제 TOP2 Plus</t>
        </is>
      </c>
      <c r="E332" s="292" t="n">
        <v>1200</v>
      </c>
      <c r="F332" s="346" t="n"/>
      <c r="G332" s="292" t="n">
        <v>1200</v>
      </c>
      <c r="H332" s="291" t="inlineStr">
        <is>
          <t>예측</t>
        </is>
      </c>
    </row>
    <row r="333">
      <c r="A333" s="348" t="n">
        <v>46354</v>
      </c>
      <c r="B333" s="291" t="n">
        <v>11</v>
      </c>
      <c r="C333" s="291" t="inlineStr">
        <is>
          <t>482730</t>
        </is>
      </c>
      <c r="D333" s="291" t="inlineStr">
        <is>
          <t>미국S&amp;P500타겟데일리커버드콜</t>
        </is>
      </c>
      <c r="E333" s="292" t="n">
        <v>40800</v>
      </c>
      <c r="F333" s="346" t="n"/>
      <c r="G333" s="292" t="n">
        <v>40800</v>
      </c>
      <c r="H333" s="291" t="inlineStr">
        <is>
          <t>예측</t>
        </is>
      </c>
    </row>
    <row r="334">
      <c r="A334" s="348" t="n">
        <v>46354</v>
      </c>
      <c r="B334" s="291" t="n">
        <v>11</v>
      </c>
      <c r="C334" s="291" t="inlineStr">
        <is>
          <t>483280</t>
        </is>
      </c>
      <c r="D334" s="291" t="inlineStr">
        <is>
          <t>KODEX 미국AI테크TOP10타겟커버드콜</t>
        </is>
      </c>
      <c r="E334" s="292" t="n">
        <v>329448</v>
      </c>
      <c r="F334" s="346" t="n"/>
      <c r="G334" s="292" t="n">
        <v>329448</v>
      </c>
      <c r="H334" s="291" t="inlineStr">
        <is>
          <t>예측</t>
        </is>
      </c>
    </row>
    <row r="335">
      <c r="A335" s="348" t="n">
        <v>46356</v>
      </c>
      <c r="B335" s="291" t="n">
        <v>11</v>
      </c>
      <c r="C335" s="291" t="inlineStr">
        <is>
          <t>0219E0</t>
        </is>
      </c>
      <c r="D335" s="291" t="inlineStr">
        <is>
          <t>KODEX 200커버드콜액티브</t>
        </is>
      </c>
      <c r="E335" s="292" t="n">
        <v>200960</v>
      </c>
      <c r="F335" s="346" t="n"/>
      <c r="G335" s="292" t="n">
        <v>200960</v>
      </c>
      <c r="H335" s="291" t="inlineStr">
        <is>
          <t>예측</t>
        </is>
      </c>
    </row>
    <row r="336">
      <c r="A336" s="348" t="n">
        <v>46358</v>
      </c>
      <c r="B336" s="291" t="n">
        <v>12</v>
      </c>
      <c r="C336" s="291" t="inlineStr">
        <is>
          <t>NKE</t>
        </is>
      </c>
      <c r="D336" s="291" t="inlineStr">
        <is>
          <t>나이키</t>
        </is>
      </c>
      <c r="E336" s="292" t="n"/>
      <c r="F336" s="346" t="n">
        <v>4.05</v>
      </c>
      <c r="G336" s="292" t="n">
        <v>5451.3</v>
      </c>
      <c r="H336" s="291" t="inlineStr">
        <is>
          <t>예측</t>
        </is>
      </c>
    </row>
    <row r="337">
      <c r="A337" s="348" t="n">
        <v>46366</v>
      </c>
      <c r="B337" s="291" t="n">
        <v>12</v>
      </c>
      <c r="C337" s="291" t="inlineStr">
        <is>
          <t>SCHD</t>
        </is>
      </c>
      <c r="D337" s="291" t="inlineStr">
        <is>
          <t>SCHD</t>
        </is>
      </c>
      <c r="E337" s="292" t="n"/>
      <c r="F337" s="346" t="n">
        <v>6.516</v>
      </c>
      <c r="G337" s="292" t="n">
        <v>8770.536</v>
      </c>
      <c r="H337" s="291" t="inlineStr">
        <is>
          <t>예측</t>
        </is>
      </c>
    </row>
    <row r="338">
      <c r="A338" s="348" t="n">
        <v>46368</v>
      </c>
      <c r="B338" s="291" t="n">
        <v>12</v>
      </c>
      <c r="C338" s="291" t="inlineStr">
        <is>
          <t>0008S0</t>
        </is>
      </c>
      <c r="D338" s="291" t="inlineStr">
        <is>
          <t>TIGER 미국배당다우존스타겟데일리커버드콜</t>
        </is>
      </c>
      <c r="E338" s="292" t="n">
        <v>273000</v>
      </c>
      <c r="F338" s="346" t="n"/>
      <c r="G338" s="292" t="n">
        <v>273000</v>
      </c>
      <c r="H338" s="291" t="inlineStr">
        <is>
          <t>예측</t>
        </is>
      </c>
    </row>
    <row r="339">
      <c r="A339" s="348" t="n">
        <v>46368</v>
      </c>
      <c r="B339" s="291" t="n">
        <v>12</v>
      </c>
      <c r="C339" s="291" t="inlineStr">
        <is>
          <t>474220</t>
        </is>
      </c>
      <c r="D339" s="291" t="inlineStr">
        <is>
          <t>TIGER미국테크TOP10커버드콜</t>
        </is>
      </c>
      <c r="E339" s="292" t="n">
        <v>587775</v>
      </c>
      <c r="F339" s="346" t="n"/>
      <c r="G339" s="292" t="n">
        <v>587775</v>
      </c>
      <c r="H339" s="291" t="inlineStr">
        <is>
          <t>예측</t>
        </is>
      </c>
    </row>
    <row r="340">
      <c r="A340" s="348" t="n">
        <v>46368</v>
      </c>
      <c r="B340" s="291" t="n">
        <v>12</v>
      </c>
      <c r="C340" s="291" t="inlineStr">
        <is>
          <t>481060</t>
        </is>
      </c>
      <c r="D340" s="291" t="inlineStr">
        <is>
          <t>KODEX 미국30년국채타겟커버드콜(H)</t>
        </is>
      </c>
      <c r="E340" s="292" t="n">
        <v>278460</v>
      </c>
      <c r="F340" s="346" t="n"/>
      <c r="G340" s="292" t="n">
        <v>278460</v>
      </c>
      <c r="H340" s="291" t="inlineStr">
        <is>
          <t>예측</t>
        </is>
      </c>
    </row>
    <row r="341">
      <c r="A341" s="348" t="n">
        <v>46368</v>
      </c>
      <c r="B341" s="291" t="n">
        <v>12</v>
      </c>
      <c r="C341" s="291" t="inlineStr">
        <is>
          <t>490490</t>
        </is>
      </c>
      <c r="D341" s="291" t="inlineStr">
        <is>
          <t>SOL미국배당미국채혼합50</t>
        </is>
      </c>
      <c r="E341" s="292" t="n">
        <v>114630</v>
      </c>
      <c r="F341" s="346" t="n"/>
      <c r="G341" s="292" t="n">
        <v>114630</v>
      </c>
      <c r="H341" s="291" t="inlineStr">
        <is>
          <t>예측</t>
        </is>
      </c>
    </row>
    <row r="342">
      <c r="A342" s="348" t="n">
        <v>46368</v>
      </c>
      <c r="B342" s="291" t="n">
        <v>12</v>
      </c>
      <c r="C342" s="291" t="inlineStr">
        <is>
          <t>498400</t>
        </is>
      </c>
      <c r="D342" s="291" t="inlineStr">
        <is>
          <t>KODEX 200타켓위클리커버드콜</t>
        </is>
      </c>
      <c r="E342" s="292" t="n">
        <v>119756</v>
      </c>
      <c r="F342" s="346" t="n"/>
      <c r="G342" s="292" t="n">
        <v>119756</v>
      </c>
      <c r="H342" s="291" t="inlineStr">
        <is>
          <t>예측</t>
        </is>
      </c>
    </row>
    <row r="343">
      <c r="A343" s="348" t="n">
        <v>46372</v>
      </c>
      <c r="B343" s="291" t="n">
        <v>12</v>
      </c>
      <c r="C343" s="291" t="inlineStr">
        <is>
          <t>O</t>
        </is>
      </c>
      <c r="D343" s="291" t="inlineStr">
        <is>
          <t>리얼티인컴</t>
        </is>
      </c>
      <c r="E343" s="292" t="n"/>
      <c r="F343" s="346" t="n">
        <v>14.151</v>
      </c>
      <c r="G343" s="292" t="n">
        <v>19047.246</v>
      </c>
      <c r="H343" s="291" t="inlineStr">
        <is>
          <t>예측</t>
        </is>
      </c>
    </row>
    <row r="344">
      <c r="A344" s="348" t="n">
        <v>46380</v>
      </c>
      <c r="B344" s="291" t="n">
        <v>12</v>
      </c>
      <c r="C344" s="291" t="inlineStr">
        <is>
          <t>QLD</t>
        </is>
      </c>
      <c r="D344" s="291" t="inlineStr">
        <is>
          <t>QLD</t>
        </is>
      </c>
      <c r="E344" s="292" t="n"/>
      <c r="F344" s="346" t="n">
        <v>3.745</v>
      </c>
      <c r="G344" s="292" t="n">
        <v>5040.77</v>
      </c>
      <c r="H344" s="291" t="inlineStr">
        <is>
          <t>예측</t>
        </is>
      </c>
    </row>
    <row r="345">
      <c r="A345" s="348" t="n">
        <v>46383</v>
      </c>
      <c r="B345" s="291" t="n">
        <v>12</v>
      </c>
      <c r="C345" s="291" t="inlineStr">
        <is>
          <t>472170</t>
        </is>
      </c>
      <c r="D345" s="291" t="inlineStr">
        <is>
          <t>TIGER 미국테크TOP10채권혼합</t>
        </is>
      </c>
      <c r="E345" s="292" t="n">
        <v>473040</v>
      </c>
      <c r="F345" s="346" t="n"/>
      <c r="G345" s="292" t="n">
        <v>473040</v>
      </c>
      <c r="H345" s="291" t="inlineStr">
        <is>
          <t>예측</t>
        </is>
      </c>
    </row>
    <row r="346">
      <c r="A346" s="348" t="n">
        <v>46384</v>
      </c>
      <c r="B346" s="291" t="n">
        <v>12</v>
      </c>
      <c r="C346" s="291" t="inlineStr">
        <is>
          <t>005930</t>
        </is>
      </c>
      <c r="D346" s="291" t="inlineStr">
        <is>
          <t>삼성전자</t>
        </is>
      </c>
      <c r="E346" s="292" t="n">
        <v>45986</v>
      </c>
      <c r="F346" s="346" t="n"/>
      <c r="G346" s="292" t="n">
        <v>45986</v>
      </c>
      <c r="H346" s="291" t="inlineStr">
        <is>
          <t>예측</t>
        </is>
      </c>
    </row>
    <row r="347">
      <c r="A347" s="348" t="n">
        <v>46384</v>
      </c>
      <c r="B347" s="291" t="n">
        <v>12</v>
      </c>
      <c r="C347" s="291" t="inlineStr">
        <is>
          <t>329200</t>
        </is>
      </c>
      <c r="D347" s="291" t="inlineStr">
        <is>
          <t>TIGER리츠부동산인프라</t>
        </is>
      </c>
      <c r="E347" s="292" t="n">
        <v>120000</v>
      </c>
      <c r="F347" s="346" t="n"/>
      <c r="G347" s="292" t="n">
        <v>120000</v>
      </c>
      <c r="H347" s="291" t="inlineStr">
        <is>
          <t>예측</t>
        </is>
      </c>
    </row>
    <row r="348">
      <c r="A348" s="348" t="n">
        <v>46384</v>
      </c>
      <c r="B348" s="291" t="n">
        <v>12</v>
      </c>
      <c r="C348" s="291" t="inlineStr">
        <is>
          <t>433330</t>
        </is>
      </c>
      <c r="D348" s="291" t="inlineStr">
        <is>
          <t>SOL 미국 S&amp;P500</t>
        </is>
      </c>
      <c r="E348" s="292" t="n">
        <v>24408</v>
      </c>
      <c r="F348" s="346" t="n"/>
      <c r="G348" s="292" t="n">
        <v>24408</v>
      </c>
      <c r="H348" s="291" t="inlineStr">
        <is>
          <t>예측</t>
        </is>
      </c>
    </row>
    <row r="349">
      <c r="A349" s="348" t="n">
        <v>46384</v>
      </c>
      <c r="B349" s="291" t="n">
        <v>12</v>
      </c>
      <c r="C349" s="291" t="inlineStr">
        <is>
          <t>446720</t>
        </is>
      </c>
      <c r="D349" s="291" t="inlineStr">
        <is>
          <t>SOL 미국배당다우존스</t>
        </is>
      </c>
      <c r="E349" s="292" t="n">
        <v>47880</v>
      </c>
      <c r="F349" s="346" t="n"/>
      <c r="G349" s="292" t="n">
        <v>47880</v>
      </c>
      <c r="H349" s="291" t="inlineStr">
        <is>
          <t>예측</t>
        </is>
      </c>
    </row>
    <row r="350">
      <c r="A350" s="348" t="n">
        <v>46384</v>
      </c>
      <c r="B350" s="291" t="n">
        <v>12</v>
      </c>
      <c r="C350" s="291" t="inlineStr">
        <is>
          <t>458760</t>
        </is>
      </c>
      <c r="D350" s="291" t="inlineStr">
        <is>
          <t>TIGER 미배당다우커버드콜2호</t>
        </is>
      </c>
      <c r="E350" s="292" t="n">
        <v>1412476</v>
      </c>
      <c r="F350" s="346" t="n"/>
      <c r="G350" s="292" t="n">
        <v>1412476</v>
      </c>
      <c r="H350" s="291" t="inlineStr">
        <is>
          <t>예측</t>
        </is>
      </c>
    </row>
    <row r="351">
      <c r="A351" s="348" t="n">
        <v>46384</v>
      </c>
      <c r="B351" s="291" t="n">
        <v>12</v>
      </c>
      <c r="C351" s="291" t="inlineStr">
        <is>
          <t>468380</t>
        </is>
      </c>
      <c r="D351" s="291" t="inlineStr">
        <is>
          <t>KODEX iShares미국하이일드액티브</t>
        </is>
      </c>
      <c r="E351" s="292" t="n">
        <v>133000</v>
      </c>
      <c r="F351" s="346" t="n"/>
      <c r="G351" s="292" t="n">
        <v>133000</v>
      </c>
      <c r="H351" s="291" t="inlineStr">
        <is>
          <t>예측</t>
        </is>
      </c>
    </row>
    <row r="352">
      <c r="A352" s="348" t="n">
        <v>46384</v>
      </c>
      <c r="B352" s="291" t="n">
        <v>12</v>
      </c>
      <c r="C352" s="291" t="inlineStr">
        <is>
          <t>473330</t>
        </is>
      </c>
      <c r="D352" s="291" t="inlineStr">
        <is>
          <t>SOL 미국 30년국채커버드콜(합성)</t>
        </is>
      </c>
      <c r="E352" s="292" t="n">
        <v>129600</v>
      </c>
      <c r="F352" s="346" t="n"/>
      <c r="G352" s="292" t="n">
        <v>129600</v>
      </c>
      <c r="H352" s="291" t="inlineStr">
        <is>
          <t>예측</t>
        </is>
      </c>
    </row>
    <row r="353">
      <c r="A353" s="348" t="n">
        <v>46384</v>
      </c>
      <c r="B353" s="291" t="n">
        <v>12</v>
      </c>
      <c r="C353" s="291" t="inlineStr">
        <is>
          <t>475380</t>
        </is>
      </c>
      <c r="D353" s="291" t="inlineStr">
        <is>
          <t>RISE 글로벌리얼티인컴</t>
        </is>
      </c>
      <c r="E353" s="292" t="n">
        <v>3737</v>
      </c>
      <c r="F353" s="346" t="n"/>
      <c r="G353" s="292" t="n">
        <v>3737</v>
      </c>
      <c r="H353" s="291" t="inlineStr">
        <is>
          <t>예측</t>
        </is>
      </c>
    </row>
    <row r="354">
      <c r="A354" s="348" t="n">
        <v>46384</v>
      </c>
      <c r="B354" s="291" t="n">
        <v>12</v>
      </c>
      <c r="C354" s="291" t="inlineStr">
        <is>
          <t>476550</t>
        </is>
      </c>
      <c r="D354" s="291" t="inlineStr">
        <is>
          <t>TIGER 미국30년국채커버드콜액티브(H)</t>
        </is>
      </c>
      <c r="E354" s="292" t="n">
        <v>34911</v>
      </c>
      <c r="F354" s="346" t="n"/>
      <c r="G354" s="292" t="n">
        <v>34911</v>
      </c>
      <c r="H354" s="291" t="inlineStr">
        <is>
          <t>예측</t>
        </is>
      </c>
    </row>
    <row r="355">
      <c r="A355" s="348" t="n">
        <v>46384</v>
      </c>
      <c r="B355" s="291" t="n">
        <v>12</v>
      </c>
      <c r="C355" s="291" t="inlineStr">
        <is>
          <t>476690</t>
        </is>
      </c>
      <c r="D355" s="291" t="inlineStr">
        <is>
          <t>TIGER 글로벌비만치료제 TOP2 Plus</t>
        </is>
      </c>
      <c r="E355" s="292" t="n">
        <v>1350</v>
      </c>
      <c r="F355" s="346" t="n"/>
      <c r="G355" s="292" t="n">
        <v>1350</v>
      </c>
      <c r="H355" s="291" t="inlineStr">
        <is>
          <t>예측</t>
        </is>
      </c>
    </row>
    <row r="356">
      <c r="A356" s="348" t="n">
        <v>46384</v>
      </c>
      <c r="B356" s="291" t="n">
        <v>12</v>
      </c>
      <c r="C356" s="291" t="inlineStr">
        <is>
          <t>482730</t>
        </is>
      </c>
      <c r="D356" s="291" t="inlineStr">
        <is>
          <t>미국S&amp;P500타겟데일리커버드콜</t>
        </is>
      </c>
      <c r="E356" s="292" t="n">
        <v>41650</v>
      </c>
      <c r="F356" s="346" t="n"/>
      <c r="G356" s="292" t="n">
        <v>41650</v>
      </c>
      <c r="H356" s="291" t="inlineStr">
        <is>
          <t>예측</t>
        </is>
      </c>
    </row>
    <row r="357">
      <c r="A357" s="348" t="n">
        <v>46384</v>
      </c>
      <c r="B357" s="291" t="n">
        <v>12</v>
      </c>
      <c r="C357" s="291" t="inlineStr">
        <is>
          <t>483280</t>
        </is>
      </c>
      <c r="D357" s="291" t="inlineStr">
        <is>
          <t>KODEX 미국AI테크TOP10타겟커버드콜</t>
        </is>
      </c>
      <c r="E357" s="292" t="n">
        <v>342804</v>
      </c>
      <c r="F357" s="346" t="n"/>
      <c r="G357" s="292" t="n">
        <v>342804</v>
      </c>
      <c r="H357" s="291" t="inlineStr">
        <is>
          <t>예측</t>
        </is>
      </c>
    </row>
    <row r="358">
      <c r="A358" s="348" t="n">
        <v>46384</v>
      </c>
      <c r="B358" s="291" t="n">
        <v>12</v>
      </c>
      <c r="C358" s="291" t="inlineStr">
        <is>
          <t>AMT</t>
        </is>
      </c>
      <c r="D358" s="291" t="inlineStr">
        <is>
          <t>아메리칸타워</t>
        </is>
      </c>
      <c r="E358" s="292" t="n"/>
      <c r="F358" s="346" t="n">
        <v>8.300000000000001</v>
      </c>
      <c r="G358" s="292" t="n">
        <v>11171.8</v>
      </c>
      <c r="H358" s="291" t="inlineStr">
        <is>
          <t>예측</t>
        </is>
      </c>
    </row>
    <row r="359">
      <c r="A359" s="348" t="n">
        <v>46385</v>
      </c>
      <c r="B359" s="291" t="n">
        <v>12</v>
      </c>
      <c r="C359" s="291" t="inlineStr">
        <is>
          <t>381170</t>
        </is>
      </c>
      <c r="D359" s="291" t="inlineStr">
        <is>
          <t>TIGER 미국테크TOP10 INDXX</t>
        </is>
      </c>
      <c r="E359" s="292" t="n">
        <v>24871</v>
      </c>
      <c r="F359" s="346" t="n"/>
      <c r="G359" s="292" t="n">
        <v>24871</v>
      </c>
      <c r="H359" s="291" t="inlineStr">
        <is>
          <t>예측</t>
        </is>
      </c>
    </row>
    <row r="360">
      <c r="A360" s="348" t="n">
        <v>46385</v>
      </c>
      <c r="B360" s="291" t="n">
        <v>12</v>
      </c>
      <c r="C360" s="291" t="inlineStr">
        <is>
          <t>438100</t>
        </is>
      </c>
      <c r="D360" s="291" t="inlineStr">
        <is>
          <t>ACE미국나스닥100미국채혼합50액티브</t>
        </is>
      </c>
      <c r="E360" s="292" t="n">
        <v>228672</v>
      </c>
      <c r="F360" s="346" t="n"/>
      <c r="G360" s="292" t="n">
        <v>228672</v>
      </c>
      <c r="H360" s="291" t="inlineStr">
        <is>
          <t>예측</t>
        </is>
      </c>
    </row>
    <row r="361">
      <c r="A361" s="348" t="n">
        <v>46385</v>
      </c>
      <c r="B361" s="291" t="n">
        <v>12</v>
      </c>
      <c r="C361" s="291" t="inlineStr">
        <is>
          <t>457480</t>
        </is>
      </c>
      <c r="D361" s="291" t="inlineStr">
        <is>
          <t>ACE테슬라밸류체인액티브</t>
        </is>
      </c>
      <c r="E361" s="292" t="n">
        <v>184325</v>
      </c>
      <c r="F361" s="346" t="n"/>
      <c r="G361" s="292" t="n">
        <v>184325</v>
      </c>
      <c r="H361" s="291" t="inlineStr">
        <is>
          <t>예측</t>
        </is>
      </c>
    </row>
    <row r="362">
      <c r="A362" s="348" t="n">
        <v>46385</v>
      </c>
      <c r="B362" s="291" t="n">
        <v>12</v>
      </c>
      <c r="C362" s="291" t="inlineStr">
        <is>
          <t>498410</t>
        </is>
      </c>
      <c r="D362" s="291" t="inlineStr">
        <is>
          <t>KODEX금융고배당TOP10타겟위클리커버드콜</t>
        </is>
      </c>
      <c r="E362" s="292" t="n">
        <v>361304</v>
      </c>
      <c r="F362" s="346" t="n"/>
      <c r="G362" s="292" t="n">
        <v>361304</v>
      </c>
      <c r="H362" s="291" t="inlineStr">
        <is>
          <t>예측</t>
        </is>
      </c>
    </row>
    <row r="363">
      <c r="A363" s="348" t="n">
        <v>46387</v>
      </c>
      <c r="B363" s="291" t="n">
        <v>12</v>
      </c>
      <c r="C363" s="291" t="inlineStr">
        <is>
          <t>0219E0</t>
        </is>
      </c>
      <c r="D363" s="291" t="inlineStr">
        <is>
          <t>KODEX 200커버드콜액티브</t>
        </is>
      </c>
      <c r="E363" s="292" t="n">
        <v>200960</v>
      </c>
      <c r="F363" s="346" t="n"/>
      <c r="G363" s="292" t="n">
        <v>200960</v>
      </c>
      <c r="H363" s="291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2026-09-07T12:45:00Z</dcterms:modified>
  <cp:lastModifiedBy>Hyoyol Park</cp:lastModifiedBy>
</cp:coreProperties>
</file>