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'월별배당'!$A$43:$H$363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6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1" fillId="0" borderId="12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예수금(직투달러)</v>
                </pt>
                <pt idx="43">
                  <v> </v>
                </pt>
                <pt idx="44">
                  <v>현금성자산(삼성증권)</v>
                </pt>
                <pt idx="45">
                  <v>스페이스 X</v>
                </pt>
                <pt idx="46">
                  <v>아메리칸타워</v>
                </pt>
                <pt idx="47">
                  <v>엔비디아</v>
                </pt>
                <pt idx="48">
                  <v>SCHD</v>
                </pt>
                <pt idx="49">
                  <v>마이크로소프트</v>
                </pt>
                <pt idx="50">
                  <v>T-모바일</v>
                </pt>
                <pt idx="51">
                  <v>노보 노디스크</v>
                </pt>
                <pt idx="52">
                  <v>팔란티어</v>
                </pt>
                <pt idx="53">
                  <v>로켓랩</v>
                </pt>
                <pt idx="54">
                  <v>C3AI</v>
                </pt>
                <pt idx="55">
                  <v>나이키</v>
                </pt>
                <pt idx="56">
                  <v>TSMC</v>
                </pt>
                <pt idx="57">
                  <v>코인베이스 글로벌</v>
                </pt>
                <pt idx="58">
                  <v>센트러스 에너지</v>
                </pt>
                <pt idx="59">
                  <v>오라클</v>
                </pt>
                <pt idx="60">
                  <v>조비에비에이션</v>
                </pt>
                <pt idx="61">
                  <v>스타벅스</v>
                </pt>
                <pt idx="62">
                  <v>누스케일파워</v>
                </pt>
                <pt idx="63">
                  <v>더본코리아</v>
                </pt>
                <pt idx="64">
                  <v>오클로</v>
                </pt>
                <pt idx="65">
                  <v>미래에셋현금성자산</v>
                </pt>
                <pt idx="66">
                  <v>예수금(직투달러)</v>
                </pt>
                <pt idx="67">
                  <v>CMA RP</v>
                </pt>
                <pt idx="68">
                  <v>ACE미국나스닥100미국채혼합50액티브</v>
                </pt>
                <pt idx="69">
                  <v>TIGER 미국나스닥100</v>
                </pt>
                <pt idx="70">
                  <v>TIGER 미국테크TOP10 INDXX</v>
                </pt>
                <pt idx="71">
                  <v xml:space="preserve">SOL 미국 S&amp;P500 </v>
                </pt>
                <pt idx="72">
                  <v>새마을 예금</v>
                </pt>
                <pt idx="73">
                  <v>셰브론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0.1296922587531975</v>
                </pt>
                <pt idx="1">
                  <v>0.05336970722383165</v>
                </pt>
                <pt idx="2">
                  <v>0.03757652996833183</v>
                </pt>
                <pt idx="3">
                  <v>0.03392685297761253</v>
                </pt>
                <pt idx="4">
                  <v>0.03405709384148325</v>
                </pt>
                <pt idx="5">
                  <v>0.02759278200601407</v>
                </pt>
                <pt idx="6">
                  <v>0.02763359683856504</v>
                </pt>
                <pt idx="7">
                  <v>0.02526487014943937</v>
                </pt>
                <pt idx="8">
                  <v>0.01357018640260255</v>
                </pt>
                <pt idx="9">
                  <v>0.06107047630541001</v>
                </pt>
                <pt idx="10">
                  <v>0.0561921262147896</v>
                </pt>
                <pt idx="11">
                  <v>0.02302182626054924</v>
                </pt>
                <pt idx="12">
                  <v>0.02511849887270419</v>
                </pt>
                <pt idx="13">
                  <v>0.006432154879823109</v>
                </pt>
                <pt idx="14">
                  <v>0.01338650743611345</v>
                </pt>
                <pt idx="15">
                  <v>0.007335415230198459</v>
                </pt>
                <pt idx="16">
                  <v>0.03336293618787314</v>
                </pt>
                <pt idx="17">
                  <v>0.02686967514931616</v>
                </pt>
                <pt idx="18">
                  <v>0.02455932344674617</v>
                </pt>
                <pt idx="19">
                  <v>0.01166030274941701</v>
                </pt>
                <pt idx="20">
                  <v>0.009666516509316816</v>
                </pt>
                <pt idx="21">
                  <v>0.005887356295331027</v>
                </pt>
                <pt idx="22">
                  <v>0.005796060602520163</v>
                </pt>
                <pt idx="23">
                  <v>0.003607774577300959</v>
                </pt>
                <pt idx="24">
                  <v>0.00338097119641893</v>
                </pt>
                <pt idx="25">
                  <v>0.003240746584585886</v>
                </pt>
                <pt idx="26">
                  <v>0.002210941923287916</v>
                </pt>
                <pt idx="27">
                  <v>0.001330148060830218</v>
                </pt>
                <pt idx="28">
                  <v>0.001320616453228495</v>
                </pt>
                <pt idx="29">
                  <v>0.01844915971371999</v>
                </pt>
                <pt idx="30">
                  <v>0.01475932777097599</v>
                </pt>
                <pt idx="31">
                  <v>0.01549283385596758</v>
                </pt>
                <pt idx="32">
                  <v>0.01003977526050036</v>
                </pt>
                <pt idx="33">
                  <v>0.005737552131433127</v>
                </pt>
                <pt idx="34">
                  <v>0.007263622311633405</v>
                </pt>
                <pt idx="35">
                  <v>0.004750844488872046</v>
                </pt>
                <pt idx="36">
                  <v>0.004462258758775951</v>
                </pt>
                <pt idx="37">
                  <v>0.003946085547113403</v>
                </pt>
                <pt idx="38">
                  <v>0.01007205920318508</v>
                </pt>
                <pt idx="39">
                  <v>0.002470885970600551</v>
                </pt>
                <pt idx="40">
                  <v>0.0003208962339237063</v>
                </pt>
                <pt idx="41">
                  <v>0.01327630738822583</v>
                </pt>
                <pt idx="42">
                  <v>0.002444001949159794</v>
                </pt>
                <pt idx="43">
                  <v>0.002152676916819946</v>
                </pt>
                <pt idx="44">
                  <v>0.0006029108408382295</v>
                </pt>
                <pt idx="45">
                  <v>0.001690956068584678</v>
                </pt>
                <pt idx="46">
                  <v>0.00151478606948128</v>
                </pt>
                <pt idx="47">
                  <v>0.001554023161612213</v>
                </pt>
                <pt idx="48">
                  <v>0.001429513573753502</v>
                </pt>
                <pt idx="49">
                  <v>0.001709591073583822</v>
                </pt>
                <pt idx="50">
                  <v>0.001260348933536024</v>
                </pt>
                <pt idx="51">
                  <v>0.001187724075846018</v>
                </pt>
                <pt idx="52">
                  <v>0.001201199929892338</v>
                </pt>
                <pt idx="53">
                  <v>0.0009692801750280029</v>
                </pt>
                <pt idx="54">
                  <v>0.0009080952006994782</v>
                </pt>
                <pt idx="55">
                  <v>0.0007027820397897518</v>
                </pt>
                <pt idx="56">
                  <v>0.0007356521736345452</v>
                </pt>
                <pt idx="57">
                  <v>0.0005123596929937194</v>
                </pt>
                <pt idx="58">
                  <v>0.0006561944614706119</v>
                </pt>
                <pt idx="59">
                  <v>0.0005194341115671621</v>
                </pt>
                <pt idx="60">
                  <v>0.00046463332095389</v>
                </pt>
                <pt idx="61">
                  <v>0.0003716307411310094</v>
                </pt>
                <pt idx="62">
                  <v>0.0003240424094806902</v>
                </pt>
                <pt idx="63">
                  <v>0.0002912639322911184</v>
                </pt>
                <pt idx="64">
                  <v>0.0002297284657038488</v>
                </pt>
                <pt idx="65">
                  <v>4.829958852027043e-05</v>
                </pt>
                <pt idx="66">
                  <v>0</v>
                </pt>
                <pt idx="67">
                  <v>0.1013559930242344</v>
                </pt>
                <pt idx="68">
                  <v>0.01526717915600165</v>
                </pt>
                <pt idx="69">
                  <v>0.01313501352554003</v>
                </pt>
                <pt idx="70">
                  <v>0.01258126378390915</v>
                </pt>
                <pt idx="71">
                  <v>0.01051732246785832</v>
                </pt>
                <pt idx="72">
                  <v>0.00366600292373969</v>
                </pt>
                <pt idx="73">
                  <v>0.0003450930752213629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tabSelected="1" zoomScale="55" zoomScaleNormal="55" workbookViewId="0">
      <selection activeCell="M51" sqref="M51"/>
    </sheetView>
  </sheetViews>
  <sheetFormatPr baseColWidth="8" defaultColWidth="12.59765625" defaultRowHeight="15.75" customHeight="1"/>
  <cols>
    <col width="9.9296875" customWidth="1" style="205" min="1" max="1"/>
    <col outlineLevel="1" width="12.59765625" customWidth="1" style="205" min="2" max="2"/>
    <col width="41.59765625" customWidth="1" style="205" min="4" max="4"/>
    <col width="35.3984375" customWidth="1" style="205" min="5" max="5"/>
    <col width="14.59765625" customWidth="1" style="205" min="11" max="11"/>
    <col width="16" customWidth="1" style="205" min="13" max="13"/>
    <col width="22.796875" customWidth="1" style="205" min="14" max="14"/>
    <col width="14.1328125" customWidth="1" style="205" min="15" max="15"/>
    <col width="3.265625" customWidth="1" style="205" min="16" max="16"/>
  </cols>
  <sheetData>
    <row r="1" ht="12.75" customHeight="1" s="205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</row>
    <row r="2" ht="13.15" customHeight="1" s="205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  <c r="J2" s="204" t="n"/>
      <c r="K2" s="204" t="n"/>
      <c r="L2" s="204" t="n"/>
      <c r="M2" s="1" t="n"/>
      <c r="N2" s="2" t="n"/>
      <c r="O2" s="204" t="n"/>
      <c r="P2" s="204" t="n"/>
      <c r="Q2" s="204" t="n"/>
      <c r="R2" s="204" t="n"/>
    </row>
    <row r="3" ht="22.5" customHeight="1" s="205">
      <c r="A3" s="204" t="n"/>
      <c r="B3" s="204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4" t="n"/>
      <c r="P3" s="204" t="n"/>
      <c r="Q3" s="204" t="n"/>
      <c r="R3" s="204" t="n"/>
    </row>
    <row r="4" ht="12.75" customHeight="1" s="205">
      <c r="A4" s="204" t="n"/>
      <c r="B4" s="204" t="n"/>
      <c r="C4" s="204" t="n"/>
      <c r="D4" s="204" t="n"/>
      <c r="E4" s="204" t="n"/>
      <c r="F4" s="204" t="n"/>
      <c r="G4" s="204" t="n"/>
      <c r="H4" s="204" t="n"/>
      <c r="I4" s="204" t="n"/>
      <c r="J4" s="204" t="n"/>
      <c r="K4" s="204" t="n"/>
      <c r="L4" s="204" t="n"/>
      <c r="M4" s="204" t="n"/>
      <c r="N4" s="204" t="n"/>
      <c r="O4" s="204" t="n"/>
      <c r="P4" s="204" t="n"/>
      <c r="Q4" s="204" t="n"/>
      <c r="R4" s="204" t="n"/>
    </row>
    <row r="5" ht="12.75" customHeight="1" s="205">
      <c r="A5" s="204" t="n"/>
      <c r="B5" s="204" t="n"/>
      <c r="C5" s="204" t="n"/>
      <c r="D5" s="204" t="n"/>
      <c r="E5" s="204" t="n"/>
      <c r="F5" s="204" t="n"/>
      <c r="G5" s="204" t="n"/>
      <c r="H5" s="204" t="n"/>
      <c r="I5" s="204" t="inlineStr">
        <is>
          <t>$1 = ￦1,372</t>
        </is>
      </c>
      <c r="J5" s="73" t="n">
        <v>1371.55</v>
      </c>
      <c r="K5" s="204" t="n"/>
      <c r="L5" s="204" t="n"/>
      <c r="M5" s="204" t="n"/>
      <c r="N5" s="204" t="n"/>
      <c r="O5" s="204" t="n"/>
      <c r="P5" s="204" t="n"/>
      <c r="Q5" s="204" t="n"/>
      <c r="R5" s="204" t="n"/>
    </row>
    <row r="6" ht="13.15" customHeight="1" s="205">
      <c r="A6" s="204" t="n"/>
      <c r="B6" s="204" t="n"/>
      <c r="C6" s="201" t="inlineStr">
        <is>
          <t>국가</t>
        </is>
      </c>
      <c r="D6" s="201" t="inlineStr">
        <is>
          <t>종목코드
(티커)</t>
        </is>
      </c>
      <c r="E6" s="201" t="inlineStr">
        <is>
          <t>종목명</t>
        </is>
      </c>
      <c r="F6" s="201" t="inlineStr">
        <is>
          <t>수량</t>
        </is>
      </c>
      <c r="G6" s="201" t="inlineStr">
        <is>
          <t>평단가</t>
        </is>
      </c>
      <c r="H6" s="202" t="n"/>
      <c r="I6" s="201" t="inlineStr">
        <is>
          <t>현재가</t>
        </is>
      </c>
      <c r="J6" s="202" t="n"/>
      <c r="K6" s="201" t="inlineStr">
        <is>
          <t>평가액
[원화]</t>
        </is>
      </c>
      <c r="L6" s="201" t="inlineStr">
        <is>
          <t>투자비중</t>
        </is>
      </c>
      <c r="M6" s="201" t="inlineStr">
        <is>
          <t>누적수익
[원화]</t>
        </is>
      </c>
      <c r="N6" s="201" t="inlineStr">
        <is>
          <t>총수익률
[평가+배당]</t>
        </is>
      </c>
      <c r="O6" s="204" t="inlineStr">
        <is>
          <t>종목</t>
        </is>
      </c>
      <c r="P6" s="204" t="n"/>
      <c r="Q6" s="204" t="n"/>
      <c r="R6" s="204" t="n"/>
    </row>
    <row r="7" ht="13.15" customHeight="1" s="205">
      <c r="A7" s="204" t="n"/>
      <c r="B7" s="204" t="n"/>
      <c r="C7" s="203" t="n"/>
      <c r="D7" s="203" t="n"/>
      <c r="E7" s="203" t="n"/>
      <c r="F7" s="203" t="n"/>
      <c r="G7" s="201" t="inlineStr">
        <is>
          <t>원화</t>
        </is>
      </c>
      <c r="H7" s="201" t="inlineStr">
        <is>
          <t>달러</t>
        </is>
      </c>
      <c r="I7" s="201" t="inlineStr">
        <is>
          <t>원화</t>
        </is>
      </c>
      <c r="J7" s="201" t="inlineStr">
        <is>
          <t>달러</t>
        </is>
      </c>
      <c r="K7" s="203" t="n"/>
      <c r="L7" s="203" t="n"/>
      <c r="M7" s="203" t="n"/>
      <c r="N7" s="203" t="n"/>
      <c r="P7" s="204" t="n"/>
      <c r="Q7" s="204" t="n"/>
      <c r="R7" s="204" t="n"/>
    </row>
    <row r="8">
      <c r="A8" s="204" t="inlineStr">
        <is>
          <t>계좌</t>
        </is>
      </c>
      <c r="B8" s="72" t="inlineStr">
        <is>
          <t>번호</t>
        </is>
      </c>
      <c r="C8" s="208" t="n"/>
      <c r="D8" s="93" t="n"/>
      <c r="E8" s="94" t="n"/>
      <c r="F8" s="95" t="n"/>
      <c r="G8" s="209" t="n"/>
      <c r="H8" s="95" t="n"/>
      <c r="I8" s="76" t="n"/>
      <c r="J8" s="75" t="n"/>
      <c r="K8" s="210">
        <f>SUM(K9:K84)</f>
        <v/>
      </c>
      <c r="L8" s="75" t="n"/>
      <c r="M8" s="211">
        <f>SUM(M9:M84)</f>
        <v/>
      </c>
      <c r="N8" s="79">
        <f>IFERROR(M8/(K8-M8),)</f>
        <v/>
      </c>
      <c r="O8" s="204" t="n"/>
      <c r="P8" s="204" t="n"/>
      <c r="Q8" s="204" t="n"/>
      <c r="R8" s="204" t="n"/>
    </row>
    <row r="9" ht="12.75" customHeight="1" s="205">
      <c r="A9" s="204" t="inlineStr">
        <is>
          <t>DC</t>
        </is>
      </c>
      <c r="B9" s="204" t="n">
        <v>1</v>
      </c>
      <c r="C9" s="212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3" t="n">
        <v>9435</v>
      </c>
      <c r="H9" s="214" t="n"/>
      <c r="I9" s="215" t="n">
        <v>11045</v>
      </c>
      <c r="J9" s="216" t="n"/>
      <c r="K9" s="217">
        <f>IFERROR(I9*F9+J9*$J$5*F9,)</f>
        <v/>
      </c>
      <c r="L9" s="83">
        <f>IFERROR(K9/$K$8,)</f>
        <v/>
      </c>
      <c r="M9" s="218">
        <f>IFERROR(K9-G9*F9-H9*$J$5*F9,)</f>
        <v/>
      </c>
      <c r="N9" s="219">
        <f>IFERROR(M9/(K9-M9),)</f>
        <v/>
      </c>
      <c r="O9" s="86" t="inlineStr">
        <is>
          <t>다우커</t>
        </is>
      </c>
      <c r="P9" s="204" t="n"/>
      <c r="Q9" s="204" t="n"/>
      <c r="R9" s="204" t="n"/>
    </row>
    <row r="10" ht="12.75" customHeight="1" s="205">
      <c r="A10" s="204" t="inlineStr">
        <is>
          <t>DC</t>
        </is>
      </c>
      <c r="B10" s="204" t="n">
        <v>2</v>
      </c>
      <c r="C10" s="212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3" t="n">
        <v>10603</v>
      </c>
      <c r="H10" s="214" t="n"/>
      <c r="I10" s="215" t="n">
        <v>11065</v>
      </c>
      <c r="J10" s="216" t="n"/>
      <c r="K10" s="217">
        <f>IFERROR(I10*F10+J10*$J$5*F10,)</f>
        <v/>
      </c>
      <c r="L10" s="83">
        <f>IFERROR(K10/$K$8,)</f>
        <v/>
      </c>
      <c r="M10" s="218">
        <f>IFERROR(K10-G10*F10-H10*$J$5*F10,)</f>
        <v/>
      </c>
      <c r="N10" s="219">
        <f>IFERROR(M10/(K10-M10),)</f>
        <v/>
      </c>
      <c r="O10" s="86" t="inlineStr">
        <is>
          <t>미배당국채</t>
        </is>
      </c>
      <c r="P10" s="204" t="n"/>
      <c r="Q10" s="204" t="n"/>
      <c r="R10" s="204" t="n"/>
    </row>
    <row r="11" ht="12.75" customHeight="1" s="205">
      <c r="A11" s="204" t="inlineStr">
        <is>
          <t>DC</t>
        </is>
      </c>
      <c r="B11" s="204" t="n">
        <v>3</v>
      </c>
      <c r="C11" s="220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3" t="n">
        <v>8910</v>
      </c>
      <c r="H11" s="214" t="n"/>
      <c r="I11" s="221" t="n">
        <v>10045</v>
      </c>
      <c r="J11" s="222" t="n"/>
      <c r="K11" s="223">
        <f>IFERROR(I11*F11+J11*$J$5*F11,)</f>
        <v/>
      </c>
      <c r="L11" s="90">
        <f>IFERROR(K11/$K$8,)</f>
        <v/>
      </c>
      <c r="M11" s="218">
        <f>IFERROR(K11-G11*F11-H11*$J$5*F11,)</f>
        <v/>
      </c>
      <c r="N11" s="224">
        <f>IFERROR(M11/(K11-M11),)</f>
        <v/>
      </c>
      <c r="O11" s="86" t="inlineStr">
        <is>
          <t>다우커</t>
        </is>
      </c>
      <c r="P11" s="204" t="n"/>
      <c r="Q11" s="204" t="n"/>
      <c r="R11" s="204" t="n"/>
    </row>
    <row r="12" ht="12.75" customHeight="1" s="205">
      <c r="A12" s="204" t="inlineStr">
        <is>
          <t>DC</t>
        </is>
      </c>
      <c r="B12" s="204" t="n">
        <v>4</v>
      </c>
      <c r="C12" s="220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5" t="n">
        <v>12286</v>
      </c>
      <c r="H12" s="226" t="n"/>
      <c r="I12" s="221" t="n">
        <v>12025</v>
      </c>
      <c r="J12" s="222" t="n"/>
      <c r="K12" s="223">
        <f>IFERROR(I12*F12+J12*$J$5*F12,)</f>
        <v/>
      </c>
      <c r="L12" s="90">
        <f>IFERROR(K12/$K$8,)</f>
        <v/>
      </c>
      <c r="M12" s="218">
        <f>IFERROR(K12-G12*F12-H12*$J$5*F12,)</f>
        <v/>
      </c>
      <c r="N12" s="224">
        <f>IFERROR(M12/(K12-M12),)</f>
        <v/>
      </c>
      <c r="O12" s="198" t="inlineStr">
        <is>
          <t>국내금융배당</t>
        </is>
      </c>
      <c r="P12" s="204" t="n"/>
      <c r="Q12" s="204" t="n"/>
      <c r="R12" s="204" t="n"/>
    </row>
    <row r="13" ht="12.75" customHeight="1" s="205">
      <c r="A13" s="204" t="inlineStr">
        <is>
          <t>DC</t>
        </is>
      </c>
      <c r="B13" s="204" t="n">
        <v>5</v>
      </c>
      <c r="C13" s="220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5" t="n">
        <v>14081</v>
      </c>
      <c r="H13" s="226" t="n"/>
      <c r="I13" s="221" t="n">
        <v>13790</v>
      </c>
      <c r="J13" s="222" t="n"/>
      <c r="K13" s="223">
        <f>IFERROR(I13*F13+J13*$J$5*F13,)</f>
        <v/>
      </c>
      <c r="L13" s="90">
        <f>IFERROR(K13/$K$8,)</f>
        <v/>
      </c>
      <c r="M13" s="218">
        <f>IFERROR(K13-G13*F13-H13*$J$5*F13,)</f>
        <v/>
      </c>
      <c r="N13" s="224">
        <f>IFERROR(M13/(K13-M13),)</f>
        <v/>
      </c>
      <c r="O13" s="86" t="inlineStr">
        <is>
          <t>테크채권</t>
        </is>
      </c>
      <c r="P13" s="204" t="n"/>
      <c r="Q13" s="204" t="n"/>
      <c r="R13" s="204" t="n"/>
    </row>
    <row r="14" ht="12.75" customHeight="1" s="205">
      <c r="A14" s="204" t="inlineStr">
        <is>
          <t>DC</t>
        </is>
      </c>
      <c r="B14" s="204" t="n">
        <v>6</v>
      </c>
      <c r="C14" s="220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5" t="n">
        <v>11685</v>
      </c>
      <c r="H14" s="226" t="n"/>
      <c r="I14" s="221" t="n">
        <v>10825</v>
      </c>
      <c r="J14" s="222" t="n"/>
      <c r="K14" s="223">
        <f>IFERROR(I14*F14+J14*$J$5*F14,)</f>
        <v/>
      </c>
      <c r="L14" s="90">
        <f>IFERROR(K14/$K$8,)</f>
        <v/>
      </c>
      <c r="M14" s="218">
        <f>IFERROR(K14-G14*F14-H14*$J$5*F14,)</f>
        <v/>
      </c>
      <c r="N14" s="224">
        <f>IFERROR(M14/(K14-M14),)</f>
        <v/>
      </c>
      <c r="O14" s="86" t="inlineStr">
        <is>
          <t>달러</t>
        </is>
      </c>
      <c r="P14" s="204" t="n"/>
      <c r="Q14" s="204" t="n"/>
      <c r="R14" s="204" t="n"/>
    </row>
    <row r="15" ht="12.75" customHeight="1" s="205">
      <c r="A15" s="204" t="inlineStr">
        <is>
          <t>DC</t>
        </is>
      </c>
      <c r="B15" s="204" t="n">
        <v>7</v>
      </c>
      <c r="C15" s="220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3" t="n">
        <v>8675</v>
      </c>
      <c r="H15" s="214" t="n"/>
      <c r="I15" s="221" t="n">
        <v>7400</v>
      </c>
      <c r="J15" s="222" t="n"/>
      <c r="K15" s="223">
        <f>IFERROR(I15*F15+J15*$J$5*F15,)</f>
        <v/>
      </c>
      <c r="L15" s="90">
        <f>IFERROR(K15/$K$8,)</f>
        <v/>
      </c>
      <c r="M15" s="218">
        <f>IFERROR(K15-G15*F15-H15*$J$5*F15,)</f>
        <v/>
      </c>
      <c r="N15" s="224">
        <f>IFERROR(M15/(K15-M15),)</f>
        <v/>
      </c>
      <c r="O15" s="86" t="inlineStr">
        <is>
          <t>미국채커</t>
        </is>
      </c>
      <c r="P15" s="204" t="n"/>
      <c r="Q15" s="204" t="n"/>
      <c r="R15" s="204" t="n"/>
    </row>
    <row r="16" ht="12.75" customHeight="1" s="205">
      <c r="A16" s="204" t="inlineStr">
        <is>
          <t>DC</t>
        </is>
      </c>
      <c r="B16" s="204" t="n">
        <v>8</v>
      </c>
      <c r="C16" s="220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5" t="n">
        <v>4395</v>
      </c>
      <c r="H16" s="226" t="n"/>
      <c r="I16" s="221" t="n">
        <v>4070</v>
      </c>
      <c r="J16" s="222" t="n"/>
      <c r="K16" s="223">
        <f>IFERROR(I16*F16+J16*$J$5*F16,)</f>
        <v/>
      </c>
      <c r="L16" s="90">
        <f>IFERROR(K16/$K$8,)</f>
        <v/>
      </c>
      <c r="M16" s="218">
        <f>IFERROR(K16-G16*F16-H16*$J$5*F16,)</f>
        <v/>
      </c>
      <c r="N16" s="224">
        <f>IFERROR(M16/(K16-M16),)</f>
        <v/>
      </c>
      <c r="O16" s="86" t="inlineStr">
        <is>
          <t>국내리츠</t>
        </is>
      </c>
      <c r="P16" s="204" t="n"/>
      <c r="Q16" s="204" t="n"/>
      <c r="R16" s="204" t="n"/>
    </row>
    <row r="17" ht="12.75" customHeight="1" s="205">
      <c r="A17" s="204" t="inlineStr">
        <is>
          <t>DC</t>
        </is>
      </c>
      <c r="B17" s="204" t="n">
        <v>9</v>
      </c>
      <c r="C17" s="220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394</v>
      </c>
      <c r="G17" s="213" t="n">
        <v>27064</v>
      </c>
      <c r="H17" s="226" t="n"/>
      <c r="I17" s="221" t="n">
        <v>26385</v>
      </c>
      <c r="J17" s="222" t="n"/>
      <c r="K17" s="223">
        <f>IFERROR(I17*F17+J17*$J$5*F17,)</f>
        <v/>
      </c>
      <c r="L17" s="90">
        <f>IFERROR(K17/$K$8,)</f>
        <v/>
      </c>
      <c r="M17" s="218">
        <f>IFERROR(K17-G17*F17-H17*$J$5*F17,)</f>
        <v/>
      </c>
      <c r="N17" s="224">
        <f>IFERROR(M17/(K17-M17),)</f>
        <v/>
      </c>
      <c r="O17" s="86" t="inlineStr">
        <is>
          <t>나스닥</t>
        </is>
      </c>
      <c r="P17" s="204" t="n"/>
      <c r="Q17" s="204" t="n"/>
      <c r="R17" s="204" t="n"/>
    </row>
    <row r="18" ht="12.75" customHeight="1" s="205">
      <c r="A18" s="204" t="inlineStr">
        <is>
          <t>개인연금1</t>
        </is>
      </c>
      <c r="B18" s="204" t="n">
        <v>10</v>
      </c>
      <c r="C18" s="212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3" t="n">
        <v>10680</v>
      </c>
      <c r="H18" s="214" t="n"/>
      <c r="I18" s="215" t="n">
        <v>14820</v>
      </c>
      <c r="J18" s="216" t="n"/>
      <c r="K18" s="217">
        <f>IFERROR(I18*F18+J18*$J$5*F18,)</f>
        <v/>
      </c>
      <c r="L18" s="83">
        <f>IFERROR(K18/$K$8,)</f>
        <v/>
      </c>
      <c r="M18" s="218">
        <f>IFERROR(K18-G18*F18-H18*$J$5*F18,)</f>
        <v/>
      </c>
      <c r="N18" s="219">
        <f>IFERROR(M18/(K18-M18),)</f>
        <v/>
      </c>
      <c r="O18" s="86" t="inlineStr">
        <is>
          <t>테커</t>
        </is>
      </c>
      <c r="P18" s="204" t="n"/>
      <c r="Q18" s="204" t="n"/>
      <c r="R18" s="204" t="n"/>
    </row>
    <row r="19" ht="12.75" customHeight="1" s="205">
      <c r="A19" s="204" t="inlineStr">
        <is>
          <t>개인연금1</t>
        </is>
      </c>
      <c r="B19" s="204" t="n">
        <v>11</v>
      </c>
      <c r="C19" s="212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3" t="n">
        <v>10101</v>
      </c>
      <c r="H19" s="214" t="n"/>
      <c r="I19" s="215" t="n">
        <v>11045</v>
      </c>
      <c r="J19" s="216" t="n"/>
      <c r="K19" s="217">
        <f>IFERROR(I19*F19+J19*$J$5*F19,)</f>
        <v/>
      </c>
      <c r="L19" s="83">
        <f>IFERROR(K19/$K$8,)</f>
        <v/>
      </c>
      <c r="M19" s="218">
        <f>IFERROR(K19-G19*F19-H19*$J$5*F19,)</f>
        <v/>
      </c>
      <c r="N19" s="219">
        <f>IFERROR(M19/(K19-M19),)</f>
        <v/>
      </c>
      <c r="O19" s="86" t="inlineStr">
        <is>
          <t>다우커</t>
        </is>
      </c>
      <c r="P19" s="204" t="n"/>
      <c r="Q19" s="204" t="n"/>
      <c r="R19" s="204" t="n"/>
    </row>
    <row r="20" ht="12.75" customHeight="1" s="205">
      <c r="A20" s="204" t="inlineStr">
        <is>
          <t>개인연금1</t>
        </is>
      </c>
      <c r="B20" s="204" t="n">
        <v>12</v>
      </c>
      <c r="C20" s="220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5" t="n">
        <v>10517</v>
      </c>
      <c r="H20" s="226" t="n"/>
      <c r="I20" s="221" t="n">
        <v>13840</v>
      </c>
      <c r="J20" s="222" t="n"/>
      <c r="K20" s="223">
        <f>IFERROR(I20*F20+J20*$J$5*F20,)</f>
        <v/>
      </c>
      <c r="L20" s="90">
        <f>IFERROR(K20/$K$8,)</f>
        <v/>
      </c>
      <c r="M20" s="218">
        <f>IFERROR(K20-G20*F20-H20*$J$5*F20,)</f>
        <v/>
      </c>
      <c r="N20" s="224">
        <f>IFERROR(M20/(K20-M20),)</f>
        <v/>
      </c>
      <c r="O20" s="86" t="inlineStr">
        <is>
          <t>다우</t>
        </is>
      </c>
      <c r="P20" s="204" t="n"/>
      <c r="Q20" s="204" t="n"/>
      <c r="R20" s="204" t="n"/>
    </row>
    <row r="21" ht="12.75" customHeight="1" s="205">
      <c r="A21" s="204" t="inlineStr">
        <is>
          <t>개인연금1</t>
        </is>
      </c>
      <c r="B21" s="204" t="n">
        <v>13</v>
      </c>
      <c r="C21" s="220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898</v>
      </c>
      <c r="G21" s="213" t="n">
        <v>20316</v>
      </c>
      <c r="H21" s="226" t="n"/>
      <c r="I21" s="221" t="n">
        <v>21665</v>
      </c>
      <c r="J21" s="222" t="n"/>
      <c r="K21" s="223">
        <f>IFERROR(I21*F21+J21*$J$5*F21,)</f>
        <v/>
      </c>
      <c r="L21" s="90">
        <f>IFERROR(K21/$K$8,)</f>
        <v/>
      </c>
      <c r="M21" s="218">
        <f>IFERROR(K21-G21*F21-H21*$J$5*F21,)</f>
        <v/>
      </c>
      <c r="N21" s="224">
        <f>IFERROR(M21/(K21-M21),)</f>
        <v/>
      </c>
      <c r="O21" s="86" t="inlineStr">
        <is>
          <t>슨피</t>
        </is>
      </c>
      <c r="P21" s="204" t="n"/>
      <c r="Q21" s="204" t="n"/>
      <c r="R21" s="204" t="n"/>
    </row>
    <row r="22" ht="12.75" customHeight="1" s="205">
      <c r="A22" s="204" t="inlineStr">
        <is>
          <t>개인연금1</t>
        </is>
      </c>
      <c r="B22" s="204" t="n">
        <v>14</v>
      </c>
      <c r="C22" s="220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3" t="n">
        <v>10629</v>
      </c>
      <c r="H22" s="226" t="n"/>
      <c r="I22" s="221" t="n">
        <v>11635</v>
      </c>
      <c r="J22" s="222" t="n"/>
      <c r="K22" s="223">
        <f>IFERROR(I22*F22+J22*$J$5*F22,)</f>
        <v/>
      </c>
      <c r="L22" s="90">
        <f>IFERROR(K22/$K$8,)</f>
        <v/>
      </c>
      <c r="M22" s="218">
        <f>IFERROR(K22-G22*F22-H22*$J$5*F22,)</f>
        <v/>
      </c>
      <c r="N22" s="224">
        <f>IFERROR(M22/(K22-M22),)</f>
        <v/>
      </c>
      <c r="O22" s="86" t="inlineStr">
        <is>
          <t>슨피커</t>
        </is>
      </c>
      <c r="P22" s="204" t="n"/>
      <c r="Q22" s="204" t="n"/>
      <c r="R22" s="204" t="n"/>
    </row>
    <row r="23" ht="12.75" customHeight="1" s="205">
      <c r="A23" s="72" t="inlineStr">
        <is>
          <t>개인연금2</t>
        </is>
      </c>
      <c r="B23" s="204" t="n">
        <v>15</v>
      </c>
      <c r="C23" s="220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3" t="n">
        <v>32791</v>
      </c>
      <c r="H23" s="226" t="n"/>
      <c r="I23" s="221" t="n">
        <v>30335</v>
      </c>
      <c r="J23" s="222" t="n"/>
      <c r="K23" s="223">
        <f>IFERROR(I23*F23+J23*$J$5*F23,)</f>
        <v/>
      </c>
      <c r="L23" s="90">
        <f>IFERROR(K23/$K$8,)</f>
        <v/>
      </c>
      <c r="M23" s="218">
        <f>IFERROR(K23-G23*F23-H23*$J$5*F23,)</f>
        <v/>
      </c>
      <c r="N23" s="224">
        <f>IFERROR(M23/(K23-M23),)</f>
        <v/>
      </c>
      <c r="O23" s="86" t="inlineStr">
        <is>
          <t>나스닥</t>
        </is>
      </c>
      <c r="P23" s="204" t="n"/>
      <c r="Q23" s="204" t="n"/>
      <c r="R23" s="204" t="n"/>
    </row>
    <row r="24" ht="12.75" customHeight="1" s="205">
      <c r="A24" s="72" t="inlineStr">
        <is>
          <t>개인연금2</t>
        </is>
      </c>
      <c r="B24" s="204" t="n">
        <v>16</v>
      </c>
      <c r="C24" s="220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3" t="n">
        <v>25492</v>
      </c>
      <c r="H24" s="226" t="n"/>
      <c r="I24" s="221" t="n">
        <v>25955</v>
      </c>
      <c r="J24" s="222" t="n"/>
      <c r="K24" s="223">
        <f>IFERROR(I24*F24+J24*$J$5*F24,)</f>
        <v/>
      </c>
      <c r="L24" s="90">
        <f>IFERROR(K24/$K$8,)</f>
        <v/>
      </c>
      <c r="M24" s="218">
        <f>IFERROR(K24-G24*F24-H24*$J$5*F24,)</f>
        <v/>
      </c>
      <c r="N24" s="224">
        <f>IFERROR(M24/(K24-M24),)</f>
        <v/>
      </c>
      <c r="O24" s="86" t="inlineStr">
        <is>
          <t>슨피</t>
        </is>
      </c>
      <c r="P24" s="204" t="n"/>
      <c r="Q24" s="204" t="n"/>
      <c r="R24" s="204" t="n"/>
    </row>
    <row r="25" ht="12.75" customHeight="1" s="205">
      <c r="A25" s="204" t="inlineStr">
        <is>
          <t>ISA</t>
        </is>
      </c>
      <c r="B25" s="204" t="n">
        <v>17</v>
      </c>
      <c r="C25" s="220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5" t="n">
        <v>10928</v>
      </c>
      <c r="H25" s="226" t="n"/>
      <c r="I25" s="221" t="n">
        <v>11400</v>
      </c>
      <c r="J25" s="222" t="n"/>
      <c r="K25" s="223">
        <f>IFERROR(I25*F25+J25*$J$5*F25,)</f>
        <v/>
      </c>
      <c r="L25" s="90">
        <f>IFERROR(K25/$K$8,)</f>
        <v/>
      </c>
      <c r="M25" s="218">
        <f>IFERROR(K25-G25*F25-H25*$J$5*F25,)</f>
        <v/>
      </c>
      <c r="N25" s="224">
        <f>IFERROR(M25/(K25-M25),)</f>
        <v/>
      </c>
      <c r="O25" s="86" t="n"/>
      <c r="P25" s="204" t="n"/>
      <c r="Q25" s="204" t="n"/>
      <c r="R25" s="204" t="n"/>
    </row>
    <row r="26" ht="12.75" customHeight="1" s="205">
      <c r="A26" s="204" t="inlineStr">
        <is>
          <t>ISA</t>
        </is>
      </c>
      <c r="B26" s="204" t="n">
        <v>18</v>
      </c>
      <c r="C26" s="220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3" t="n">
        <v>9901</v>
      </c>
      <c r="H26" s="226" t="n"/>
      <c r="I26" s="215" t="n">
        <v>11045</v>
      </c>
      <c r="J26" s="222" t="n"/>
      <c r="K26" s="217">
        <f>IFERROR(I26*F26+J26*$J$5*F26,)</f>
        <v/>
      </c>
      <c r="L26" s="83">
        <f>IFERROR(K26/$K$8,)</f>
        <v/>
      </c>
      <c r="M26" s="218">
        <f>IFERROR(K26-G26*F26-H26*$J$5*F26,)</f>
        <v/>
      </c>
      <c r="N26" s="219">
        <f>IFERROR(M26/(K26-M26),)</f>
        <v/>
      </c>
      <c r="O26" s="86" t="inlineStr">
        <is>
          <t>다우커</t>
        </is>
      </c>
      <c r="P26" s="204" t="n"/>
      <c r="Q26" s="204" t="n"/>
      <c r="R26" s="204" t="n"/>
    </row>
    <row r="27" ht="12.75" customHeight="1" s="205">
      <c r="A27" s="204" t="inlineStr">
        <is>
          <t>ISA</t>
        </is>
      </c>
      <c r="B27" s="204" t="n">
        <v>19</v>
      </c>
      <c r="C27" s="212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1311</v>
      </c>
      <c r="G27" s="213" t="n">
        <v>11924</v>
      </c>
      <c r="H27" s="214" t="n"/>
      <c r="I27" s="215" t="n">
        <v>14820</v>
      </c>
      <c r="J27" s="216" t="n"/>
      <c r="K27" s="217">
        <f>IFERROR(I27*F27+J27*$J$5*F27,)</f>
        <v/>
      </c>
      <c r="L27" s="83">
        <f>IFERROR(K27/$K$8,)</f>
        <v/>
      </c>
      <c r="M27" s="218">
        <f>IFERROR(K27-G27*F27-H27*$J$5*F27,)</f>
        <v/>
      </c>
      <c r="N27" s="219">
        <f>IFERROR(M27/(K27-M27),)</f>
        <v/>
      </c>
      <c r="O27" s="86" t="inlineStr">
        <is>
          <t>테커</t>
        </is>
      </c>
      <c r="P27" s="204" t="n"/>
      <c r="Q27" s="204" t="n"/>
      <c r="R27" s="204" t="n"/>
    </row>
    <row r="28" ht="12.75" customHeight="1" s="205">
      <c r="A28" s="204" t="inlineStr">
        <is>
          <t>ISA</t>
        </is>
      </c>
      <c r="B28" s="204" t="n">
        <v>20</v>
      </c>
      <c r="C28" s="220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3" t="n">
        <v>16714</v>
      </c>
      <c r="H28" s="226" t="n"/>
      <c r="I28" s="221" t="n">
        <v>18415</v>
      </c>
      <c r="J28" s="222" t="n"/>
      <c r="K28" s="223">
        <f>IFERROR(I28*F28+J28*$J$5*F28,)</f>
        <v/>
      </c>
      <c r="L28" s="90">
        <f>IFERROR(K28/$K$8,)</f>
        <v/>
      </c>
      <c r="M28" s="218">
        <f>IFERROR(K28-G28*F28-H28*$J$5*F28,)</f>
        <v/>
      </c>
      <c r="N28" s="224">
        <f>IFERROR(M28/(K28-M28),)</f>
        <v/>
      </c>
      <c r="O28" s="86" t="inlineStr">
        <is>
          <t>테슬라</t>
        </is>
      </c>
      <c r="P28" s="204" t="n"/>
      <c r="Q28" s="204" t="n"/>
      <c r="R28" s="204" t="n"/>
    </row>
    <row r="29" ht="12.75" customHeight="1" s="205">
      <c r="A29" s="204" t="inlineStr">
        <is>
          <t>ISA</t>
        </is>
      </c>
      <c r="B29" s="204" t="n">
        <v>21</v>
      </c>
      <c r="C29" s="220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3" t="n">
        <v>9360</v>
      </c>
      <c r="H29" s="226" t="n"/>
      <c r="I29" s="221" t="n">
        <v>7855</v>
      </c>
      <c r="J29" s="222" t="n"/>
      <c r="K29" s="223">
        <f>IFERROR(I29*F29+J29*$J$5*F29,)</f>
        <v/>
      </c>
      <c r="L29" s="90">
        <f>IFERROR(K29/$K$8,)</f>
        <v/>
      </c>
      <c r="M29" s="218">
        <f>IFERROR(K29-G29*F29-H29*$J$5*F29,)</f>
        <v/>
      </c>
      <c r="N29" s="224">
        <f>IFERROR(M29/(K29-M29),)</f>
        <v/>
      </c>
      <c r="O29" s="86" t="inlineStr">
        <is>
          <t>미국채커</t>
        </is>
      </c>
      <c r="P29" s="204" t="n"/>
      <c r="Q29" s="204" t="n"/>
      <c r="R29" s="204" t="n"/>
    </row>
    <row r="30" ht="12.75" customHeight="1" s="205">
      <c r="A30" s="204" t="inlineStr">
        <is>
          <t>ISA</t>
        </is>
      </c>
      <c r="B30" s="204" t="n">
        <v>22</v>
      </c>
      <c r="C30" s="220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3" t="n">
        <v>110746</v>
      </c>
      <c r="H30" s="226" t="n"/>
      <c r="I30" s="221" t="n">
        <v>126300</v>
      </c>
      <c r="J30" s="222" t="n"/>
      <c r="K30" s="223">
        <f>IFERROR(I30*F30+J30*$J$5*F30,)</f>
        <v/>
      </c>
      <c r="L30" s="90">
        <f>IFERROR(K30/$K$8,)</f>
        <v/>
      </c>
      <c r="M30" s="218">
        <f>IFERROR(K30-G30*F30-H30*$J$5*F30,)</f>
        <v/>
      </c>
      <c r="N30" s="224">
        <f>IFERROR(M30/(K30-M30),)</f>
        <v/>
      </c>
      <c r="O30" s="86" t="inlineStr">
        <is>
          <t>기아</t>
        </is>
      </c>
      <c r="P30" s="204" t="n"/>
      <c r="Q30" s="204" t="n"/>
      <c r="R30" s="204" t="n"/>
    </row>
    <row r="31" ht="12.75" customHeight="1" s="205">
      <c r="A31" s="204" t="inlineStr">
        <is>
          <t>ISA</t>
        </is>
      </c>
      <c r="B31" s="204" t="n">
        <v>23</v>
      </c>
      <c r="C31" s="220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3" t="n">
        <v>12814</v>
      </c>
      <c r="H31" s="226" t="n"/>
      <c r="I31" s="221" t="n">
        <v>13845</v>
      </c>
      <c r="J31" s="222" t="n"/>
      <c r="K31" s="223">
        <f>IFERROR(I31*F31+J31*$J$5*F31,)</f>
        <v/>
      </c>
      <c r="L31" s="90">
        <f>IFERROR(K31/$K$8,)</f>
        <v/>
      </c>
      <c r="M31" s="218">
        <f>IFERROR(K31-G31*F31-H31*$J$5*F31,)</f>
        <v/>
      </c>
      <c r="N31" s="224">
        <f>IFERROR(M31/(K31-M31),)</f>
        <v/>
      </c>
      <c r="O31" s="86" t="inlineStr">
        <is>
          <t>양자</t>
        </is>
      </c>
      <c r="P31" s="204" t="n"/>
      <c r="Q31" s="204" t="n"/>
      <c r="R31" s="204" t="n"/>
    </row>
    <row r="32" ht="12.75" customHeight="1" s="205">
      <c r="A32" s="204" t="inlineStr">
        <is>
          <t>ISA</t>
        </is>
      </c>
      <c r="B32" s="204" t="n">
        <v>24</v>
      </c>
      <c r="C32" s="220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3" t="n">
        <v>9583</v>
      </c>
      <c r="H32" s="226" t="n"/>
      <c r="I32" s="221" t="n">
        <v>6740</v>
      </c>
      <c r="J32" s="222" t="n"/>
      <c r="K32" s="223">
        <f>IFERROR(I32*F32+J32*$J$5*F32,)</f>
        <v/>
      </c>
      <c r="L32" s="90">
        <f>IFERROR(K32/$K$8,)</f>
        <v/>
      </c>
      <c r="M32" s="218">
        <f>IFERROR(K32-G32*F32-H32*$J$5*F32,)</f>
        <v/>
      </c>
      <c r="N32" s="224">
        <f>IFERROR(M32/(K32-M32),)</f>
        <v/>
      </c>
      <c r="O32" s="86" t="inlineStr">
        <is>
          <t>미국채커</t>
        </is>
      </c>
      <c r="P32" s="204" t="n"/>
      <c r="Q32" s="204" t="n"/>
      <c r="R32" s="204" t="n"/>
    </row>
    <row r="33" ht="12.75" customHeight="1" s="205">
      <c r="A33" s="204" t="inlineStr">
        <is>
          <t>ISA</t>
        </is>
      </c>
      <c r="B33" s="204" t="n">
        <v>25</v>
      </c>
      <c r="C33" s="220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3" t="n">
        <v>14544</v>
      </c>
      <c r="H33" s="226" t="n"/>
      <c r="I33" s="221" t="n">
        <v>12735</v>
      </c>
      <c r="J33" s="222" t="n"/>
      <c r="K33" s="223">
        <f>IFERROR(I33*F33+J33*$J$5*F33,)</f>
        <v/>
      </c>
      <c r="L33" s="90">
        <f>IFERROR(K33/$K$8,)</f>
        <v/>
      </c>
      <c r="M33" s="218">
        <f>IFERROR(K33-G33*F33-H33*$J$5*F33,)</f>
        <v/>
      </c>
      <c r="N33" s="224">
        <f>IFERROR(M33/(K33-M33),)</f>
        <v/>
      </c>
      <c r="O33" s="86" t="inlineStr">
        <is>
          <t>금</t>
        </is>
      </c>
      <c r="P33" s="204" t="n"/>
      <c r="Q33" s="204" t="n"/>
      <c r="R33" s="204" t="n"/>
    </row>
    <row r="34" ht="12.75" customHeight="1" s="205">
      <c r="A34" s="204" t="inlineStr">
        <is>
          <t>ISA</t>
        </is>
      </c>
      <c r="B34" s="204" t="n">
        <v>26</v>
      </c>
      <c r="C34" s="220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3" t="n">
        <v>160810</v>
      </c>
      <c r="H34" s="226" t="n"/>
      <c r="I34" s="221" t="n">
        <v>183000</v>
      </c>
      <c r="J34" s="222" t="n"/>
      <c r="K34" s="223">
        <f>IFERROR(I34*F34+J34*$J$5*F34,)</f>
        <v/>
      </c>
      <c r="L34" s="90">
        <f>IFERROR(K34/$K$8,)</f>
        <v/>
      </c>
      <c r="M34" s="218">
        <f>IFERROR(K34-G34*F34-H34*$J$5*F34,)</f>
        <v/>
      </c>
      <c r="N34" s="224">
        <f>IFERROR(M34/(K34-M34),)</f>
        <v/>
      </c>
      <c r="O34" s="86" t="inlineStr">
        <is>
          <t>현대차</t>
        </is>
      </c>
      <c r="P34" s="204" t="n"/>
      <c r="Q34" s="204" t="n"/>
      <c r="R34" s="204" t="n"/>
    </row>
    <row r="35" ht="12.75" customHeight="1" s="205">
      <c r="A35" s="204" t="inlineStr">
        <is>
          <t>ISA</t>
        </is>
      </c>
      <c r="B35" s="204" t="n">
        <v>27</v>
      </c>
      <c r="C35" s="220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3" t="n">
        <v>8477</v>
      </c>
      <c r="H35" s="226" t="n"/>
      <c r="I35" s="221" t="n">
        <v>10480</v>
      </c>
      <c r="J35" s="222" t="n"/>
      <c r="K35" s="223">
        <f>IFERROR(I35*F35+J35*$J$5*F35,)</f>
        <v/>
      </c>
      <c r="L35" s="90">
        <f>IFERROR(K35/$K$8,)</f>
        <v/>
      </c>
      <c r="M35" s="218">
        <f>IFERROR(K35-G35*F35-H35*$J$5*F35,)</f>
        <v/>
      </c>
      <c r="N35" s="224">
        <f>IFERROR(M35/(K35-M35),)</f>
        <v/>
      </c>
      <c r="O35" s="86" t="inlineStr">
        <is>
          <t>이차전지</t>
        </is>
      </c>
      <c r="P35" s="204" t="n"/>
      <c r="Q35" s="204" t="n"/>
      <c r="R35" s="204" t="n"/>
    </row>
    <row r="36" ht="12.75" customHeight="1" s="205">
      <c r="A36" s="204" t="inlineStr">
        <is>
          <t>ISA</t>
        </is>
      </c>
      <c r="B36" s="204" t="n">
        <v>28</v>
      </c>
      <c r="C36" s="220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3" t="n">
        <v>9378</v>
      </c>
      <c r="H36" s="226" t="n"/>
      <c r="I36" s="221" t="n">
        <v>10580</v>
      </c>
      <c r="J36" s="222" t="n"/>
      <c r="K36" s="223">
        <f>IFERROR(I36*F36+J36*$J$5*F36,)</f>
        <v/>
      </c>
      <c r="L36" s="90">
        <f>IFERROR(K36/$K$8,)</f>
        <v/>
      </c>
      <c r="M36" s="218">
        <f>IFERROR(K36-G36*F36-H36*$J$5*F36,)</f>
        <v/>
      </c>
      <c r="N36" s="224">
        <f>IFERROR(M36/(K36-M36),)</f>
        <v/>
      </c>
      <c r="O36" s="86" t="inlineStr">
        <is>
          <t>헬스</t>
        </is>
      </c>
      <c r="P36" s="204" t="n"/>
      <c r="Q36" s="204" t="n"/>
      <c r="R36" s="204" t="n"/>
    </row>
    <row r="37" ht="12.75" customHeight="1" s="205">
      <c r="A37" s="204" t="inlineStr">
        <is>
          <t>ISA</t>
        </is>
      </c>
      <c r="B37" s="204" t="n">
        <v>29</v>
      </c>
      <c r="C37" s="220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3" t="n">
        <v>9891</v>
      </c>
      <c r="H37" s="226" t="n"/>
      <c r="I37" s="221" t="n">
        <v>10345</v>
      </c>
      <c r="J37" s="222" t="n"/>
      <c r="K37" s="223">
        <f>IFERROR(I37*F37+J37*$J$5*F37,)</f>
        <v/>
      </c>
      <c r="L37" s="90">
        <f>IFERROR(K37/$K$8,)</f>
        <v/>
      </c>
      <c r="M37" s="218">
        <f>IFERROR(K37-G37*F37-H37*$J$5*F37,)</f>
        <v/>
      </c>
      <c r="N37" s="224">
        <f>IFERROR(M37/(K37-M37),)</f>
        <v/>
      </c>
      <c r="O37" s="86" t="inlineStr">
        <is>
          <t>리츠</t>
        </is>
      </c>
      <c r="P37" s="204" t="n"/>
      <c r="Q37" s="204" t="n"/>
      <c r="R37" s="204" t="n"/>
    </row>
    <row r="38" ht="12.75" customHeight="1" s="205">
      <c r="A38" s="204" t="inlineStr">
        <is>
          <t>일반계좌</t>
        </is>
      </c>
      <c r="B38" s="204" t="n">
        <v>30</v>
      </c>
      <c r="C38" s="220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3" t="n">
        <v>160500</v>
      </c>
      <c r="H38" s="226" t="n"/>
      <c r="I38" s="221" t="n">
        <v>254750</v>
      </c>
      <c r="J38" s="222" t="n"/>
      <c r="K38" s="223">
        <f>IFERROR(I38*F38+J38*$J$5*F38,)</f>
        <v/>
      </c>
      <c r="L38" s="90">
        <f>IFERROR(K38/$K$8,)</f>
        <v/>
      </c>
      <c r="M38" s="218">
        <f>IFERROR(K38-G38*F38-H38*$J$5*F38,)</f>
        <v/>
      </c>
      <c r="N38" s="224">
        <f>IFERROR(M38/(K38-M38),)</f>
        <v/>
      </c>
      <c r="O38" s="86" t="inlineStr">
        <is>
          <t>삼전</t>
        </is>
      </c>
      <c r="P38" s="204" t="n"/>
      <c r="Q38" s="204" t="n"/>
      <c r="R38" s="204" t="n"/>
    </row>
    <row r="39" ht="12.75" customHeight="1" s="205">
      <c r="A39" s="204" t="inlineStr">
        <is>
          <t>일반계좌</t>
        </is>
      </c>
      <c r="B39" s="204" t="n">
        <v>31</v>
      </c>
      <c r="C39" s="220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3" t="n">
        <v>199400</v>
      </c>
      <c r="H39" s="226" t="n"/>
      <c r="I39" s="221" t="n">
        <v>254750</v>
      </c>
      <c r="J39" s="222" t="n"/>
      <c r="K39" s="223">
        <f>IFERROR(I39*F39+J39*$J$5*F39,)</f>
        <v/>
      </c>
      <c r="L39" s="90">
        <f>IFERROR(K39/$K$8,)</f>
        <v/>
      </c>
      <c r="M39" s="218">
        <f>IFERROR(K39-G39*F39-H39*$J$5*F39,)</f>
        <v/>
      </c>
      <c r="N39" s="224">
        <f>IFERROR(M39/(K39-M39),)</f>
        <v/>
      </c>
      <c r="O39" s="86" t="inlineStr">
        <is>
          <t>삼전</t>
        </is>
      </c>
      <c r="P39" s="204" t="n"/>
      <c r="Q39" s="204" t="n"/>
      <c r="R39" s="204" t="n"/>
    </row>
    <row r="40" ht="12.75" customHeight="1" s="205">
      <c r="A40" s="72" t="inlineStr">
        <is>
          <t>일반계좌</t>
        </is>
      </c>
      <c r="B40" s="204" t="n">
        <v>32</v>
      </c>
      <c r="C40" s="220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3" t="n">
        <v>21321</v>
      </c>
      <c r="H40" s="226" t="n"/>
      <c r="I40" s="221" t="n">
        <v>20020</v>
      </c>
      <c r="J40" s="222" t="n"/>
      <c r="K40" s="223">
        <f>IFERROR(I40*F40+J40*$J$5*F40,)</f>
        <v/>
      </c>
      <c r="L40" s="90">
        <f>IFERROR(K40/$K$8,)</f>
        <v/>
      </c>
      <c r="M40" s="218">
        <f>IFERROR(K40-G40*F40-H40*$J$5*F40,)</f>
        <v/>
      </c>
      <c r="N40" s="224">
        <f>IFERROR(M40/(K40-M40),)</f>
        <v/>
      </c>
      <c r="O40" s="86" t="inlineStr">
        <is>
          <t>헬스</t>
        </is>
      </c>
      <c r="P40" s="204" t="n"/>
      <c r="Q40" s="204" t="n"/>
      <c r="R40" s="204" t="n"/>
    </row>
    <row r="41">
      <c r="A41" s="72" t="inlineStr">
        <is>
          <t>일반계좌</t>
        </is>
      </c>
      <c r="B41" s="204" t="n">
        <v>33</v>
      </c>
      <c r="C41" s="220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3" t="n"/>
      <c r="H41" s="226" t="n">
        <v>280.9963</v>
      </c>
      <c r="I41" s="223" t="n"/>
      <c r="J41" s="92" t="n">
        <v>356.0899963378906</v>
      </c>
      <c r="K41" s="223">
        <f>IFERROR(I41*F41+J41*$J$5*F41,)</f>
        <v/>
      </c>
      <c r="L41" s="90">
        <f>IFERROR(K41/$K$8,)</f>
        <v/>
      </c>
      <c r="M41" s="218">
        <f>IFERROR(K41-G41*F41-H41*$J$5*F41,)</f>
        <v/>
      </c>
      <c r="N41" s="224">
        <f>IFERROR(M41/(K41-M41),)</f>
        <v/>
      </c>
      <c r="O41" s="86" t="inlineStr">
        <is>
          <t>테슬라</t>
        </is>
      </c>
      <c r="P41" s="204" t="n"/>
      <c r="Q41" s="204" t="n"/>
      <c r="R41" s="204" t="n"/>
    </row>
    <row r="42">
      <c r="A42" s="72" t="inlineStr">
        <is>
          <t>일반계좌</t>
        </is>
      </c>
      <c r="B42" s="204" t="n">
        <v>34</v>
      </c>
      <c r="C42" s="220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3" t="n"/>
      <c r="H42" s="226" t="n">
        <v>53.53</v>
      </c>
      <c r="I42" s="223" t="n"/>
      <c r="J42" s="92" t="n">
        <v>61.36000061035156</v>
      </c>
      <c r="K42" s="223">
        <f>IFERROR(I42*F42+J42*$J$5*F42,)</f>
        <v/>
      </c>
      <c r="L42" s="90">
        <f>IFERROR(K42/$K$8,)</f>
        <v/>
      </c>
      <c r="M42" s="218">
        <f>IFERROR(K42-G42*F42-H42*$J$5*F42,)</f>
        <v/>
      </c>
      <c r="N42" s="224">
        <f>IFERROR(M42/(K42-M42),)</f>
        <v/>
      </c>
      <c r="O42" s="86" t="inlineStr">
        <is>
          <t>미국리츠</t>
        </is>
      </c>
      <c r="P42" s="204" t="n"/>
      <c r="Q42" s="204" t="n"/>
      <c r="R42" s="204" t="n"/>
    </row>
    <row r="43">
      <c r="A43" s="72" t="inlineStr">
        <is>
          <t>일반계좌</t>
        </is>
      </c>
      <c r="B43" s="204" t="n">
        <v>35</v>
      </c>
      <c r="C43" s="220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3" t="n"/>
      <c r="H43" s="226" t="n">
        <v>29.68</v>
      </c>
      <c r="I43" s="223" t="n"/>
      <c r="J43" s="92" t="n">
        <v>37.77999877929688</v>
      </c>
      <c r="K43" s="223">
        <f>IFERROR(I43*F43+J43*$J$5*F43,)</f>
        <v/>
      </c>
      <c r="L43" s="90">
        <f>IFERROR(K43/$K$8,)</f>
        <v/>
      </c>
      <c r="M43" s="218">
        <f>IFERROR(K43-G43*F43-H43*$J$5*F43,)</f>
        <v/>
      </c>
      <c r="N43" s="224">
        <f>IFERROR(M43/(K43-M43),)</f>
        <v/>
      </c>
      <c r="O43" s="86" t="inlineStr">
        <is>
          <t>양자</t>
        </is>
      </c>
      <c r="P43" s="204" t="n"/>
      <c r="Q43" s="204" t="n"/>
      <c r="R43" s="204" t="n"/>
    </row>
    <row r="44">
      <c r="A44" s="72" t="inlineStr">
        <is>
          <t>일반계좌</t>
        </is>
      </c>
      <c r="B44" s="204" t="n">
        <v>36</v>
      </c>
      <c r="C44" s="220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3" t="n"/>
      <c r="H44" s="226" t="n">
        <v>208.16</v>
      </c>
      <c r="I44" s="223" t="n"/>
      <c r="J44" s="92" t="n">
        <v>325.1300048828125</v>
      </c>
      <c r="K44" s="223">
        <f>IFERROR(I44*F44+J44*$J$5*F44,)</f>
        <v/>
      </c>
      <c r="L44" s="90">
        <f>IFERROR(K44/$K$8,)</f>
        <v/>
      </c>
      <c r="M44" s="218">
        <f>IFERROR(K44-G44*F44-H44*$J$5*F44,)</f>
        <v/>
      </c>
      <c r="N44" s="224">
        <f>IFERROR(M44/(K44-M44),)</f>
        <v/>
      </c>
      <c r="O44" s="86" t="inlineStr">
        <is>
          <t>애플</t>
        </is>
      </c>
      <c r="P44" s="204" t="n"/>
      <c r="Q44" s="204" t="n"/>
      <c r="R44" s="204" t="n"/>
    </row>
    <row r="45">
      <c r="A45" s="72" t="inlineStr">
        <is>
          <t>일반계좌</t>
        </is>
      </c>
      <c r="B45" s="204" t="n">
        <v>37</v>
      </c>
      <c r="C45" s="220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3" t="n">
        <v>21932</v>
      </c>
      <c r="H45" s="226" t="n"/>
      <c r="I45" s="221" t="n">
        <v>20950</v>
      </c>
      <c r="J45" s="222" t="n"/>
      <c r="K45" s="223">
        <f>IFERROR(I45*F45+J45*$J$5*F45,)</f>
        <v/>
      </c>
      <c r="L45" s="90">
        <f>IFERROR(K45/$K$8,)</f>
        <v/>
      </c>
      <c r="M45" s="218">
        <f>IFERROR(K45-G45*F45-H45*$J$5*F45,)</f>
        <v/>
      </c>
      <c r="N45" s="224">
        <f>IFERROR(M45/(K45-M45),)</f>
        <v/>
      </c>
      <c r="O45" s="86" t="inlineStr">
        <is>
          <t>기업은행</t>
        </is>
      </c>
      <c r="P45" s="204" t="n"/>
      <c r="Q45" s="204" t="n"/>
      <c r="R45" s="204" t="n"/>
    </row>
    <row r="46">
      <c r="A46" s="72" t="inlineStr">
        <is>
          <t>일반계좌</t>
        </is>
      </c>
      <c r="B46" s="204" t="n">
        <v>38</v>
      </c>
      <c r="C46" s="220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3" t="n">
        <v>222701</v>
      </c>
      <c r="H46" s="226" t="n"/>
      <c r="I46" s="221" t="n">
        <v>178500</v>
      </c>
      <c r="J46" s="222" t="n"/>
      <c r="K46" s="223">
        <f>IFERROR(I46*F46+J46*$J$5*F46,)</f>
        <v/>
      </c>
      <c r="L46" s="90">
        <f>IFERROR(K46/$K$8,)</f>
        <v/>
      </c>
      <c r="M46" s="218">
        <f>IFERROR(K46-G46*F46-H46*$J$5*F46,)</f>
        <v/>
      </c>
      <c r="N46" s="224">
        <f>IFERROR(M46/(K46-M46),)</f>
        <v/>
      </c>
      <c r="O46" s="86" t="inlineStr">
        <is>
          <t>엔터</t>
        </is>
      </c>
      <c r="P46" s="204" t="n"/>
      <c r="Q46" s="204" t="n"/>
      <c r="R46" s="204" t="n"/>
    </row>
    <row r="47">
      <c r="A47" s="72" t="inlineStr">
        <is>
          <t>일반계좌</t>
        </is>
      </c>
      <c r="B47" s="204" t="n">
        <v>39</v>
      </c>
      <c r="C47" s="220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3" t="n"/>
      <c r="H47" s="226" t="n">
        <v>87.726</v>
      </c>
      <c r="I47" s="223" t="n"/>
      <c r="J47" s="92" t="n">
        <v>87.91999816894531</v>
      </c>
      <c r="K47" s="223">
        <f>IFERROR(I47*F47+J47*$J$5*F47,)</f>
        <v/>
      </c>
      <c r="L47" s="90">
        <f>IFERROR(K47/$K$8,)</f>
        <v/>
      </c>
      <c r="M47" s="218">
        <f>IFERROR(K47-G47*F47-H47*$J$5*F47,)</f>
        <v/>
      </c>
      <c r="N47" s="224">
        <f>IFERROR(M47/(K47-M47),)</f>
        <v/>
      </c>
      <c r="O47" s="86" t="inlineStr">
        <is>
          <t>나스닥</t>
        </is>
      </c>
      <c r="P47" s="204" t="n"/>
      <c r="Q47" s="204" t="n"/>
      <c r="R47" s="204" t="n"/>
    </row>
    <row r="48">
      <c r="A48" s="72" t="inlineStr">
        <is>
          <t>일반계좌</t>
        </is>
      </c>
      <c r="B48" s="204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7" t="n">
        <v>173127</v>
      </c>
      <c r="H48" s="104" t="n"/>
      <c r="I48" s="221" t="n">
        <v>173300</v>
      </c>
      <c r="J48" s="86" t="n"/>
      <c r="K48" s="223">
        <f>IFERROR(I48*F48+J48*$J$5*F48,)</f>
        <v/>
      </c>
      <c r="L48" s="90">
        <f>IFERROR(K48/$K$8,)</f>
        <v/>
      </c>
      <c r="M48" s="218">
        <f>IFERROR(K48-G48*F48-H48*$J$5*F48,)</f>
        <v/>
      </c>
      <c r="N48" s="224">
        <f>IFERROR(M48/(K48-M48),)</f>
        <v/>
      </c>
      <c r="O48" s="86" t="inlineStr">
        <is>
          <t>KB금융</t>
        </is>
      </c>
      <c r="P48" s="204" t="n"/>
      <c r="Q48" s="204" t="n"/>
      <c r="R48" s="204" t="n"/>
    </row>
    <row r="49">
      <c r="A49" s="72" t="inlineStr">
        <is>
          <t>일반계좌</t>
        </is>
      </c>
      <c r="B49" s="204" t="n">
        <v>41</v>
      </c>
      <c r="C49" s="220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8" t="n">
        <v>262599</v>
      </c>
      <c r="H49" s="229" t="n"/>
      <c r="I49" s="217">
        <f>G49</f>
        <v/>
      </c>
      <c r="J49" s="222" t="n"/>
      <c r="K49" s="223">
        <f>IFERROR(I49*F49+J49*$J$5*F49,)</f>
        <v/>
      </c>
      <c r="L49" s="90">
        <f>IFERROR(K49/$K$8,)</f>
        <v/>
      </c>
      <c r="M49" s="218">
        <f>IFERROR(K49-G49*F49-H49*$J$5*F49,)</f>
        <v/>
      </c>
      <c r="N49" s="224">
        <f>IFERROR(M49/(K49-M49),)</f>
        <v/>
      </c>
      <c r="O49" s="86" t="inlineStr">
        <is>
          <t>예수금</t>
        </is>
      </c>
      <c r="P49" s="204" t="n"/>
      <c r="Q49" s="204" t="n"/>
      <c r="R49" s="204" t="n"/>
    </row>
    <row r="50">
      <c r="A50" s="72" t="inlineStr">
        <is>
          <t>일반계좌</t>
        </is>
      </c>
      <c r="B50" s="204" t="n">
        <v>43</v>
      </c>
      <c r="C50" s="220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3" t="n">
        <v>8294</v>
      </c>
      <c r="H50" s="226" t="n"/>
      <c r="I50" s="221" t="n">
        <v>8160</v>
      </c>
      <c r="J50" s="222" t="n"/>
      <c r="K50" s="223">
        <f>IFERROR(I50*F50+J50*$J$5*F50,)</f>
        <v/>
      </c>
      <c r="L50" s="90">
        <f>IFERROR(K50/$K$8,)</f>
        <v/>
      </c>
      <c r="M50" s="218">
        <f>IFERROR(K50-G50*F50-H50*$J$5*F50,)</f>
        <v/>
      </c>
      <c r="N50" s="224">
        <f>IFERROR(M50/(K50-M50),)</f>
        <v/>
      </c>
      <c r="O50" s="86" t="n"/>
      <c r="P50" s="204" t="n"/>
      <c r="Q50" s="204" t="n"/>
      <c r="R50" s="204" t="n"/>
    </row>
    <row r="51" ht="12.75" customHeight="1" s="205">
      <c r="A51" s="72" t="inlineStr">
        <is>
          <t>일반계좌</t>
        </is>
      </c>
      <c r="B51" s="204" t="n">
        <v>44</v>
      </c>
      <c r="C51" s="220" t="n"/>
      <c r="D51" s="106" t="inlineStr">
        <is>
          <t>현금</t>
        </is>
      </c>
      <c r="E51" s="199" t="inlineStr">
        <is>
          <t>예수금(직투달러)</t>
        </is>
      </c>
      <c r="F51" s="108" t="n">
        <v>1</v>
      </c>
      <c r="G51" s="228" t="n">
        <v>2000000</v>
      </c>
      <c r="H51" s="229" t="n"/>
      <c r="I51" s="217">
        <f>G51</f>
        <v/>
      </c>
      <c r="J51" s="222" t="n"/>
      <c r="K51" s="223">
        <f>IFERROR(I51*F51+J51*$J$5*F51,)</f>
        <v/>
      </c>
      <c r="L51" s="90">
        <f>IFERROR(K51/$K$8,)</f>
        <v/>
      </c>
      <c r="M51" s="218">
        <f>IFERROR(K51-G51*F51-H51*$J$5*F51,)</f>
        <v/>
      </c>
      <c r="N51" s="224">
        <f>IFERROR(M51/(K51-M51),)</f>
        <v/>
      </c>
      <c r="O51" s="86" t="inlineStr">
        <is>
          <t>현금</t>
        </is>
      </c>
      <c r="P51" s="204" t="n"/>
      <c r="Q51" s="204" t="n"/>
      <c r="R51" s="204" t="n"/>
    </row>
    <row r="52" ht="12.75" customHeight="1" s="205">
      <c r="A52" s="72" t="inlineStr">
        <is>
          <t>일반계좌</t>
        </is>
      </c>
      <c r="B52" s="204" t="n">
        <v>45</v>
      </c>
      <c r="C52" s="220" t="inlineStr">
        <is>
          <t>한국</t>
        </is>
      </c>
      <c r="D52" s="97" t="inlineStr">
        <is>
          <t>041510</t>
        </is>
      </c>
      <c r="E52" s="200" t="inlineStr">
        <is>
          <t xml:space="preserve"> </t>
        </is>
      </c>
      <c r="F52" s="99" t="n">
        <v>24</v>
      </c>
      <c r="G52" s="213" t="n">
        <v>87423</v>
      </c>
      <c r="H52" s="226" t="n"/>
      <c r="I52" s="221" t="n">
        <v>76100</v>
      </c>
      <c r="J52" s="222" t="n"/>
      <c r="K52" s="223">
        <f>IFERROR(I52*F52+J52*$J$5*F52,)</f>
        <v/>
      </c>
      <c r="L52" s="90">
        <f>IFERROR(K52/$K$8,)</f>
        <v/>
      </c>
      <c r="M52" s="218">
        <f>IFERROR(K52-G52*F52-H52*$J$5*F52,)</f>
        <v/>
      </c>
      <c r="N52" s="224">
        <f>IFERROR(M52/(K52-M52),)</f>
        <v/>
      </c>
      <c r="O52" s="86" t="inlineStr">
        <is>
          <t>엔터</t>
        </is>
      </c>
      <c r="P52" s="204" t="n"/>
      <c r="Q52" s="204" t="n"/>
      <c r="R52" s="204" t="n"/>
    </row>
    <row r="53" ht="12.75" customHeight="1" s="205">
      <c r="A53" s="72" t="inlineStr">
        <is>
          <t>일반계좌</t>
        </is>
      </c>
      <c r="B53" s="204" t="n">
        <v>46</v>
      </c>
      <c r="C53" s="220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8" t="n">
        <v>493380</v>
      </c>
      <c r="H53" s="229" t="n"/>
      <c r="I53" s="217">
        <f>G53</f>
        <v/>
      </c>
      <c r="J53" s="222" t="n"/>
      <c r="K53" s="223">
        <f>IFERROR(I53*F53+J53*$J$5*F53,)</f>
        <v/>
      </c>
      <c r="L53" s="90">
        <f>IFERROR(K53/$K$8,)</f>
        <v/>
      </c>
      <c r="M53" s="218">
        <f>IFERROR(K53-G53*F53-H53*$J$5*F53,)</f>
        <v/>
      </c>
      <c r="N53" s="224">
        <f>IFERROR(M53/(K53-M53),)</f>
        <v/>
      </c>
      <c r="O53" s="86" t="inlineStr">
        <is>
          <t>현금</t>
        </is>
      </c>
      <c r="P53" s="204" t="n"/>
      <c r="Q53" s="204" t="n"/>
      <c r="R53" s="204" t="n"/>
    </row>
    <row r="54">
      <c r="A54" s="72" t="inlineStr">
        <is>
          <t>일반계좌</t>
        </is>
      </c>
      <c r="B54" s="204" t="n">
        <v>47</v>
      </c>
      <c r="C54" s="220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3" t="n"/>
      <c r="H54" s="226" t="n">
        <v>180.0771</v>
      </c>
      <c r="I54" s="223" t="n"/>
      <c r="J54" s="92" t="n">
        <v>142.2299957275391</v>
      </c>
      <c r="K54" s="223">
        <f>IFERROR(I54*F54+J54*$J$5*F54,)</f>
        <v/>
      </c>
      <c r="L54" s="90">
        <f>IFERROR(K54/$K$8,)</f>
        <v/>
      </c>
      <c r="M54" s="218">
        <f>IFERROR(K54-G54*F54-H54*$J$5*F54,)</f>
        <v/>
      </c>
      <c r="N54" s="224">
        <f>IFERROR(M54/(K54-M54),)</f>
        <v/>
      </c>
      <c r="O54" s="86" t="inlineStr">
        <is>
          <t>스엑</t>
        </is>
      </c>
      <c r="P54" s="204" t="n"/>
      <c r="Q54" s="204" t="n"/>
      <c r="R54" s="204" t="n"/>
    </row>
    <row r="55">
      <c r="A55" s="72" t="inlineStr">
        <is>
          <t>일반계좌</t>
        </is>
      </c>
      <c r="B55" s="204" t="n">
        <v>48</v>
      </c>
      <c r="C55" s="220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3" t="n"/>
      <c r="H55" s="226" t="n">
        <v>185.84</v>
      </c>
      <c r="I55" s="223" t="n"/>
      <c r="J55" s="92" t="n">
        <v>176.0200042724609</v>
      </c>
      <c r="K55" s="223">
        <f>IFERROR(I55*F55+J55*$J$5*F55,)</f>
        <v/>
      </c>
      <c r="L55" s="90">
        <f>IFERROR(K55/$K$8,)</f>
        <v/>
      </c>
      <c r="M55" s="218">
        <f>IFERROR(K55-G55*F55-H55*$J$5*F55,)</f>
        <v/>
      </c>
      <c r="N55" s="224">
        <f>IFERROR(M55/(K55-M55),)</f>
        <v/>
      </c>
      <c r="O55" s="86" t="inlineStr">
        <is>
          <t>아메리칸타워</t>
        </is>
      </c>
      <c r="P55" s="204" t="n"/>
      <c r="Q55" s="204" t="n"/>
      <c r="R55" s="204" t="n"/>
    </row>
    <row r="56">
      <c r="A56" s="72" t="inlineStr">
        <is>
          <t>일반계좌</t>
        </is>
      </c>
      <c r="B56" s="204" t="n">
        <v>49</v>
      </c>
      <c r="C56" s="220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3" t="n"/>
      <c r="H56" s="226" t="n">
        <v>169.016</v>
      </c>
      <c r="I56" s="223" t="n"/>
      <c r="J56" s="92" t="n">
        <v>217.4400024414062</v>
      </c>
      <c r="K56" s="223">
        <f>IFERROR(I56*F56+J56*$J$5*F56,)</f>
        <v/>
      </c>
      <c r="L56" s="90">
        <f>IFERROR(K56/$K$8,)</f>
        <v/>
      </c>
      <c r="M56" s="218">
        <f>IFERROR(K56-G56*F56-H56*$J$5*F56,)</f>
        <v/>
      </c>
      <c r="N56" s="224">
        <f>IFERROR(M56/(K56-M56),)</f>
        <v/>
      </c>
      <c r="O56" s="86" t="inlineStr">
        <is>
          <t>엔비디아</t>
        </is>
      </c>
      <c r="P56" s="204" t="n"/>
      <c r="Q56" s="204" t="n"/>
      <c r="R56" s="204" t="n"/>
    </row>
    <row r="57">
      <c r="A57" s="72" t="inlineStr">
        <is>
          <t>일반계좌</t>
        </is>
      </c>
      <c r="B57" s="204" t="n">
        <v>50</v>
      </c>
      <c r="C57" s="220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3" t="n"/>
      <c r="H57" s="226" t="n">
        <v>27.59</v>
      </c>
      <c r="I57" s="223" t="n"/>
      <c r="J57" s="92" t="n">
        <v>34.81000137329102</v>
      </c>
      <c r="K57" s="223">
        <f>IFERROR(I57*F57+J57*$J$5*F57,)</f>
        <v/>
      </c>
      <c r="L57" s="90">
        <f>IFERROR(K57/$K$8,)</f>
        <v/>
      </c>
      <c r="M57" s="218">
        <f>IFERROR(K57-G57*F57-H57*$J$5*F57,)</f>
        <v/>
      </c>
      <c r="N57" s="224">
        <f>IFERROR(M57/(K57-M57),)</f>
        <v/>
      </c>
      <c r="O57" s="86" t="inlineStr">
        <is>
          <t>다우</t>
        </is>
      </c>
      <c r="P57" s="204" t="n"/>
      <c r="Q57" s="204" t="n"/>
      <c r="R57" s="204" t="n"/>
    </row>
    <row r="58">
      <c r="A58" s="72" t="inlineStr">
        <is>
          <t>일반계좌</t>
        </is>
      </c>
      <c r="B58" s="204" t="n">
        <v>51</v>
      </c>
      <c r="C58" s="220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3" t="n"/>
      <c r="H58" s="226" t="n">
        <v>408.19</v>
      </c>
      <c r="I58" s="223" t="n"/>
      <c r="J58" s="92" t="n">
        <v>501.0199890136719</v>
      </c>
      <c r="K58" s="223">
        <f>IFERROR(I58*F58+J58*$J$5*F58,)</f>
        <v/>
      </c>
      <c r="L58" s="90">
        <f>IFERROR(K58/$K$8,)</f>
        <v/>
      </c>
      <c r="M58" s="218">
        <f>IFERROR(K58-G58*F58-H58*$J$5*F58,)</f>
        <v/>
      </c>
      <c r="N58" s="224">
        <f>IFERROR(M58/(K58-M58),)</f>
        <v/>
      </c>
      <c r="O58" s="86" t="inlineStr">
        <is>
          <t>마소</t>
        </is>
      </c>
      <c r="P58" s="204" t="n"/>
      <c r="Q58" s="204" t="n"/>
      <c r="R58" s="204" t="n"/>
    </row>
    <row r="59">
      <c r="A59" s="72" t="inlineStr">
        <is>
          <t>일반계좌</t>
        </is>
      </c>
      <c r="B59" s="204" t="n">
        <v>52</v>
      </c>
      <c r="C59" s="220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3" t="n"/>
      <c r="H59" s="226" t="n">
        <v>202.7775</v>
      </c>
      <c r="I59" s="223" t="n"/>
      <c r="J59" s="92" t="n">
        <v>182.1600036621094</v>
      </c>
      <c r="K59" s="223">
        <f>IFERROR(I59*F59+J59*$J$5*F59,)</f>
        <v/>
      </c>
      <c r="L59" s="90">
        <f>IFERROR(K59/$K$8,)</f>
        <v/>
      </c>
      <c r="M59" s="218">
        <f>IFERROR(K59-G59*F59-H59*$J$5*F59,)</f>
        <v/>
      </c>
      <c r="N59" s="224">
        <f>IFERROR(M59/(K59-M59),)</f>
        <v/>
      </c>
      <c r="O59" s="86" t="inlineStr">
        <is>
          <t>통신</t>
        </is>
      </c>
      <c r="P59" s="204" t="n"/>
      <c r="Q59" s="204" t="n"/>
      <c r="R59" s="204" t="n"/>
    </row>
    <row r="60">
      <c r="A60" s="72" t="inlineStr">
        <is>
          <t>일반계좌</t>
        </is>
      </c>
      <c r="B60" s="204" t="n">
        <v>53</v>
      </c>
      <c r="C60" s="220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3" t="n"/>
      <c r="H60" s="226" t="n">
        <v>53.67</v>
      </c>
      <c r="I60" s="223" t="n"/>
      <c r="J60" s="92" t="n">
        <v>45.11999893188477</v>
      </c>
      <c r="K60" s="223">
        <f>IFERROR(I60*F60+J60*$J$5*F60,)</f>
        <v/>
      </c>
      <c r="L60" s="90">
        <f>IFERROR(K60/$K$8,)</f>
        <v/>
      </c>
      <c r="M60" s="218">
        <f>IFERROR(K60-G60*F60-H60*$J$5*F60,)</f>
        <v/>
      </c>
      <c r="N60" s="224">
        <f>IFERROR(M60/(K60-M60),)</f>
        <v/>
      </c>
      <c r="O60" s="86" t="inlineStr">
        <is>
          <t>헬스</t>
        </is>
      </c>
      <c r="P60" s="204" t="n"/>
      <c r="Q60" s="204" t="n"/>
      <c r="R60" s="204" t="n"/>
    </row>
    <row r="61">
      <c r="A61" s="72" t="inlineStr">
        <is>
          <t>일반계좌</t>
        </is>
      </c>
      <c r="B61" s="204" t="n">
        <v>54</v>
      </c>
      <c r="C61" s="220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3" t="n"/>
      <c r="H61" s="226" t="n">
        <v>129.42</v>
      </c>
      <c r="I61" s="223" t="n"/>
      <c r="J61" s="92" t="n">
        <v>179.9199981689453</v>
      </c>
      <c r="K61" s="223">
        <f>IFERROR(I61*F61+J61*$J$5*F61,)</f>
        <v/>
      </c>
      <c r="L61" s="90">
        <f>IFERROR(K61/$K$8,)</f>
        <v/>
      </c>
      <c r="M61" s="218">
        <f>IFERROR(K61-G61*F61-H61*$J$5*F61,)</f>
        <v/>
      </c>
      <c r="N61" s="224">
        <f>IFERROR(M61/(K61-M61),)</f>
        <v/>
      </c>
      <c r="O61" s="86" t="inlineStr">
        <is>
          <t>팔란</t>
        </is>
      </c>
      <c r="P61" s="204" t="n"/>
      <c r="Q61" s="204" t="n"/>
      <c r="R61" s="204" t="n"/>
    </row>
    <row r="62">
      <c r="A62" s="72" t="inlineStr">
        <is>
          <t>일반계좌</t>
        </is>
      </c>
      <c r="B62" s="204" t="n">
        <v>55</v>
      </c>
      <c r="C62" s="220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3" t="n"/>
      <c r="H62" s="226" t="n">
        <v>62.38</v>
      </c>
      <c r="I62" s="223" t="n"/>
      <c r="J62" s="92" t="n">
        <v>62.54000091552734</v>
      </c>
      <c r="K62" s="223">
        <f>IFERROR(I62*F62+J62*$J$5*F62,)</f>
        <v/>
      </c>
      <c r="L62" s="90">
        <f>IFERROR(K62/$K$8,)</f>
        <v/>
      </c>
      <c r="M62" s="218">
        <f>IFERROR(K62-G62*F62-H62*$J$5*F62,)</f>
        <v/>
      </c>
      <c r="N62" s="224">
        <f>IFERROR(M62/(K62-M62),)</f>
        <v/>
      </c>
      <c r="O62" s="86" t="inlineStr">
        <is>
          <t>로켓</t>
        </is>
      </c>
      <c r="P62" s="204" t="n"/>
      <c r="Q62" s="204" t="n"/>
      <c r="R62" s="204" t="n"/>
    </row>
    <row r="63">
      <c r="A63" s="72" t="inlineStr">
        <is>
          <t>일반계좌</t>
        </is>
      </c>
      <c r="B63" s="204" t="n">
        <v>56</v>
      </c>
      <c r="C63" s="220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3" t="n"/>
      <c r="H63" s="226" t="n">
        <v>17.91</v>
      </c>
      <c r="I63" s="223" t="n"/>
      <c r="J63" s="92" t="n">
        <v>10.34000015258789</v>
      </c>
      <c r="K63" s="223">
        <f>IFERROR(I63*F63+J63*$J$5*F63,)</f>
        <v/>
      </c>
      <c r="L63" s="90">
        <f>IFERROR(K63/$K$8,)</f>
        <v/>
      </c>
      <c r="M63" s="218">
        <f>IFERROR(K63-G63*F63-H63*$J$5*F63,)</f>
        <v/>
      </c>
      <c r="N63" s="224">
        <f>IFERROR(M63/(K63-M63),)</f>
        <v/>
      </c>
      <c r="O63" s="86" t="inlineStr">
        <is>
          <t>C3AI</t>
        </is>
      </c>
      <c r="P63" s="204" t="n"/>
      <c r="Q63" s="204" t="n"/>
      <c r="R63" s="204" t="n"/>
    </row>
    <row r="64">
      <c r="A64" s="72" t="inlineStr">
        <is>
          <t>일반계좌</t>
        </is>
      </c>
      <c r="B64" s="204" t="n">
        <v>57</v>
      </c>
      <c r="C64" s="220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3" t="n"/>
      <c r="H64" s="226" t="n">
        <v>63.31</v>
      </c>
      <c r="I64" s="223" t="n"/>
      <c r="J64" s="92" t="n">
        <v>38.11999893188477</v>
      </c>
      <c r="K64" s="223">
        <f>IFERROR(I64*F64+J64*$J$5*F64,)</f>
        <v/>
      </c>
      <c r="L64" s="90">
        <f>IFERROR(K64/$K$8,)</f>
        <v/>
      </c>
      <c r="M64" s="218">
        <f>IFERROR(K64-G64*F64-H64*$J$5*F64,)</f>
        <v/>
      </c>
      <c r="N64" s="224">
        <f>IFERROR(M64/(K64-M64),)</f>
        <v/>
      </c>
      <c r="O64" s="86" t="inlineStr">
        <is>
          <t>나이키</t>
        </is>
      </c>
      <c r="P64" s="204" t="n"/>
      <c r="Q64" s="204" t="n"/>
      <c r="R64" s="204" t="n"/>
    </row>
    <row r="65" ht="12.75" customHeight="1" s="205">
      <c r="A65" s="72" t="inlineStr">
        <is>
          <t>일반계좌</t>
        </is>
      </c>
      <c r="B65" s="204" t="n">
        <v>58</v>
      </c>
      <c r="C65" s="220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3" t="n"/>
      <c r="H65" s="226" t="n">
        <v>340.5</v>
      </c>
      <c r="I65" s="223" t="n"/>
      <c r="J65" s="92" t="n">
        <v>414</v>
      </c>
      <c r="K65" s="223">
        <f>IFERROR(I65*F65+J65*$J$5*F65,)</f>
        <v/>
      </c>
      <c r="L65" s="90">
        <f>IFERROR(K65/$K$8,)</f>
        <v/>
      </c>
      <c r="M65" s="218">
        <f>IFERROR(K65-G65*F65-H65*$J$5*F65,)</f>
        <v/>
      </c>
      <c r="N65" s="224">
        <f>IFERROR(M65/(K65-M65),)</f>
        <v/>
      </c>
      <c r="O65" s="86" t="inlineStr">
        <is>
          <t>TSMC</t>
        </is>
      </c>
      <c r="P65" s="204" t="n"/>
      <c r="Q65" s="204" t="n"/>
      <c r="R65" s="204" t="n"/>
    </row>
    <row r="66" ht="12.75" customHeight="1" s="205">
      <c r="A66" s="72" t="inlineStr">
        <is>
          <t>일반계좌</t>
        </is>
      </c>
      <c r="B66" s="204" t="n">
        <v>59</v>
      </c>
      <c r="C66" s="220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3" t="n"/>
      <c r="H66" s="226" t="n">
        <v>203.665</v>
      </c>
      <c r="I66" s="223" t="n"/>
      <c r="J66" s="92" t="n">
        <v>176.8200073242188</v>
      </c>
      <c r="K66" s="223">
        <f>IFERROR(I66*F66+J66*$J$5*F66,)</f>
        <v/>
      </c>
      <c r="L66" s="90">
        <f>IFERROR(K66/$K$8,)</f>
        <v/>
      </c>
      <c r="M66" s="218">
        <f>IFERROR(K66-G66*F66-H66*$J$5*F66,)</f>
        <v/>
      </c>
      <c r="N66" s="224">
        <f>IFERROR(M66/(K66-M66),)</f>
        <v/>
      </c>
      <c r="O66" s="86" t="inlineStr">
        <is>
          <t>코인베이스</t>
        </is>
      </c>
      <c r="P66" s="204" t="n"/>
      <c r="Q66" s="204" t="n"/>
      <c r="R66" s="204" t="n"/>
    </row>
    <row r="67" ht="12.75" customHeight="1" s="205">
      <c r="A67" s="72" t="inlineStr">
        <is>
          <t>일반계좌</t>
        </is>
      </c>
      <c r="B67" s="204" t="n">
        <v>60</v>
      </c>
      <c r="C67" s="220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3" t="n"/>
      <c r="H67" s="226" t="n">
        <v>213.8</v>
      </c>
      <c r="I67" s="223" t="n"/>
      <c r="J67" s="92" t="n">
        <v>168.3099975585938</v>
      </c>
      <c r="K67" s="223">
        <f>IFERROR(I67*F67+J67*$J$5*F67,)</f>
        <v/>
      </c>
      <c r="L67" s="90">
        <f>IFERROR(K67/$K$8,)</f>
        <v/>
      </c>
      <c r="M67" s="218">
        <f>IFERROR(K67-G67*F67-H67*$J$5*F67,)</f>
        <v/>
      </c>
      <c r="N67" s="224">
        <f>IFERROR(M67/(K67-M67),)</f>
        <v/>
      </c>
      <c r="O67" s="86" t="inlineStr">
        <is>
          <t>에너지</t>
        </is>
      </c>
      <c r="P67" s="204" t="n"/>
      <c r="Q67" s="204" t="n"/>
      <c r="R67" s="204" t="n"/>
    </row>
    <row r="68" ht="12.75" customHeight="1" s="205">
      <c r="A68" s="72" t="inlineStr">
        <is>
          <t>일반계좌</t>
        </is>
      </c>
      <c r="B68" s="204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6" t="n">
        <v>163.125</v>
      </c>
      <c r="I68" s="217" t="n"/>
      <c r="J68" s="92" t="n">
        <v>141.3200073242188</v>
      </c>
      <c r="K68" s="223">
        <f>IFERROR(I68*F68+J68*$J$5*F68,)</f>
        <v/>
      </c>
      <c r="L68" s="90">
        <f>IFERROR(K68/$K$8,)</f>
        <v/>
      </c>
      <c r="M68" s="218">
        <f>IFERROR(K68-G68*F68-H68*$J$5*F68,)</f>
        <v/>
      </c>
      <c r="N68" s="219">
        <f>IFERROR(M68/(K68-M68),)</f>
        <v/>
      </c>
      <c r="O68" s="86" t="inlineStr">
        <is>
          <t>오라클</t>
        </is>
      </c>
      <c r="P68" s="204" t="n"/>
      <c r="Q68" s="204" t="n"/>
      <c r="R68" s="204" t="n"/>
    </row>
    <row r="69" ht="12.75" customHeight="1" s="205">
      <c r="A69" s="72" t="inlineStr">
        <is>
          <t>일반계좌</t>
        </is>
      </c>
      <c r="B69" s="204" t="n">
        <v>62</v>
      </c>
      <c r="C69" s="220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3" t="n"/>
      <c r="H69" s="226" t="n">
        <v>9.51</v>
      </c>
      <c r="I69" s="223" t="n"/>
      <c r="J69" s="92" t="n">
        <v>6.690000057220459</v>
      </c>
      <c r="K69" s="223">
        <f>IFERROR(I69*F69+J69*$J$5*F69,)</f>
        <v/>
      </c>
      <c r="L69" s="90">
        <f>IFERROR(K69/$K$8,)</f>
        <v/>
      </c>
      <c r="M69" s="218">
        <f>IFERROR(K69-G69*F69-H69*$J$5*F69,)</f>
        <v/>
      </c>
      <c r="N69" s="224">
        <f>IFERROR(M69/(K69-M69),)</f>
        <v/>
      </c>
      <c r="O69" s="86" t="inlineStr">
        <is>
          <t>조비</t>
        </is>
      </c>
      <c r="P69" s="204" t="n"/>
      <c r="Q69" s="204" t="n"/>
      <c r="R69" s="204" t="n"/>
    </row>
    <row r="70" ht="12.75" customHeight="1" s="205">
      <c r="A70" s="72" t="inlineStr">
        <is>
          <t>일반계좌</t>
        </is>
      </c>
      <c r="B70" s="204" t="n">
        <v>63</v>
      </c>
      <c r="C70" s="220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3" t="n"/>
      <c r="H70" s="226" t="n">
        <v>100.529</v>
      </c>
      <c r="I70" s="223" t="n"/>
      <c r="J70" s="92" t="n">
        <v>106.1500015258789</v>
      </c>
      <c r="K70" s="223">
        <f>IFERROR(I70*F70+J70*$J$5*F70,)</f>
        <v/>
      </c>
      <c r="L70" s="90">
        <f>IFERROR(K70/$K$8,)</f>
        <v/>
      </c>
      <c r="M70" s="218">
        <f>IFERROR(K70-G70*F70-H70*$J$5*F70,)</f>
        <v/>
      </c>
      <c r="N70" s="224">
        <f>IFERROR(M70/(K70-M70),)</f>
        <v/>
      </c>
      <c r="O70" s="86" t="inlineStr">
        <is>
          <t>스벅</t>
        </is>
      </c>
      <c r="P70" s="204" t="n"/>
      <c r="Q70" s="204" t="n"/>
      <c r="R70" s="204" t="n"/>
    </row>
    <row r="71" ht="12.75" customHeight="1" s="205">
      <c r="A71" s="72" t="inlineStr">
        <is>
          <t>일반계좌</t>
        </is>
      </c>
      <c r="B71" s="204" t="n">
        <v>64</v>
      </c>
      <c r="C71" s="220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3" t="n"/>
      <c r="H71" s="226" t="n">
        <v>19.7113</v>
      </c>
      <c r="I71" s="223" t="n"/>
      <c r="J71" s="92" t="n">
        <v>9.210000038146973</v>
      </c>
      <c r="K71" s="223">
        <f>IFERROR(I71*F71+J71*$J$5*F71,)</f>
        <v/>
      </c>
      <c r="L71" s="90">
        <f>IFERROR(K71/$K$8,)</f>
        <v/>
      </c>
      <c r="M71" s="218">
        <f>IFERROR(K71-G71*F71-H71*$J$5*F71,)</f>
        <v/>
      </c>
      <c r="N71" s="224">
        <f>IFERROR(M71/(K71-M71),)</f>
        <v/>
      </c>
      <c r="O71" s="86" t="inlineStr">
        <is>
          <t>SMR</t>
        </is>
      </c>
      <c r="P71" s="204" t="n"/>
      <c r="Q71" s="204" t="n"/>
      <c r="R71" s="204" t="n"/>
    </row>
    <row r="72" ht="12.75" customHeight="1" s="205">
      <c r="A72" s="72" t="inlineStr">
        <is>
          <t>일반계좌</t>
        </is>
      </c>
      <c r="B72" s="204" t="n">
        <v>65</v>
      </c>
      <c r="C72" s="220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3" t="n">
        <v>32011</v>
      </c>
      <c r="H72" s="226" t="n"/>
      <c r="I72" s="221" t="n">
        <v>16180</v>
      </c>
      <c r="J72" s="222" t="n"/>
      <c r="K72" s="223">
        <f>IFERROR(I72*F72+J72*$J$5*F72,)</f>
        <v/>
      </c>
      <c r="L72" s="90">
        <f>IFERROR(K72/$K$8,)</f>
        <v/>
      </c>
      <c r="M72" s="218">
        <f>IFERROR(K72-G72*F72-H72*$J$5*F72,)</f>
        <v/>
      </c>
      <c r="N72" s="224">
        <f>IFERROR(M72/(K72-M72),)</f>
        <v/>
      </c>
      <c r="O72" s="86" t="inlineStr">
        <is>
          <t>더본</t>
        </is>
      </c>
      <c r="P72" s="204" t="n"/>
      <c r="Q72" s="204" t="n"/>
      <c r="R72" s="204" t="n"/>
    </row>
    <row r="73" ht="12.75" customHeight="1" s="205">
      <c r="A73" s="72" t="inlineStr">
        <is>
          <t>일반계좌</t>
        </is>
      </c>
      <c r="B73" s="204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6" t="n">
        <v>63.42</v>
      </c>
      <c r="I73" s="217" t="n"/>
      <c r="J73" s="92" t="n">
        <v>38.52999877929688</v>
      </c>
      <c r="K73" s="223">
        <f>IFERROR(I73*F73+J73*$J$5*F73,)</f>
        <v/>
      </c>
      <c r="L73" s="90">
        <f>IFERROR(K73/$K$8,)</f>
        <v/>
      </c>
      <c r="M73" s="218">
        <f>IFERROR(K73-G73*F73-H73*$J$5*F73,)</f>
        <v/>
      </c>
      <c r="N73" s="219">
        <f>IFERROR(M73/(K73-M73),)</f>
        <v/>
      </c>
      <c r="O73" s="86" t="inlineStr">
        <is>
          <t>오클로</t>
        </is>
      </c>
      <c r="P73" s="204" t="n"/>
      <c r="Q73" s="204" t="n"/>
      <c r="R73" s="204" t="n"/>
    </row>
    <row r="74" ht="12.75" customHeight="1" s="205">
      <c r="A74" s="72" t="inlineStr">
        <is>
          <t>일반계좌</t>
        </is>
      </c>
      <c r="B74" s="204" t="n">
        <v>67</v>
      </c>
      <c r="C74" s="212" t="n"/>
      <c r="D74" s="230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7" t="n">
        <v>39525</v>
      </c>
      <c r="H74" s="231" t="n"/>
      <c r="I74" s="217">
        <f>G74</f>
        <v/>
      </c>
      <c r="J74" s="222" t="n"/>
      <c r="K74" s="223">
        <f>IFERROR(I74*F74+J74*$J$5*F74,)</f>
        <v/>
      </c>
      <c r="L74" s="90">
        <f>IFERROR(K74/$K$8,)</f>
        <v/>
      </c>
      <c r="M74" s="218">
        <f>IFERROR(K74-G74*F74-H74*$J$5*F74,)</f>
        <v/>
      </c>
      <c r="N74" s="219">
        <f>IFERROR(M74/(K74-M74),)</f>
        <v/>
      </c>
      <c r="O74" s="86" t="inlineStr">
        <is>
          <t>현금</t>
        </is>
      </c>
      <c r="P74" s="204" t="n"/>
      <c r="Q74" s="204" t="n"/>
      <c r="R74" s="204" t="n"/>
    </row>
    <row r="75" ht="12.75" customHeight="1" s="205">
      <c r="A75" s="72" t="inlineStr">
        <is>
          <t>일반계좌</t>
        </is>
      </c>
      <c r="B75" s="204" t="n">
        <v>68</v>
      </c>
      <c r="C75" s="220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3" t="n">
        <v>0</v>
      </c>
      <c r="H75" s="226" t="n"/>
      <c r="I75" s="217">
        <f>G75</f>
        <v/>
      </c>
      <c r="J75" s="222" t="n"/>
      <c r="K75" s="223">
        <f>IFERROR(I75*F75+J75*$J$5*F75,)</f>
        <v/>
      </c>
      <c r="L75" s="90">
        <f>IFERROR(K75/$K$8,)</f>
        <v/>
      </c>
      <c r="M75" s="218">
        <f>IFERROR(K75-G75*F75-H75*$J$5*F75,)</f>
        <v/>
      </c>
      <c r="N75" s="224">
        <f>IFERROR(M75/(K75-M75),)</f>
        <v/>
      </c>
      <c r="O75" s="86" t="inlineStr">
        <is>
          <t>예수금</t>
        </is>
      </c>
      <c r="P75" s="204" t="n"/>
      <c r="Q75" s="204" t="n"/>
      <c r="R75" s="204" t="n"/>
    </row>
    <row r="76" ht="12.75" customHeight="1" s="205">
      <c r="A76" s="204" t="inlineStr">
        <is>
          <t>CMA</t>
        </is>
      </c>
      <c r="B76" s="204" t="n">
        <v>69</v>
      </c>
      <c r="C76" s="220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8" t="n">
        <v>82942645</v>
      </c>
      <c r="H76" s="229" t="n"/>
      <c r="I76" s="217">
        <f>G76</f>
        <v/>
      </c>
      <c r="J76" s="222" t="n"/>
      <c r="K76" s="223">
        <f>IFERROR(I76*F76+J76*$J$5*F76,)</f>
        <v/>
      </c>
      <c r="L76" s="90">
        <f>IFERROR(K76/$K$8,)</f>
        <v/>
      </c>
      <c r="M76" s="218">
        <f>IFERROR(K76-G76*F76-H76*$J$5*F76,)</f>
        <v/>
      </c>
      <c r="N76" s="224">
        <f>IFERROR(M76/(K76-M76),)</f>
        <v/>
      </c>
      <c r="O76" s="86" t="inlineStr">
        <is>
          <t>현금</t>
        </is>
      </c>
      <c r="P76" s="204" t="n"/>
      <c r="Q76" s="204" t="n"/>
      <c r="R76" s="204" t="n"/>
    </row>
    <row r="77" ht="12.75" customHeight="1" s="205">
      <c r="A77" s="204" t="inlineStr">
        <is>
          <t>IRP</t>
        </is>
      </c>
      <c r="B77" s="204" t="n">
        <v>70</v>
      </c>
      <c r="C77" s="220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3" t="n">
        <v>17065</v>
      </c>
      <c r="H77" s="226" t="n"/>
      <c r="I77" s="221" t="n">
        <v>14990</v>
      </c>
      <c r="J77" s="222" t="n"/>
      <c r="K77" s="223">
        <f>IFERROR(I77*F77+J77*$J$5*F77,)</f>
        <v/>
      </c>
      <c r="L77" s="90">
        <f>IFERROR(K77/$K$8,)</f>
        <v/>
      </c>
      <c r="M77" s="218">
        <f>IFERROR(K77-G77*F77-H77*$J$5*F77,)</f>
        <v/>
      </c>
      <c r="N77" s="224">
        <f>IFERROR(M77/(K77-M77),)</f>
        <v/>
      </c>
      <c r="O77" s="86" t="inlineStr">
        <is>
          <t xml:space="preserve">미국채 </t>
        </is>
      </c>
      <c r="P77" s="204" t="n"/>
      <c r="Q77" s="204" t="n"/>
      <c r="R77" s="204" t="n"/>
    </row>
    <row r="78" ht="12.75" customHeight="1" s="205">
      <c r="A78" s="204" t="inlineStr">
        <is>
          <t>IRP</t>
        </is>
      </c>
      <c r="B78" s="204" t="n">
        <v>71</v>
      </c>
      <c r="C78" s="220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3" t="n">
        <v>177652</v>
      </c>
      <c r="H78" s="226" t="n"/>
      <c r="I78" s="221" t="n">
        <v>176462</v>
      </c>
      <c r="J78" s="222" t="n"/>
      <c r="K78" s="223">
        <f>IFERROR(I78*F78+J78*$J$5*F78,)</f>
        <v/>
      </c>
      <c r="L78" s="90">
        <f>IFERROR(K78/$K$8,)</f>
        <v/>
      </c>
      <c r="M78" s="218">
        <f>IFERROR(K78-G78*F78-H78*$J$5*F78,)</f>
        <v/>
      </c>
      <c r="N78" s="224">
        <f>IFERROR(M78/(K78-M78),)</f>
        <v/>
      </c>
      <c r="O78" s="86" t="inlineStr">
        <is>
          <t>나스닥</t>
        </is>
      </c>
      <c r="P78" s="204" t="n"/>
      <c r="Q78" s="204" t="n"/>
      <c r="R78" s="204" t="n"/>
    </row>
    <row r="79" ht="12.75" customHeight="1" s="205">
      <c r="A79" s="204" t="inlineStr">
        <is>
          <t>IRP</t>
        </is>
      </c>
      <c r="B79" s="204" t="n">
        <v>72</v>
      </c>
      <c r="C79" s="220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3" t="n">
        <v>24648</v>
      </c>
      <c r="H79" s="226" t="n"/>
      <c r="I79" s="221" t="n">
        <v>30415</v>
      </c>
      <c r="J79" s="222" t="n"/>
      <c r="K79" s="223">
        <f>IFERROR(I79*F79+J79*$J$5*F79,)</f>
        <v/>
      </c>
      <c r="L79" s="90">
        <f>IFERROR(K79/$K$8,)</f>
        <v/>
      </c>
      <c r="M79" s="218">
        <f>IFERROR(K79-G79*F79-H79*$J$5*F79,)</f>
        <v/>
      </c>
      <c r="N79" s="224">
        <f>IFERROR(M79/(K79-M79),)</f>
        <v/>
      </c>
      <c r="O79" s="86" t="inlineStr">
        <is>
          <t>테크</t>
        </is>
      </c>
      <c r="P79" s="204" t="n"/>
      <c r="Q79" s="204" t="n"/>
      <c r="R79" s="204" t="n"/>
    </row>
    <row r="80" ht="12.75" customHeight="1" s="205">
      <c r="A80" s="204" t="inlineStr">
        <is>
          <t>IRP</t>
        </is>
      </c>
      <c r="B80" s="204" t="n">
        <v>73</v>
      </c>
      <c r="C80" s="220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3" t="n">
        <v>18437</v>
      </c>
      <c r="H80" s="226" t="n"/>
      <c r="I80" s="221" t="n">
        <v>21665</v>
      </c>
      <c r="J80" s="222" t="n"/>
      <c r="K80" s="223">
        <f>IFERROR(I80*F80+J80*$J$5*F80,)</f>
        <v/>
      </c>
      <c r="L80" s="90">
        <f>IFERROR(K80/$K$8,)</f>
        <v/>
      </c>
      <c r="M80" s="218">
        <f>IFERROR(K80-G80*F80-H80*$J$5*F80,)</f>
        <v/>
      </c>
      <c r="N80" s="224">
        <f>IFERROR(M80/(K80-M80),)</f>
        <v/>
      </c>
      <c r="O80" s="86" t="inlineStr">
        <is>
          <t>슨피</t>
        </is>
      </c>
      <c r="P80" s="204" t="n"/>
      <c r="Q80" s="204" t="n"/>
      <c r="R80" s="204" t="n"/>
    </row>
    <row r="81" ht="12.75" customHeight="1" s="205">
      <c r="A81" s="72" t="inlineStr">
        <is>
          <t>은행예금</t>
        </is>
      </c>
      <c r="B81" s="204" t="n">
        <v>74</v>
      </c>
      <c r="C81" s="104" t="n"/>
      <c r="D81" s="230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6" t="n"/>
      <c r="I81" s="217">
        <f>G81</f>
        <v/>
      </c>
      <c r="J81" s="222" t="n"/>
      <c r="K81" s="223">
        <f>IFERROR(I81*F81+J81*$J$5*F81,)</f>
        <v/>
      </c>
      <c r="L81" s="90">
        <f>IFERROR(K81/$K$8,)</f>
        <v/>
      </c>
      <c r="M81" s="218">
        <f>IFERROR(K81-G81*F81-H81*$J$5*F81,)</f>
        <v/>
      </c>
      <c r="N81" s="219">
        <f>IFERROR(M81/(K81-M81),)</f>
        <v/>
      </c>
      <c r="O81" s="86" t="inlineStr">
        <is>
          <t>예금</t>
        </is>
      </c>
      <c r="P81" s="204" t="n"/>
      <c r="Q81" s="204" t="n"/>
      <c r="R81" s="204" t="n"/>
    </row>
    <row r="82">
      <c r="A82" s="116" t="inlineStr">
        <is>
          <t>TOSS</t>
        </is>
      </c>
      <c r="B82" s="204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32" t="n">
        <v>181.32</v>
      </c>
      <c r="I82" s="86" t="n"/>
      <c r="J82" s="123" t="n">
        <v>211.0500030517578</v>
      </c>
      <c r="K82" s="223">
        <f>IFERROR(I82*F82+J82*$J$5*F82,)</f>
        <v/>
      </c>
      <c r="L82" s="90">
        <f>IFERROR(K82/$K$8,)</f>
        <v/>
      </c>
      <c r="M82" s="218">
        <f>IFERROR(K82-G82*F82-H82*$J$5*F82,)</f>
        <v/>
      </c>
      <c r="N82" s="219">
        <f>IFERROR(M82/(K82-M82),)</f>
        <v/>
      </c>
      <c r="O82" s="125" t="inlineStr">
        <is>
          <t>셰브론</t>
        </is>
      </c>
      <c r="P82" s="204" t="n"/>
      <c r="Q82" s="204" t="n"/>
      <c r="R82" s="204" t="n"/>
    </row>
    <row r="83" ht="12.75" customHeight="1" s="205">
      <c r="A83" s="116" t="inlineStr">
        <is>
          <t>TOSS</t>
        </is>
      </c>
      <c r="B83" s="204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32" t="n">
        <v>144.41</v>
      </c>
      <c r="I83" s="86" t="n"/>
      <c r="J83" s="124" t="n">
        <v>164.5500030517578</v>
      </c>
      <c r="K83" s="223">
        <f>IFERROR(I83*F83+J83*$J$5*F83,)</f>
        <v/>
      </c>
      <c r="L83" s="90">
        <f>IFERROR(K83/$K$8,)</f>
        <v/>
      </c>
      <c r="M83" s="218">
        <f>IFERROR(K83-G83*F83-H83*$J$5*F83,)</f>
        <v/>
      </c>
      <c r="N83" s="219">
        <f>IFERROR(M83/(K83-M83),)</f>
        <v/>
      </c>
      <c r="O83" s="126" t="inlineStr">
        <is>
          <t>엑슨모빌</t>
        </is>
      </c>
      <c r="P83" s="204" t="n"/>
      <c r="Q83" s="204" t="n"/>
      <c r="R83" s="204" t="n"/>
    </row>
    <row r="84" ht="12.75" customHeight="1" s="205">
      <c r="A84" s="116" t="inlineStr">
        <is>
          <t>TOSS</t>
        </is>
      </c>
      <c r="B84" s="204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32" t="n">
        <v>115.28</v>
      </c>
      <c r="I84" s="86" t="n"/>
      <c r="J84" s="124" t="n">
        <v>105.9199981689453</v>
      </c>
      <c r="K84" s="223">
        <f>IFERROR(I84*F84+J84*$J$5*F84,)</f>
        <v/>
      </c>
      <c r="L84" s="90">
        <f>IFERROR(K84/$K$8,)</f>
        <v/>
      </c>
      <c r="M84" s="218">
        <f>IFERROR(K84-G84*F84-H84*$J$5*F84,)</f>
        <v/>
      </c>
      <c r="N84" s="219">
        <f>IFERROR(M84/(K84-M84),)</f>
        <v/>
      </c>
      <c r="O84" s="126" t="inlineStr">
        <is>
          <t>월마트</t>
        </is>
      </c>
      <c r="P84" s="204" t="n"/>
      <c r="Q84" s="204" t="n"/>
      <c r="R84" s="204" t="n"/>
    </row>
    <row r="85" ht="12.75" customHeight="1" s="205">
      <c r="A85" s="204" t="n"/>
      <c r="B85" s="204" t="n"/>
      <c r="C85" s="117" t="n"/>
      <c r="D85" s="117" t="n"/>
      <c r="E85" s="118" t="n"/>
      <c r="F85" s="117" t="n"/>
      <c r="G85" s="117" t="n"/>
      <c r="H85" s="117" t="n"/>
      <c r="I85" s="204" t="n"/>
      <c r="L85" s="204" t="n"/>
      <c r="M85" s="204" t="n"/>
      <c r="N85" s="204" t="n"/>
      <c r="O85" s="127" t="n"/>
      <c r="P85" s="204" t="n"/>
      <c r="Q85" s="204" t="n"/>
      <c r="R85" s="204" t="n"/>
    </row>
    <row r="86" ht="12.75" customHeight="1" s="205">
      <c r="A86" s="204" t="n"/>
      <c r="B86" s="204" t="n"/>
      <c r="C86" s="204" t="n"/>
      <c r="D86" s="204" t="n"/>
      <c r="E86" s="13" t="n"/>
      <c r="F86" s="204" t="n"/>
      <c r="G86" s="204" t="n"/>
      <c r="H86" s="204" t="n"/>
      <c r="I86" s="204" t="n"/>
      <c r="L86" s="204" t="n"/>
      <c r="M86" s="204" t="n"/>
      <c r="N86" s="204" t="n"/>
      <c r="O86" s="204" t="n"/>
      <c r="P86" s="204" t="n"/>
      <c r="Q86" s="204" t="n"/>
      <c r="R86" s="204" t="n"/>
    </row>
    <row r="87" ht="12.75" customHeight="1" s="205">
      <c r="A87" s="204" t="n"/>
      <c r="B87" s="204" t="n"/>
      <c r="C87" s="204" t="n"/>
      <c r="D87" s="204" t="n"/>
      <c r="E87" s="13" t="n"/>
      <c r="F87" s="204" t="n"/>
      <c r="G87" s="204" t="n"/>
      <c r="H87" s="204" t="n"/>
      <c r="I87" s="204" t="n"/>
      <c r="L87" s="204" t="n"/>
      <c r="M87" s="204" t="n"/>
      <c r="N87" s="204" t="n"/>
      <c r="O87" s="204" t="n"/>
      <c r="P87" s="204" t="n"/>
      <c r="Q87" s="204" t="n"/>
      <c r="R87" s="204" t="n"/>
    </row>
    <row r="88" ht="12.75" customHeight="1" s="205">
      <c r="A88" s="204" t="n"/>
      <c r="B88" s="204" t="n"/>
      <c r="C88" s="204" t="n"/>
      <c r="D88" s="204" t="n"/>
      <c r="E88" s="13" t="n"/>
      <c r="F88" s="204" t="n"/>
      <c r="G88" s="204" t="n"/>
      <c r="H88" s="204" t="n"/>
      <c r="I88" s="204" t="n"/>
      <c r="L88" s="204" t="n"/>
      <c r="M88" s="204" t="n"/>
      <c r="N88" s="204" t="n"/>
      <c r="O88" s="204" t="n"/>
      <c r="P88" s="204" t="n"/>
      <c r="Q88" s="204" t="n"/>
      <c r="R88" s="204" t="n"/>
    </row>
    <row r="89" ht="12.75" customHeight="1" s="205">
      <c r="A89" s="204" t="n"/>
      <c r="B89" s="204" t="n"/>
      <c r="C89" s="204" t="n"/>
      <c r="D89" s="204" t="n"/>
      <c r="E89" s="13" t="n"/>
      <c r="F89" s="204" t="n"/>
      <c r="G89" s="204" t="n"/>
      <c r="H89" s="204" t="n"/>
      <c r="I89" s="204" t="n"/>
      <c r="L89" s="204" t="n"/>
      <c r="M89" s="204" t="n"/>
      <c r="N89" s="204" t="n"/>
      <c r="O89" s="204" t="n"/>
      <c r="P89" s="204" t="n"/>
      <c r="Q89" s="204" t="n"/>
      <c r="R89" s="204" t="n"/>
    </row>
    <row r="90" ht="12.75" customHeight="1" s="205">
      <c r="A90" s="204" t="n"/>
      <c r="B90" s="204" t="n"/>
      <c r="C90" s="204" t="n"/>
      <c r="D90" s="204" t="n"/>
      <c r="E90" s="13" t="n"/>
      <c r="F90" s="204" t="n"/>
      <c r="G90" s="204" t="n"/>
      <c r="H90" s="204" t="n"/>
      <c r="I90" s="204" t="n"/>
      <c r="L90" s="204" t="n"/>
      <c r="M90" s="204" t="n"/>
      <c r="N90" s="204" t="n"/>
      <c r="O90" s="204" t="n"/>
      <c r="P90" s="204" t="n"/>
      <c r="Q90" s="204" t="n"/>
      <c r="R90" s="204" t="n"/>
    </row>
    <row r="91" ht="12.75" customHeight="1" s="205">
      <c r="A91" s="204" t="n"/>
      <c r="B91" s="204" t="n"/>
      <c r="C91" s="204" t="n"/>
      <c r="D91" s="204" t="n"/>
      <c r="E91" s="13" t="n"/>
      <c r="F91" s="204" t="n"/>
      <c r="G91" s="204" t="n"/>
      <c r="H91" s="204" t="n"/>
      <c r="I91" s="204" t="n"/>
      <c r="L91" s="204" t="n"/>
      <c r="M91" s="204" t="n"/>
      <c r="N91" s="204" t="n"/>
      <c r="O91" s="204" t="n"/>
      <c r="P91" s="204" t="n"/>
      <c r="Q91" s="204" t="n"/>
      <c r="R91" s="204" t="n"/>
    </row>
    <row r="92" ht="12.75" customHeight="1" s="205">
      <c r="A92" s="204" t="n"/>
      <c r="B92" s="204" t="n"/>
      <c r="C92" s="204" t="n"/>
      <c r="D92" s="204" t="n"/>
      <c r="E92" s="204" t="n"/>
      <c r="F92" s="204" t="n"/>
      <c r="G92" s="204" t="n"/>
      <c r="H92" s="204" t="n"/>
      <c r="I92" s="204" t="n"/>
      <c r="J92" s="204" t="n"/>
      <c r="K92" s="204" t="n"/>
      <c r="L92" s="204" t="n"/>
      <c r="M92" s="204" t="n"/>
      <c r="N92" s="204" t="n"/>
      <c r="O92" s="204" t="n"/>
      <c r="P92" s="204" t="n"/>
      <c r="Q92" s="204" t="n"/>
      <c r="R92" s="204" t="n"/>
    </row>
    <row r="93" ht="12.75" customHeight="1" s="205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  <c r="J93" s="204" t="n"/>
      <c r="K93" s="204" t="n"/>
      <c r="L93" s="204" t="n"/>
      <c r="M93" s="204" t="n"/>
      <c r="N93" s="204" t="n"/>
      <c r="O93" s="204" t="n"/>
      <c r="P93" s="204" t="n"/>
      <c r="Q93" s="204" t="n"/>
      <c r="R93" s="204" t="n"/>
    </row>
    <row r="94" ht="12.75" customHeight="1" s="205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  <c r="J94" s="204" t="n"/>
      <c r="K94" s="204" t="n"/>
      <c r="L94" s="204" t="n"/>
      <c r="M94" s="204" t="n"/>
      <c r="N94" s="204" t="n"/>
      <c r="O94" s="204" t="n"/>
      <c r="P94" s="204" t="n"/>
      <c r="Q94" s="204" t="n"/>
      <c r="R94" s="204" t="n"/>
    </row>
    <row r="95" ht="12.75" customHeight="1" s="205">
      <c r="A95" s="204" t="n"/>
      <c r="B95" s="204" t="n"/>
      <c r="C95" s="204" t="n"/>
      <c r="D95" s="204" t="n"/>
      <c r="E95" s="204" t="n"/>
      <c r="F95" s="204" t="n"/>
      <c r="G95" s="204" t="n"/>
      <c r="H95" s="204" t="n"/>
      <c r="I95" s="204" t="n"/>
      <c r="J95" s="204" t="n"/>
      <c r="K95" s="204" t="n"/>
      <c r="L95" s="204" t="n"/>
      <c r="M95" s="204" t="n"/>
      <c r="N95" s="204" t="n"/>
      <c r="O95" s="204" t="n"/>
      <c r="P95" s="204" t="n"/>
      <c r="Q95" s="204" t="n"/>
      <c r="R95" s="204" t="n"/>
    </row>
    <row r="96" ht="12.75" customHeight="1" s="205">
      <c r="A96" s="204" t="n"/>
      <c r="B96" s="204" t="n"/>
      <c r="C96" s="204" t="n"/>
      <c r="D96" s="204" t="n"/>
      <c r="E96" s="204" t="n"/>
      <c r="F96" s="204" t="n"/>
      <c r="G96" s="204" t="n"/>
      <c r="H96" s="204" t="n"/>
      <c r="I96" s="204" t="n"/>
      <c r="J96" s="204" t="n"/>
      <c r="K96" s="204" t="n"/>
      <c r="L96" s="204" t="n"/>
      <c r="M96" s="204" t="n"/>
      <c r="N96" s="204" t="n"/>
      <c r="O96" s="204" t="n"/>
      <c r="P96" s="204" t="n"/>
      <c r="Q96" s="204" t="n"/>
      <c r="R96" s="204" t="n"/>
    </row>
    <row r="97" ht="12.75" customHeight="1" s="205">
      <c r="A97" s="204" t="n"/>
      <c r="B97" s="204" t="n"/>
      <c r="C97" s="204" t="n"/>
      <c r="D97" s="204" t="n"/>
      <c r="E97" s="204" t="n"/>
      <c r="F97" s="204" t="n"/>
      <c r="G97" s="204" t="n"/>
      <c r="H97" s="204" t="n"/>
      <c r="I97" s="204" t="n"/>
      <c r="J97" s="204" t="n"/>
      <c r="K97" s="204" t="n"/>
      <c r="L97" s="204" t="n"/>
      <c r="M97" s="204" t="n"/>
      <c r="N97" s="204" t="n"/>
      <c r="O97" s="204" t="n"/>
      <c r="P97" s="204" t="n"/>
      <c r="Q97" s="204" t="n"/>
      <c r="R97" s="204" t="n"/>
    </row>
    <row r="98" ht="12.75" customHeight="1" s="205">
      <c r="A98" s="204" t="n"/>
      <c r="B98" s="204" t="n"/>
      <c r="C98" s="204" t="n"/>
      <c r="D98" s="204" t="n"/>
      <c r="E98" s="204" t="n"/>
      <c r="F98" s="204" t="n"/>
      <c r="G98" s="204" t="n"/>
      <c r="H98" s="204" t="n"/>
      <c r="I98" s="204" t="n"/>
      <c r="J98" s="204" t="n"/>
      <c r="K98" s="204" t="n"/>
      <c r="L98" s="204" t="n"/>
      <c r="M98" s="204" t="n"/>
      <c r="N98" s="204" t="n"/>
      <c r="O98" s="204" t="n"/>
      <c r="P98" s="204" t="n"/>
      <c r="Q98" s="204" t="n"/>
      <c r="R98" s="204" t="n"/>
    </row>
    <row r="99" ht="12.75" customHeight="1" s="205">
      <c r="A99" s="204" t="n"/>
      <c r="B99" s="204" t="n"/>
      <c r="C99" s="204" t="n"/>
      <c r="D99" s="204" t="n"/>
      <c r="E99" s="204" t="n"/>
      <c r="F99" s="204" t="n"/>
      <c r="G99" s="204" t="n"/>
      <c r="H99" s="204" t="n"/>
      <c r="I99" s="204" t="n"/>
      <c r="J99" s="204" t="n"/>
      <c r="K99" s="204" t="n"/>
      <c r="L99" s="204" t="n"/>
      <c r="M99" s="204" t="n"/>
      <c r="N99" s="204" t="n"/>
      <c r="O99" s="204" t="n"/>
      <c r="P99" s="204" t="n"/>
      <c r="Q99" s="204" t="n"/>
      <c r="R99" s="204" t="n"/>
    </row>
    <row r="100" ht="12.75" customHeight="1" s="205">
      <c r="A100" s="204" t="n"/>
      <c r="B100" s="204" t="n"/>
      <c r="C100" s="204" t="n"/>
      <c r="D100" s="204" t="n"/>
      <c r="E100" s="204" t="n"/>
      <c r="F100" s="204" t="n"/>
      <c r="G100" s="204" t="n"/>
      <c r="H100" s="204" t="n"/>
      <c r="I100" s="204" t="n"/>
      <c r="J100" s="204" t="n"/>
      <c r="K100" s="204" t="n"/>
      <c r="L100" s="204" t="n"/>
      <c r="M100" s="204" t="n"/>
      <c r="N100" s="204" t="n"/>
      <c r="O100" s="204" t="n"/>
      <c r="P100" s="204" t="n"/>
      <c r="Q100" s="204" t="n"/>
      <c r="R100" s="204" t="n"/>
    </row>
    <row r="101" ht="12.75" customHeight="1" s="205">
      <c r="A101" s="204" t="n"/>
      <c r="B101" s="204" t="n"/>
      <c r="C101" s="204" t="n"/>
      <c r="D101" s="204" t="n"/>
      <c r="E101" s="204" t="n"/>
      <c r="F101" s="204" t="n"/>
      <c r="G101" s="204" t="n"/>
      <c r="H101" s="204" t="n"/>
      <c r="I101" s="204" t="n"/>
      <c r="J101" s="204" t="n"/>
      <c r="K101" s="204" t="n"/>
      <c r="L101" s="204" t="n"/>
      <c r="M101" s="204" t="n"/>
      <c r="N101" s="204" t="n"/>
      <c r="O101" s="204" t="n"/>
      <c r="P101" s="204" t="n"/>
      <c r="Q101" s="204" t="n"/>
      <c r="R101" s="204" t="n"/>
    </row>
    <row r="102" ht="12.75" customHeight="1" s="205">
      <c r="A102" s="204" t="n"/>
      <c r="B102" s="204" t="n"/>
      <c r="C102" s="204" t="n"/>
      <c r="D102" s="204" t="n"/>
      <c r="E102" s="204" t="n"/>
      <c r="F102" s="204" t="n"/>
      <c r="G102" s="204" t="n"/>
      <c r="H102" s="204" t="n"/>
      <c r="I102" s="204" t="n"/>
      <c r="J102" s="204" t="n"/>
      <c r="K102" s="204" t="n"/>
      <c r="L102" s="204" t="n"/>
      <c r="M102" s="204" t="n"/>
      <c r="N102" s="204" t="n"/>
      <c r="O102" s="204" t="n"/>
      <c r="P102" s="204" t="n"/>
      <c r="Q102" s="204" t="n"/>
      <c r="R102" s="204" t="n"/>
    </row>
    <row r="103" ht="12.75" customHeight="1" s="205">
      <c r="A103" s="204" t="n"/>
      <c r="B103" s="204" t="n"/>
      <c r="C103" s="204" t="n"/>
      <c r="D103" s="204" t="n"/>
      <c r="E103" s="204" t="n"/>
      <c r="F103" s="204" t="n"/>
      <c r="G103" s="204" t="n"/>
      <c r="H103" s="204" t="n"/>
      <c r="I103" s="204" t="n"/>
      <c r="J103" s="204" t="n"/>
      <c r="K103" s="204" t="n"/>
      <c r="L103" s="204" t="n"/>
      <c r="M103" s="204" t="n"/>
      <c r="N103" s="204" t="n"/>
      <c r="O103" s="204" t="n"/>
      <c r="P103" s="204" t="n"/>
      <c r="Q103" s="204" t="n"/>
      <c r="R103" s="204" t="n"/>
    </row>
    <row r="104" ht="12.75" customHeight="1" s="205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  <c r="J104" s="204" t="n"/>
      <c r="K104" s="204" t="n"/>
      <c r="L104" s="204" t="n"/>
      <c r="M104" s="204" t="n"/>
      <c r="N104" s="204" t="n"/>
      <c r="O104" s="204" t="n"/>
      <c r="P104" s="204" t="n"/>
      <c r="Q104" s="204" t="n"/>
      <c r="R104" s="204" t="n"/>
    </row>
    <row r="105" ht="12.75" customHeight="1" s="205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  <c r="J105" s="204" t="n"/>
      <c r="K105" s="204" t="n"/>
      <c r="L105" s="204" t="n"/>
      <c r="M105" s="204" t="n"/>
      <c r="N105" s="204" t="n"/>
      <c r="O105" s="204" t="n"/>
      <c r="P105" s="204" t="n"/>
      <c r="Q105" s="204" t="n"/>
      <c r="R105" s="204" t="n"/>
    </row>
    <row r="106" ht="12.75" customHeight="1" s="205">
      <c r="A106" s="204" t="n"/>
      <c r="B106" s="204" t="n"/>
      <c r="C106" s="204" t="n"/>
      <c r="D106" s="204" t="n"/>
      <c r="E106" s="204" t="n"/>
      <c r="F106" s="204" t="n"/>
      <c r="G106" s="204" t="n"/>
      <c r="H106" s="204" t="n"/>
      <c r="I106" s="204" t="n"/>
      <c r="J106" s="204" t="n"/>
      <c r="K106" s="204" t="n"/>
      <c r="L106" s="204" t="n"/>
      <c r="M106" s="204" t="n"/>
      <c r="N106" s="204" t="n"/>
      <c r="O106" s="204" t="n"/>
      <c r="P106" s="204" t="n"/>
      <c r="Q106" s="204" t="n"/>
      <c r="R106" s="204" t="n"/>
    </row>
    <row r="107" ht="12.75" customHeight="1" s="205">
      <c r="A107" s="204" t="n"/>
      <c r="B107" s="204" t="n"/>
      <c r="C107" s="204" t="n"/>
      <c r="D107" s="204" t="n"/>
      <c r="E107" s="204" t="n"/>
      <c r="F107" s="204" t="n"/>
      <c r="G107" s="204" t="n"/>
      <c r="H107" s="204" t="n"/>
      <c r="I107" s="204" t="n"/>
      <c r="J107" s="204" t="n"/>
      <c r="K107" s="204" t="n"/>
      <c r="L107" s="204" t="n"/>
      <c r="M107" s="204" t="n"/>
      <c r="N107" s="204" t="n"/>
      <c r="O107" s="204" t="n"/>
      <c r="P107" s="204" t="n"/>
      <c r="Q107" s="204" t="n"/>
      <c r="R107" s="204" t="n"/>
    </row>
    <row r="108" ht="12.75" customHeight="1" s="205">
      <c r="A108" s="204" t="n"/>
      <c r="B108" s="204" t="n"/>
      <c r="C108" s="204" t="n"/>
      <c r="D108" s="204" t="n"/>
      <c r="E108" s="204" t="n"/>
      <c r="F108" s="204" t="n"/>
      <c r="G108" s="204" t="n"/>
      <c r="H108" s="204" t="n"/>
      <c r="I108" s="204" t="n"/>
      <c r="J108" s="204" t="n"/>
      <c r="K108" s="204" t="n"/>
      <c r="L108" s="204" t="n"/>
      <c r="M108" s="204" t="n"/>
      <c r="N108" s="204" t="n"/>
      <c r="O108" s="204" t="n"/>
      <c r="P108" s="204" t="n"/>
      <c r="Q108" s="204" t="n"/>
      <c r="R108" s="204" t="n"/>
    </row>
    <row r="109" ht="12.75" customHeight="1" s="205">
      <c r="A109" s="204" t="n"/>
      <c r="B109" s="20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04" t="n"/>
      <c r="P109" s="204" t="n"/>
      <c r="Q109" s="204" t="n"/>
      <c r="R109" s="204" t="n"/>
    </row>
    <row r="110" ht="12.75" customHeight="1" s="205">
      <c r="A110" s="204" t="n"/>
      <c r="B110" s="204" t="n"/>
      <c r="C110" s="204" t="n"/>
      <c r="D110" s="204" t="n"/>
      <c r="E110" s="204" t="n"/>
      <c r="F110" s="204" t="n"/>
      <c r="G110" s="204" t="n"/>
      <c r="H110" s="204" t="n"/>
      <c r="I110" s="204" t="n"/>
      <c r="J110" s="204" t="n"/>
      <c r="K110" s="204" t="n"/>
      <c r="L110" s="204" t="n"/>
      <c r="M110" s="204" t="n"/>
      <c r="N110" s="204" t="n"/>
      <c r="O110" s="204" t="n"/>
      <c r="P110" s="204" t="n"/>
      <c r="Q110" s="204" t="n"/>
      <c r="R110" s="204" t="n"/>
    </row>
    <row r="111" ht="12.75" customHeight="1" s="205">
      <c r="A111" s="204" t="n"/>
      <c r="B111" s="204" t="n"/>
      <c r="C111" s="204" t="n"/>
      <c r="D111" s="204" t="n"/>
      <c r="E111" s="204" t="n"/>
      <c r="F111" s="204" t="n"/>
      <c r="G111" s="204" t="n"/>
      <c r="H111" s="204" t="n"/>
      <c r="I111" s="204" t="n"/>
      <c r="J111" s="204" t="n"/>
      <c r="K111" s="204" t="n"/>
      <c r="L111" s="204" t="n"/>
      <c r="M111" s="204" t="n"/>
      <c r="N111" s="204" t="n"/>
      <c r="O111" s="204" t="n"/>
      <c r="P111" s="204" t="n"/>
      <c r="Q111" s="204" t="n"/>
      <c r="R111" s="204" t="n"/>
    </row>
    <row r="112" ht="12.75" customHeight="1" s="205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  <c r="J112" s="204" t="n"/>
      <c r="K112" s="204" t="n"/>
      <c r="L112" s="204" t="n"/>
      <c r="M112" s="204" t="n"/>
      <c r="N112" s="204" t="n"/>
      <c r="O112" s="204" t="n"/>
      <c r="P112" s="204" t="n"/>
      <c r="Q112" s="204" t="n"/>
      <c r="R112" s="204" t="n"/>
    </row>
    <row r="113" ht="12.75" customHeight="1" s="205">
      <c r="A113" s="204" t="n"/>
      <c r="B113" s="204" t="n"/>
      <c r="C113" s="204" t="n"/>
      <c r="D113" s="204" t="n"/>
      <c r="E113" s="204" t="n"/>
      <c r="F113" s="204" t="n"/>
      <c r="G113" s="204" t="n"/>
      <c r="H113" s="204" t="n"/>
      <c r="I113" s="204" t="n"/>
      <c r="J113" s="204" t="n"/>
      <c r="K113" s="204" t="n"/>
      <c r="L113" s="204" t="n"/>
      <c r="M113" s="204" t="n"/>
      <c r="N113" s="204" t="n"/>
      <c r="O113" s="204" t="n"/>
      <c r="P113" s="204" t="n"/>
      <c r="Q113" s="204" t="n"/>
      <c r="R113" s="204" t="n"/>
    </row>
    <row r="114" ht="12.75" customHeight="1" s="205">
      <c r="A114" s="204" t="n"/>
      <c r="B114" s="204" t="n"/>
      <c r="C114" s="204" t="n"/>
      <c r="D114" s="204" t="n"/>
      <c r="E114" s="204" t="n"/>
      <c r="F114" s="204" t="n"/>
      <c r="G114" s="204" t="n"/>
      <c r="H114" s="204" t="n"/>
      <c r="I114" s="204" t="n"/>
      <c r="J114" s="204" t="n"/>
      <c r="K114" s="204" t="n"/>
      <c r="L114" s="204" t="n"/>
      <c r="M114" s="204" t="n"/>
      <c r="N114" s="204" t="n"/>
      <c r="O114" s="204" t="n"/>
      <c r="P114" s="204" t="n"/>
      <c r="Q114" s="204" t="n"/>
      <c r="R114" s="204" t="n"/>
    </row>
    <row r="115" ht="12.75" customHeight="1" s="205">
      <c r="A115" s="204" t="n"/>
      <c r="B115" s="204" t="n"/>
      <c r="C115" s="204" t="n"/>
      <c r="D115" s="204" t="n"/>
      <c r="E115" s="204" t="n"/>
      <c r="F115" s="204" t="n"/>
      <c r="G115" s="204" t="n"/>
      <c r="H115" s="204" t="n"/>
      <c r="I115" s="204" t="n"/>
      <c r="J115" s="204" t="n"/>
      <c r="K115" s="204" t="n"/>
      <c r="L115" s="204" t="n"/>
      <c r="M115" s="204" t="n"/>
      <c r="N115" s="204" t="n"/>
      <c r="O115" s="204" t="n"/>
      <c r="P115" s="204" t="n"/>
      <c r="Q115" s="204" t="n"/>
      <c r="R115" s="204" t="n"/>
    </row>
    <row r="116" ht="12.75" customHeight="1" s="205">
      <c r="A116" s="204" t="n"/>
      <c r="B116" s="204" t="n"/>
      <c r="C116" s="204" t="n"/>
      <c r="D116" s="204" t="n"/>
      <c r="E116" s="204" t="n"/>
      <c r="F116" s="204" t="n"/>
      <c r="G116" s="204" t="n"/>
      <c r="H116" s="204" t="n"/>
      <c r="I116" s="204" t="n"/>
      <c r="J116" s="204" t="n"/>
      <c r="K116" s="204" t="n"/>
      <c r="L116" s="204" t="n"/>
      <c r="M116" s="204" t="n"/>
      <c r="N116" s="204" t="n"/>
      <c r="O116" s="204" t="n"/>
      <c r="P116" s="204" t="n"/>
      <c r="Q116" s="204" t="n"/>
      <c r="R116" s="204" t="n"/>
    </row>
    <row r="117" ht="12.75" customHeight="1" s="205">
      <c r="A117" s="204" t="n"/>
      <c r="B117" s="204" t="n"/>
      <c r="C117" s="204" t="n"/>
      <c r="D117" s="204" t="n"/>
      <c r="E117" s="204" t="n"/>
      <c r="F117" s="204" t="n"/>
      <c r="G117" s="204" t="n"/>
      <c r="H117" s="204" t="n"/>
      <c r="I117" s="204" t="n"/>
      <c r="J117" s="204" t="n"/>
      <c r="K117" s="204" t="n"/>
      <c r="L117" s="204" t="n"/>
      <c r="M117" s="204" t="n"/>
      <c r="N117" s="204" t="n"/>
      <c r="O117" s="204" t="n"/>
      <c r="P117" s="204" t="n"/>
      <c r="Q117" s="204" t="n"/>
      <c r="R117" s="204" t="n"/>
    </row>
    <row r="118" ht="12.75" customHeight="1" s="205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  <c r="J118" s="204" t="n"/>
      <c r="K118" s="204" t="n"/>
      <c r="L118" s="204" t="n"/>
      <c r="M118" s="204" t="n"/>
      <c r="N118" s="204" t="n"/>
      <c r="O118" s="204" t="n"/>
      <c r="P118" s="204" t="n"/>
      <c r="Q118" s="204" t="n"/>
      <c r="R118" s="204" t="n"/>
    </row>
    <row r="119" ht="12.75" customHeight="1" s="205">
      <c r="A119" s="204" t="n"/>
      <c r="B119" s="204" t="n"/>
      <c r="C119" s="204" t="n"/>
      <c r="D119" s="204" t="n"/>
      <c r="E119" s="204" t="n"/>
      <c r="F119" s="204" t="n"/>
      <c r="G119" s="204" t="n"/>
      <c r="H119" s="204" t="n"/>
      <c r="I119" s="204" t="n"/>
      <c r="J119" s="204" t="n"/>
      <c r="K119" s="204" t="n"/>
      <c r="L119" s="204" t="n"/>
      <c r="M119" s="204" t="n"/>
      <c r="N119" s="204" t="n"/>
      <c r="O119" s="204" t="n"/>
      <c r="P119" s="204" t="n"/>
      <c r="Q119" s="204" t="n"/>
      <c r="R119" s="204" t="n"/>
    </row>
    <row r="120" ht="12.75" customHeight="1" s="205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  <c r="J120" s="204" t="n"/>
      <c r="K120" s="204" t="n"/>
      <c r="L120" s="204" t="n"/>
      <c r="M120" s="204" t="n"/>
      <c r="N120" s="204" t="n"/>
      <c r="O120" s="204" t="n"/>
      <c r="P120" s="204" t="n"/>
      <c r="Q120" s="204" t="n"/>
      <c r="R120" s="204" t="n"/>
    </row>
    <row r="121" ht="12.75" customHeight="1" s="205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  <c r="J121" s="204" t="n"/>
      <c r="K121" s="204" t="n"/>
      <c r="L121" s="204" t="n"/>
      <c r="M121" s="204" t="n"/>
      <c r="N121" s="204" t="n"/>
      <c r="O121" s="204" t="n"/>
      <c r="P121" s="204" t="n"/>
      <c r="Q121" s="204" t="n"/>
      <c r="R121" s="204" t="n"/>
    </row>
    <row r="122" ht="12.75" customHeight="1" s="205">
      <c r="A122" s="204" t="n"/>
      <c r="B122" s="204" t="n"/>
      <c r="C122" s="204" t="n"/>
      <c r="D122" s="204" t="n"/>
      <c r="E122" s="204" t="n"/>
      <c r="F122" s="204" t="n"/>
      <c r="G122" s="204" t="n"/>
      <c r="H122" s="204" t="n"/>
      <c r="I122" s="204" t="n"/>
      <c r="J122" s="204" t="n"/>
      <c r="K122" s="204" t="n"/>
      <c r="L122" s="204" t="n"/>
      <c r="M122" s="204" t="n"/>
      <c r="N122" s="204" t="n"/>
      <c r="O122" s="204" t="n"/>
      <c r="P122" s="204" t="n"/>
      <c r="Q122" s="204" t="n"/>
      <c r="R122" s="204" t="n"/>
    </row>
    <row r="123" ht="12.75" customHeight="1" s="205">
      <c r="A123" s="204" t="n"/>
      <c r="B123" s="204" t="n"/>
      <c r="C123" s="204" t="n"/>
      <c r="D123" s="204" t="n"/>
      <c r="E123" s="204" t="n"/>
      <c r="F123" s="204" t="n"/>
      <c r="G123" s="204" t="n"/>
      <c r="H123" s="204" t="n"/>
      <c r="I123" s="204" t="n"/>
      <c r="J123" s="204" t="n"/>
      <c r="K123" s="204" t="n"/>
      <c r="L123" s="204" t="n"/>
      <c r="M123" s="204" t="n"/>
      <c r="N123" s="204" t="n"/>
      <c r="O123" s="204" t="n"/>
      <c r="P123" s="204" t="n"/>
      <c r="Q123" s="204" t="n"/>
      <c r="R123" s="204" t="n"/>
    </row>
    <row r="124" ht="12.75" customHeight="1" s="205">
      <c r="A124" s="204" t="n"/>
      <c r="B124" s="204" t="n"/>
      <c r="C124" s="204" t="n"/>
      <c r="D124" s="204" t="n"/>
      <c r="E124" s="204" t="n"/>
      <c r="F124" s="204" t="n"/>
      <c r="G124" s="204" t="n"/>
      <c r="H124" s="204" t="n"/>
      <c r="I124" s="204" t="n"/>
      <c r="J124" s="204" t="n"/>
      <c r="K124" s="204" t="n"/>
      <c r="L124" s="204" t="n"/>
      <c r="M124" s="204" t="n"/>
      <c r="N124" s="204" t="n"/>
      <c r="O124" s="204" t="n"/>
      <c r="P124" s="204" t="n"/>
      <c r="Q124" s="204" t="n"/>
      <c r="R124" s="204" t="n"/>
    </row>
    <row r="125" ht="12.75" customHeight="1" s="205">
      <c r="A125" s="204" t="n"/>
      <c r="B125" s="204" t="n"/>
      <c r="C125" s="204" t="n"/>
      <c r="D125" s="204" t="n"/>
      <c r="E125" s="204" t="n"/>
      <c r="F125" s="204" t="n"/>
      <c r="G125" s="204" t="n"/>
      <c r="H125" s="204" t="n"/>
      <c r="I125" s="204" t="n"/>
      <c r="J125" s="204" t="n"/>
      <c r="K125" s="204" t="n"/>
      <c r="L125" s="204" t="n"/>
      <c r="M125" s="204" t="n"/>
      <c r="N125" s="204" t="n"/>
      <c r="O125" s="204" t="n"/>
      <c r="P125" s="204" t="n"/>
      <c r="Q125" s="204" t="n"/>
      <c r="R125" s="204" t="n"/>
    </row>
    <row r="126" ht="12.75" customHeight="1" s="205">
      <c r="A126" s="204" t="n"/>
      <c r="B126" s="204" t="n"/>
      <c r="C126" s="204" t="n"/>
      <c r="D126" s="204" t="n"/>
      <c r="E126" s="204" t="n"/>
      <c r="F126" s="204" t="n"/>
      <c r="G126" s="204" t="n"/>
      <c r="H126" s="204" t="n"/>
      <c r="I126" s="204" t="n"/>
      <c r="J126" s="204" t="n"/>
      <c r="K126" s="204" t="n"/>
      <c r="L126" s="204" t="n"/>
      <c r="M126" s="204" t="n"/>
      <c r="N126" s="204" t="n"/>
      <c r="O126" s="204" t="n"/>
      <c r="P126" s="204" t="n"/>
      <c r="Q126" s="204" t="n"/>
      <c r="R126" s="204" t="n"/>
    </row>
    <row r="127" ht="12.75" customHeight="1" s="205">
      <c r="A127" s="204" t="n"/>
      <c r="B127" s="204" t="n"/>
      <c r="C127" s="204" t="n"/>
      <c r="D127" s="204" t="n"/>
      <c r="E127" s="204" t="n"/>
      <c r="F127" s="204" t="n"/>
      <c r="G127" s="204" t="n"/>
      <c r="H127" s="204" t="n"/>
      <c r="I127" s="204" t="n"/>
      <c r="J127" s="204" t="n"/>
      <c r="K127" s="204" t="n"/>
      <c r="L127" s="204" t="n"/>
      <c r="M127" s="204" t="n"/>
      <c r="N127" s="204" t="n"/>
      <c r="O127" s="204" t="n"/>
      <c r="P127" s="204" t="n"/>
      <c r="Q127" s="204" t="n"/>
      <c r="R127" s="204" t="n"/>
    </row>
    <row r="128" ht="12.75" customHeight="1" s="205">
      <c r="A128" s="204" t="n"/>
      <c r="B128" s="204" t="n"/>
      <c r="C128" s="204" t="n"/>
      <c r="D128" s="204" t="n"/>
      <c r="E128" s="204" t="n"/>
      <c r="F128" s="204" t="n"/>
      <c r="G128" s="204" t="n"/>
      <c r="H128" s="204" t="n"/>
      <c r="I128" s="204" t="n"/>
      <c r="J128" s="204" t="n"/>
      <c r="K128" s="204" t="n"/>
      <c r="L128" s="204" t="n"/>
      <c r="M128" s="204" t="n"/>
      <c r="N128" s="204" t="n"/>
      <c r="O128" s="204" t="n"/>
      <c r="P128" s="204" t="n"/>
      <c r="Q128" s="204" t="n"/>
      <c r="R128" s="204" t="n"/>
    </row>
    <row r="129" ht="12.75" customHeight="1" s="205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  <c r="J129" s="204" t="n"/>
      <c r="K129" s="204" t="n"/>
      <c r="L129" s="204" t="n"/>
      <c r="M129" s="204" t="n"/>
      <c r="N129" s="204" t="n"/>
      <c r="O129" s="204" t="n"/>
      <c r="P129" s="204" t="n"/>
      <c r="Q129" s="204" t="n"/>
      <c r="R129" s="204" t="n"/>
    </row>
    <row r="130" ht="12.75" customHeight="1" s="205">
      <c r="A130" s="204" t="n"/>
      <c r="B130" s="204" t="n"/>
      <c r="C130" s="204" t="n"/>
      <c r="D130" s="204" t="n"/>
      <c r="E130" s="204" t="n"/>
      <c r="F130" s="204" t="n"/>
      <c r="G130" s="204" t="n"/>
      <c r="H130" s="204" t="n"/>
      <c r="I130" s="204" t="n"/>
      <c r="J130" s="204" t="n"/>
      <c r="K130" s="204" t="n"/>
      <c r="L130" s="204" t="n"/>
      <c r="M130" s="204" t="n"/>
      <c r="N130" s="204" t="n"/>
      <c r="O130" s="204" t="n"/>
      <c r="P130" s="204" t="n"/>
      <c r="Q130" s="204" t="n"/>
      <c r="R130" s="204" t="n"/>
    </row>
    <row r="131" ht="12.75" customHeight="1" s="205">
      <c r="A131" s="204" t="n"/>
      <c r="B131" s="204" t="n"/>
      <c r="C131" s="204" t="n"/>
      <c r="D131" s="204" t="n"/>
      <c r="E131" s="204" t="n"/>
      <c r="F131" s="204" t="n"/>
      <c r="G131" s="204" t="n"/>
      <c r="H131" s="204" t="n"/>
      <c r="I131" s="204" t="n"/>
      <c r="J131" s="204" t="n"/>
      <c r="K131" s="204" t="n"/>
      <c r="L131" s="204" t="n"/>
      <c r="M131" s="204" t="n"/>
      <c r="N131" s="204" t="n"/>
      <c r="O131" s="204" t="n"/>
      <c r="P131" s="204" t="n"/>
      <c r="Q131" s="204" t="n"/>
      <c r="R131" s="204" t="n"/>
    </row>
    <row r="132" ht="12.75" customHeight="1" s="205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  <c r="J132" s="204" t="n"/>
      <c r="K132" s="204" t="n"/>
      <c r="L132" s="204" t="n"/>
      <c r="M132" s="204" t="n"/>
      <c r="N132" s="204" t="n"/>
      <c r="O132" s="204" t="n"/>
      <c r="P132" s="204" t="n"/>
      <c r="Q132" s="204" t="n"/>
      <c r="R132" s="204" t="n"/>
    </row>
    <row r="133" ht="12.75" customHeight="1" s="205">
      <c r="A133" s="204" t="n"/>
      <c r="B133" s="204" t="n"/>
      <c r="C133" s="204" t="n"/>
      <c r="D133" s="204" t="n"/>
      <c r="E133" s="204" t="n"/>
      <c r="F133" s="204" t="n"/>
      <c r="G133" s="204" t="n"/>
      <c r="H133" s="204" t="n"/>
      <c r="I133" s="204" t="n"/>
      <c r="J133" s="204" t="n"/>
      <c r="K133" s="204" t="n"/>
      <c r="L133" s="204" t="n"/>
      <c r="M133" s="204" t="n"/>
      <c r="N133" s="204" t="n"/>
      <c r="O133" s="204" t="n"/>
      <c r="P133" s="204" t="n"/>
      <c r="Q133" s="204" t="n"/>
      <c r="R133" s="204" t="n"/>
    </row>
    <row r="134" ht="12.75" customHeight="1" s="205">
      <c r="A134" s="204" t="n"/>
      <c r="B134" s="204" t="n"/>
      <c r="C134" s="204" t="n"/>
      <c r="D134" s="204" t="n"/>
      <c r="E134" s="204" t="n"/>
      <c r="F134" s="204" t="n"/>
      <c r="G134" s="204" t="n"/>
      <c r="H134" s="204" t="n"/>
      <c r="I134" s="204" t="n"/>
      <c r="J134" s="204" t="n"/>
      <c r="K134" s="204" t="n"/>
      <c r="L134" s="204" t="n"/>
      <c r="M134" s="204" t="n"/>
      <c r="N134" s="204" t="n"/>
      <c r="O134" s="204" t="n"/>
      <c r="P134" s="204" t="n"/>
      <c r="Q134" s="204" t="n"/>
      <c r="R134" s="204" t="n"/>
    </row>
    <row r="135" ht="12.75" customHeight="1" s="205">
      <c r="A135" s="204" t="n"/>
      <c r="B135" s="204" t="n"/>
      <c r="C135" s="204" t="n"/>
      <c r="D135" s="204" t="n"/>
      <c r="E135" s="204" t="n"/>
      <c r="F135" s="204" t="n"/>
      <c r="G135" s="204" t="n"/>
      <c r="H135" s="204" t="n"/>
      <c r="I135" s="204" t="n"/>
      <c r="J135" s="204" t="n"/>
      <c r="K135" s="204" t="n"/>
      <c r="L135" s="204" t="n"/>
      <c r="M135" s="204" t="n"/>
      <c r="N135" s="204" t="n"/>
      <c r="O135" s="204" t="n"/>
      <c r="P135" s="204" t="n"/>
      <c r="Q135" s="204" t="n"/>
      <c r="R135" s="204" t="n"/>
    </row>
    <row r="136" ht="12.75" customHeight="1" s="205">
      <c r="A136" s="204" t="n"/>
      <c r="B136" s="204" t="n"/>
      <c r="C136" s="204" t="n"/>
      <c r="D136" s="204" t="n"/>
      <c r="E136" s="204" t="n"/>
      <c r="F136" s="204" t="n"/>
      <c r="G136" s="204" t="n"/>
      <c r="H136" s="204" t="n"/>
      <c r="I136" s="204" t="n"/>
      <c r="J136" s="204" t="n"/>
      <c r="K136" s="204" t="n"/>
      <c r="L136" s="204" t="n"/>
      <c r="M136" s="204" t="n"/>
      <c r="N136" s="204" t="n"/>
      <c r="O136" s="204" t="n"/>
      <c r="P136" s="204" t="n"/>
      <c r="Q136" s="204" t="n"/>
      <c r="R136" s="204" t="n"/>
    </row>
    <row r="137" ht="12.75" customHeight="1" s="205">
      <c r="A137" s="204" t="n"/>
      <c r="B137" s="204" t="n"/>
      <c r="C137" s="204" t="n"/>
      <c r="D137" s="204" t="n"/>
      <c r="E137" s="204" t="n"/>
      <c r="F137" s="204" t="n"/>
      <c r="G137" s="204" t="n"/>
      <c r="H137" s="204" t="n"/>
      <c r="I137" s="204" t="n"/>
      <c r="J137" s="204" t="n"/>
      <c r="K137" s="204" t="n"/>
      <c r="L137" s="204" t="n"/>
      <c r="M137" s="204" t="n"/>
      <c r="N137" s="204" t="n"/>
      <c r="O137" s="204" t="n"/>
      <c r="P137" s="204" t="n"/>
      <c r="Q137" s="204" t="n"/>
      <c r="R137" s="204" t="n"/>
    </row>
    <row r="138" ht="12.75" customHeight="1" s="205">
      <c r="A138" s="204" t="n"/>
      <c r="B138" s="204" t="n"/>
      <c r="C138" s="204" t="n"/>
      <c r="D138" s="204" t="n"/>
      <c r="E138" s="204" t="n"/>
      <c r="F138" s="204" t="n"/>
      <c r="G138" s="204" t="n"/>
      <c r="H138" s="204" t="n"/>
      <c r="I138" s="204" t="n"/>
      <c r="J138" s="204" t="n"/>
      <c r="K138" s="204" t="n"/>
      <c r="L138" s="204" t="n"/>
      <c r="M138" s="204" t="n"/>
      <c r="N138" s="204" t="n"/>
      <c r="O138" s="204" t="n"/>
      <c r="P138" s="204" t="n"/>
      <c r="Q138" s="204" t="n"/>
      <c r="R138" s="204" t="n"/>
    </row>
    <row r="139" ht="12.75" customHeight="1" s="205">
      <c r="A139" s="204" t="n"/>
      <c r="B139" s="204" t="n"/>
      <c r="C139" s="204" t="n"/>
      <c r="D139" s="204" t="n"/>
      <c r="E139" s="204" t="n"/>
      <c r="F139" s="204" t="n"/>
      <c r="G139" s="204" t="n"/>
      <c r="H139" s="204" t="n"/>
      <c r="I139" s="204" t="n"/>
      <c r="J139" s="204" t="n"/>
      <c r="K139" s="204" t="n"/>
      <c r="L139" s="204" t="n"/>
      <c r="M139" s="204" t="n"/>
      <c r="N139" s="204" t="n"/>
      <c r="O139" s="204" t="n"/>
      <c r="P139" s="204" t="n"/>
      <c r="Q139" s="204" t="n"/>
      <c r="R139" s="204" t="n"/>
    </row>
    <row r="140" ht="12.75" customHeight="1" s="205">
      <c r="A140" s="204" t="n"/>
      <c r="B140" s="204" t="n"/>
      <c r="C140" s="204" t="n"/>
      <c r="D140" s="204" t="n"/>
      <c r="E140" s="204" t="n"/>
      <c r="F140" s="204" t="n"/>
      <c r="G140" s="204" t="n"/>
      <c r="H140" s="204" t="n"/>
      <c r="I140" s="204" t="n"/>
      <c r="J140" s="204" t="n"/>
      <c r="K140" s="204" t="n"/>
      <c r="L140" s="204" t="n"/>
      <c r="M140" s="204" t="n"/>
      <c r="N140" s="204" t="n"/>
      <c r="O140" s="204" t="n"/>
      <c r="P140" s="204" t="n"/>
      <c r="Q140" s="204" t="n"/>
      <c r="R140" s="204" t="n"/>
    </row>
    <row r="141" ht="12.75" customHeight="1" s="205">
      <c r="A141" s="204" t="n"/>
      <c r="B141" s="204" t="n"/>
      <c r="C141" s="204" t="n"/>
      <c r="D141" s="204" t="n"/>
      <c r="E141" s="204" t="n"/>
      <c r="F141" s="204" t="n"/>
      <c r="G141" s="204" t="n"/>
      <c r="H141" s="204" t="n"/>
      <c r="I141" s="204" t="n"/>
      <c r="J141" s="204" t="n"/>
      <c r="K141" s="204" t="n"/>
      <c r="L141" s="204" t="n"/>
      <c r="M141" s="204" t="n"/>
      <c r="N141" s="204" t="n"/>
      <c r="O141" s="204" t="n"/>
      <c r="P141" s="204" t="n"/>
      <c r="Q141" s="204" t="n"/>
      <c r="R141" s="204" t="n"/>
    </row>
    <row r="142" ht="12.75" customHeight="1" s="205">
      <c r="A142" s="204" t="n"/>
      <c r="B142" s="204" t="n"/>
      <c r="C142" s="204" t="n"/>
      <c r="D142" s="204" t="n"/>
      <c r="E142" s="204" t="n"/>
      <c r="F142" s="204" t="n"/>
      <c r="G142" s="204" t="n"/>
      <c r="H142" s="204" t="n"/>
      <c r="I142" s="204" t="n"/>
      <c r="J142" s="204" t="n"/>
      <c r="K142" s="204" t="n"/>
      <c r="L142" s="204" t="n"/>
      <c r="M142" s="204" t="n"/>
      <c r="N142" s="204" t="n"/>
      <c r="O142" s="204" t="n"/>
      <c r="P142" s="204" t="n"/>
      <c r="Q142" s="204" t="n"/>
      <c r="R142" s="204" t="n"/>
    </row>
    <row r="143" ht="12.75" customHeight="1" s="205">
      <c r="A143" s="204" t="n"/>
      <c r="B143" s="204" t="n"/>
      <c r="C143" s="204" t="n"/>
      <c r="D143" s="204" t="n"/>
      <c r="E143" s="204" t="n"/>
      <c r="F143" s="204" t="n"/>
      <c r="G143" s="204" t="n"/>
      <c r="H143" s="204" t="n"/>
      <c r="I143" s="204" t="n"/>
      <c r="J143" s="204" t="n"/>
      <c r="K143" s="204" t="n"/>
      <c r="L143" s="204" t="n"/>
      <c r="M143" s="204" t="n"/>
      <c r="N143" s="204" t="n"/>
      <c r="O143" s="204" t="n"/>
      <c r="P143" s="204" t="n"/>
      <c r="Q143" s="204" t="n"/>
      <c r="R143" s="204" t="n"/>
    </row>
    <row r="144" ht="12.75" customHeight="1" s="205">
      <c r="A144" s="204" t="n"/>
      <c r="B144" s="204" t="n"/>
      <c r="C144" s="204" t="n"/>
      <c r="D144" s="204" t="n"/>
      <c r="E144" s="204" t="n"/>
      <c r="F144" s="204" t="n"/>
      <c r="G144" s="204" t="n"/>
      <c r="H144" s="204" t="n"/>
      <c r="I144" s="204" t="n"/>
      <c r="J144" s="204" t="n"/>
      <c r="K144" s="204" t="n"/>
      <c r="L144" s="204" t="n"/>
      <c r="M144" s="204" t="n"/>
      <c r="N144" s="204" t="n"/>
      <c r="O144" s="204" t="n"/>
      <c r="P144" s="204" t="n"/>
      <c r="Q144" s="204" t="n"/>
      <c r="R144" s="204" t="n"/>
    </row>
    <row r="145" ht="12.75" customHeight="1" s="205">
      <c r="A145" s="204" t="n"/>
      <c r="B145" s="204" t="n"/>
      <c r="C145" s="204" t="n"/>
      <c r="D145" s="204" t="n"/>
      <c r="E145" s="204" t="n"/>
      <c r="F145" s="204" t="n"/>
      <c r="G145" s="204" t="n"/>
      <c r="H145" s="204" t="n"/>
      <c r="I145" s="204" t="n"/>
      <c r="J145" s="204" t="n"/>
      <c r="K145" s="204" t="n"/>
      <c r="L145" s="204" t="n"/>
      <c r="M145" s="204" t="n"/>
      <c r="N145" s="204" t="n"/>
      <c r="O145" s="204" t="n"/>
      <c r="P145" s="204" t="n"/>
      <c r="Q145" s="204" t="n"/>
      <c r="R145" s="204" t="n"/>
    </row>
    <row r="146" ht="12.75" customHeight="1" s="205">
      <c r="A146" s="204" t="n"/>
      <c r="B146" s="204" t="n"/>
      <c r="C146" s="204" t="n"/>
      <c r="D146" s="204" t="n"/>
      <c r="E146" s="204" t="n"/>
      <c r="F146" s="204" t="n"/>
      <c r="G146" s="204" t="n"/>
      <c r="H146" s="204" t="n"/>
      <c r="I146" s="204" t="n"/>
      <c r="J146" s="204" t="n"/>
      <c r="K146" s="204" t="n"/>
      <c r="L146" s="204" t="n"/>
      <c r="M146" s="204" t="n"/>
      <c r="N146" s="204" t="n"/>
      <c r="O146" s="204" t="n"/>
      <c r="P146" s="204" t="n"/>
      <c r="Q146" s="204" t="n"/>
      <c r="R146" s="204" t="n"/>
    </row>
    <row r="147" ht="12.75" customHeight="1" s="205">
      <c r="A147" s="204" t="n"/>
      <c r="B147" s="204" t="n"/>
      <c r="C147" s="204" t="n"/>
      <c r="D147" s="204" t="n"/>
      <c r="E147" s="204" t="n"/>
      <c r="F147" s="204" t="n"/>
      <c r="G147" s="204" t="n"/>
      <c r="H147" s="204" t="n"/>
      <c r="I147" s="204" t="n"/>
      <c r="J147" s="204" t="n"/>
      <c r="K147" s="204" t="n"/>
      <c r="L147" s="204" t="n"/>
      <c r="M147" s="204" t="n"/>
      <c r="N147" s="204" t="n"/>
      <c r="O147" s="204" t="n"/>
      <c r="P147" s="204" t="n"/>
      <c r="Q147" s="204" t="n"/>
      <c r="R147" s="204" t="n"/>
    </row>
    <row r="148" ht="12.75" customHeight="1" s="205">
      <c r="A148" s="204" t="n"/>
      <c r="B148" s="204" t="n"/>
      <c r="C148" s="204" t="n"/>
      <c r="D148" s="204" t="n"/>
      <c r="E148" s="204" t="n"/>
      <c r="F148" s="204" t="n"/>
      <c r="G148" s="204" t="n"/>
      <c r="H148" s="204" t="n"/>
      <c r="I148" s="204" t="n"/>
      <c r="J148" s="204" t="n"/>
      <c r="K148" s="204" t="n"/>
      <c r="L148" s="204" t="n"/>
      <c r="M148" s="204" t="n"/>
      <c r="N148" s="204" t="n"/>
      <c r="O148" s="204" t="n"/>
      <c r="P148" s="204" t="n"/>
      <c r="Q148" s="204" t="n"/>
      <c r="R148" s="204" t="n"/>
    </row>
    <row r="149" ht="12.75" customHeight="1" s="205">
      <c r="A149" s="204" t="n"/>
      <c r="B149" s="204" t="n"/>
      <c r="C149" s="204" t="n"/>
      <c r="D149" s="204" t="n"/>
      <c r="E149" s="204" t="n"/>
      <c r="F149" s="204" t="n"/>
      <c r="G149" s="204" t="n"/>
      <c r="H149" s="204" t="n"/>
      <c r="I149" s="204" t="n"/>
      <c r="J149" s="204" t="n"/>
      <c r="K149" s="204" t="n"/>
      <c r="L149" s="204" t="n"/>
      <c r="M149" s="204" t="n"/>
      <c r="N149" s="204" t="n"/>
      <c r="O149" s="204" t="n"/>
      <c r="P149" s="204" t="n"/>
      <c r="Q149" s="204" t="n"/>
      <c r="R149" s="204" t="n"/>
    </row>
    <row r="150" ht="12.75" customHeight="1" s="205">
      <c r="A150" s="204" t="n"/>
      <c r="B150" s="204" t="n"/>
      <c r="C150" s="204" t="n"/>
      <c r="D150" s="204" t="n"/>
      <c r="E150" s="204" t="n"/>
      <c r="F150" s="204" t="n"/>
      <c r="G150" s="204" t="n"/>
      <c r="H150" s="204" t="n"/>
      <c r="I150" s="204" t="n"/>
      <c r="J150" s="204" t="n"/>
      <c r="K150" s="204" t="n"/>
      <c r="L150" s="204" t="n"/>
      <c r="M150" s="204" t="n"/>
      <c r="N150" s="204" t="n"/>
      <c r="O150" s="204" t="n"/>
      <c r="P150" s="204" t="n"/>
      <c r="Q150" s="204" t="n"/>
      <c r="R150" s="204" t="n"/>
    </row>
    <row r="151" ht="12.75" customHeight="1" s="205">
      <c r="A151" s="204" t="n"/>
      <c r="B151" s="204" t="n"/>
      <c r="C151" s="204" t="n"/>
      <c r="D151" s="204" t="n"/>
      <c r="E151" s="204" t="n"/>
      <c r="F151" s="204" t="n"/>
      <c r="G151" s="204" t="n"/>
      <c r="H151" s="204" t="n"/>
      <c r="I151" s="204" t="n"/>
      <c r="J151" s="204" t="n"/>
      <c r="K151" s="204" t="n"/>
      <c r="L151" s="204" t="n"/>
      <c r="M151" s="204" t="n"/>
      <c r="N151" s="204" t="n"/>
      <c r="O151" s="204" t="n"/>
      <c r="P151" s="204" t="n"/>
      <c r="Q151" s="204" t="n"/>
      <c r="R151" s="204" t="n"/>
    </row>
    <row r="152" ht="12.75" customHeight="1" s="205">
      <c r="A152" s="204" t="n"/>
      <c r="B152" s="204" t="n"/>
      <c r="C152" s="204" t="n"/>
      <c r="D152" s="204" t="n"/>
      <c r="E152" s="204" t="n"/>
      <c r="F152" s="204" t="n"/>
      <c r="G152" s="204" t="n"/>
      <c r="H152" s="204" t="n"/>
      <c r="I152" s="204" t="n"/>
      <c r="J152" s="204" t="n"/>
      <c r="K152" s="204" t="n"/>
      <c r="L152" s="204" t="n"/>
      <c r="M152" s="204" t="n"/>
      <c r="N152" s="204" t="n"/>
      <c r="O152" s="204" t="n"/>
      <c r="P152" s="204" t="n"/>
      <c r="Q152" s="204" t="n"/>
      <c r="R152" s="204" t="n"/>
    </row>
    <row r="153" ht="12.75" customHeight="1" s="205">
      <c r="A153" s="204" t="n"/>
      <c r="B153" s="204" t="n"/>
      <c r="C153" s="204" t="n"/>
      <c r="D153" s="204" t="n"/>
      <c r="E153" s="204" t="n"/>
      <c r="F153" s="204" t="n"/>
      <c r="G153" s="204" t="n"/>
      <c r="H153" s="204" t="n"/>
      <c r="I153" s="204" t="n"/>
      <c r="J153" s="204" t="n"/>
      <c r="K153" s="204" t="n"/>
      <c r="L153" s="204" t="n"/>
      <c r="M153" s="204" t="n"/>
      <c r="N153" s="204" t="n"/>
      <c r="O153" s="204" t="n"/>
      <c r="P153" s="204" t="n"/>
      <c r="Q153" s="204" t="n"/>
      <c r="R153" s="204" t="n"/>
    </row>
    <row r="154" ht="12.75" customHeight="1" s="205">
      <c r="A154" s="204" t="n"/>
      <c r="B154" s="204" t="n"/>
      <c r="C154" s="204" t="n"/>
      <c r="D154" s="204" t="n"/>
      <c r="E154" s="204" t="n"/>
      <c r="F154" s="204" t="n"/>
      <c r="G154" s="204" t="n"/>
      <c r="H154" s="204" t="n"/>
      <c r="I154" s="204" t="n"/>
      <c r="J154" s="204" t="n"/>
      <c r="K154" s="204" t="n"/>
      <c r="L154" s="204" t="n"/>
      <c r="M154" s="204" t="n"/>
      <c r="N154" s="204" t="n"/>
      <c r="O154" s="204" t="n"/>
      <c r="P154" s="204" t="n"/>
      <c r="Q154" s="204" t="n"/>
      <c r="R154" s="204" t="n"/>
    </row>
    <row r="155" ht="12.75" customHeight="1" s="205">
      <c r="A155" s="204" t="n"/>
      <c r="B155" s="204" t="n"/>
      <c r="C155" s="204" t="n"/>
      <c r="D155" s="204" t="n"/>
      <c r="E155" s="204" t="n"/>
      <c r="F155" s="204" t="n"/>
      <c r="G155" s="204" t="n"/>
      <c r="H155" s="204" t="n"/>
      <c r="I155" s="204" t="n"/>
      <c r="J155" s="204" t="n"/>
      <c r="K155" s="204" t="n"/>
      <c r="L155" s="204" t="n"/>
      <c r="M155" s="204" t="n"/>
      <c r="N155" s="204" t="n"/>
      <c r="O155" s="204" t="n"/>
      <c r="P155" s="204" t="n"/>
      <c r="Q155" s="204" t="n"/>
      <c r="R155" s="204" t="n"/>
    </row>
    <row r="156" ht="12.75" customHeight="1" s="205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</row>
    <row r="157" ht="12.75" customHeight="1" s="205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</row>
    <row r="158" ht="12.75" customHeight="1" s="205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</row>
    <row r="159" ht="12.75" customHeight="1" s="205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</row>
    <row r="160" ht="12.75" customHeight="1" s="205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</row>
    <row r="161" ht="12.75" customHeight="1" s="205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</row>
    <row r="162" ht="12.75" customHeight="1" s="205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</row>
    <row r="163" ht="12.75" customHeight="1" s="205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</row>
    <row r="164" ht="12.75" customHeight="1" s="205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</row>
    <row r="165" ht="12.75" customHeight="1" s="205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</row>
    <row r="166" ht="12.75" customHeight="1" s="205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</row>
    <row r="167" ht="12.75" customHeight="1" s="205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</row>
    <row r="168" ht="12.75" customHeight="1" s="205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</row>
    <row r="169" ht="12.75" customHeight="1" s="205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</row>
    <row r="170" ht="12.75" customHeight="1" s="205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</row>
    <row r="171" ht="12.75" customHeight="1" s="205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</row>
    <row r="172" ht="12.75" customHeight="1" s="205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</row>
    <row r="173" ht="12.75" customHeight="1" s="205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</row>
    <row r="174" ht="12.75" customHeight="1" s="205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</row>
    <row r="175" ht="12.75" customHeight="1" s="205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</row>
    <row r="176" ht="12.75" customHeight="1" s="205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</row>
    <row r="177" ht="12.75" customHeight="1" s="205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</row>
    <row r="178" ht="12.75" customHeight="1" s="205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</row>
    <row r="179" ht="12.75" customHeight="1" s="205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</row>
    <row r="180" ht="12.75" customHeight="1" s="205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</row>
    <row r="181" ht="12.75" customHeight="1" s="205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</row>
    <row r="182" ht="12.75" customHeight="1" s="205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</row>
    <row r="183" ht="12.75" customHeight="1" s="205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</row>
    <row r="184" ht="12.75" customHeight="1" s="205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</row>
    <row r="185" ht="12.75" customHeight="1" s="205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</row>
    <row r="186" ht="12.75" customHeight="1" s="205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</row>
    <row r="187" ht="12.75" customHeight="1" s="205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</row>
    <row r="188" ht="12.75" customHeight="1" s="205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</row>
    <row r="189" ht="12.75" customHeight="1" s="205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</row>
    <row r="190" ht="12.75" customHeight="1" s="205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</row>
    <row r="191" ht="12.75" customHeight="1" s="205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</row>
    <row r="192" ht="12.75" customHeight="1" s="205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</row>
    <row r="193" ht="12.75" customHeight="1" s="205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</row>
    <row r="194" ht="12.75" customHeight="1" s="205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</row>
    <row r="195" ht="12.75" customHeight="1" s="205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</row>
    <row r="196" ht="12.75" customHeight="1" s="205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</row>
    <row r="197" ht="12.75" customHeight="1" s="205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</row>
    <row r="198" ht="12.75" customHeight="1" s="205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</row>
    <row r="199" ht="12.75" customHeight="1" s="205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</row>
    <row r="200" ht="12.75" customHeight="1" s="205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</row>
    <row r="201" ht="12.75" customHeight="1" s="205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</row>
    <row r="202" ht="12.75" customHeight="1" s="205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</row>
    <row r="203" ht="12.75" customHeight="1" s="205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</row>
    <row r="204" ht="12.75" customHeight="1" s="205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</row>
    <row r="205" ht="12.75" customHeight="1" s="205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</row>
    <row r="206" ht="12.75" customHeight="1" s="205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</row>
    <row r="207" ht="12.75" customHeight="1" s="205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</row>
    <row r="208" ht="12.75" customHeight="1" s="205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</row>
    <row r="209" ht="12.75" customHeight="1" s="205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</row>
    <row r="210" ht="12.75" customHeight="1" s="205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</row>
    <row r="211" ht="12.75" customHeight="1" s="205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</row>
    <row r="212" ht="12.75" customHeight="1" s="205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</row>
    <row r="213" ht="12.75" customHeight="1" s="205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</row>
    <row r="214" ht="12.75" customHeight="1" s="205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</row>
    <row r="215" ht="12.75" customHeight="1" s="205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</row>
    <row r="216" ht="12.75" customHeight="1" s="205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</row>
    <row r="217" ht="12.75" customHeight="1" s="205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</row>
    <row r="218" ht="12.75" customHeight="1" s="205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</row>
    <row r="219" ht="12.75" customHeight="1" s="205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</row>
    <row r="220" ht="12.75" customHeight="1" s="205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</row>
    <row r="221" ht="12.75" customHeight="1" s="205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</row>
    <row r="222" ht="12.75" customHeight="1" s="205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</row>
    <row r="223" ht="12.75" customHeight="1" s="205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</row>
    <row r="224" ht="12.75" customHeight="1" s="205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</row>
    <row r="225" ht="12.75" customHeight="1" s="205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</row>
    <row r="226" ht="12.75" customHeight="1" s="205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</row>
    <row r="227" ht="12.75" customHeight="1" s="205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</row>
    <row r="228" ht="12.75" customHeight="1" s="205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</row>
    <row r="229" ht="12.75" customHeight="1" s="205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</row>
    <row r="230" ht="12.75" customHeight="1" s="205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</row>
    <row r="231" ht="12.75" customHeight="1" s="205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</row>
    <row r="232" ht="12.75" customHeight="1" s="205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</row>
    <row r="233" ht="12.75" customHeight="1" s="205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</row>
    <row r="234" ht="12.75" customHeight="1" s="205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</row>
    <row r="235" ht="12.75" customHeight="1" s="205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</row>
    <row r="236" ht="12.75" customHeight="1" s="205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</row>
    <row r="237" ht="12.75" customHeight="1" s="205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</row>
    <row r="238" ht="12.75" customHeight="1" s="205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</row>
    <row r="239" ht="12.75" customHeight="1" s="205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</row>
    <row r="240" ht="12.75" customHeight="1" s="205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</row>
    <row r="241" ht="12.75" customHeight="1" s="205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</row>
    <row r="242" ht="12.75" customHeight="1" s="205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</row>
    <row r="243" ht="12.75" customHeight="1" s="205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</row>
    <row r="244" ht="12.75" customHeight="1" s="205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</row>
    <row r="245" ht="12.75" customHeight="1" s="205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</row>
    <row r="246" ht="12.75" customHeight="1" s="205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</row>
    <row r="247" ht="12.75" customHeight="1" s="205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</row>
    <row r="248" ht="12.75" customHeight="1" s="205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</row>
    <row r="249" ht="12.75" customHeight="1" s="205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</row>
    <row r="250" ht="12.75" customHeight="1" s="205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</row>
    <row r="251" ht="12.75" customHeight="1" s="205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</row>
    <row r="252" ht="12.75" customHeight="1" s="205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</row>
    <row r="253" ht="12.75" customHeight="1" s="205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</row>
    <row r="254" ht="12.75" customHeight="1" s="205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</row>
    <row r="255" ht="12.75" customHeight="1" s="205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</row>
    <row r="256" ht="12.75" customHeight="1" s="205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</row>
    <row r="257" ht="12.75" customHeight="1" s="205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</row>
    <row r="258" ht="12.75" customHeight="1" s="205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</row>
    <row r="259" ht="12.75" customHeight="1" s="205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</row>
    <row r="260" ht="12.75" customHeight="1" s="205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</row>
    <row r="261" ht="12.75" customHeight="1" s="205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</row>
    <row r="262" ht="12.75" customHeight="1" s="205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</row>
    <row r="263" ht="12.75" customHeight="1" s="205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</row>
    <row r="264" ht="12.75" customHeight="1" s="205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</row>
    <row r="265" ht="12.75" customHeight="1" s="205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</row>
    <row r="266" ht="12.75" customHeight="1" s="205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</row>
    <row r="267" ht="12.75" customHeight="1" s="205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</row>
    <row r="268" ht="12.75" customHeight="1" s="205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</row>
    <row r="269" ht="12.75" customHeight="1" s="205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</row>
    <row r="270" ht="12.75" customHeight="1" s="205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</row>
    <row r="271" ht="12.75" customHeight="1" s="205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</row>
    <row r="272" ht="12.75" customHeight="1" s="205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</row>
    <row r="273" ht="12.75" customHeight="1" s="205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</row>
    <row r="274" ht="12.75" customHeight="1" s="205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</row>
    <row r="275" ht="12.75" customHeight="1" s="205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</row>
    <row r="276" ht="12.75" customHeight="1" s="205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</row>
    <row r="277" ht="12.75" customHeight="1" s="205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</row>
    <row r="278" ht="12.75" customHeight="1" s="205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</row>
    <row r="279" ht="12.75" customHeight="1" s="205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</row>
    <row r="280" ht="12.75" customHeight="1" s="205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</row>
    <row r="281" ht="12.75" customHeight="1" s="205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</row>
    <row r="282" ht="12.75" customHeight="1" s="205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</row>
    <row r="283" ht="12.75" customHeight="1" s="205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</row>
    <row r="284" ht="12.75" customHeight="1" s="205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</row>
    <row r="285" ht="12.75" customHeight="1" s="205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</row>
    <row r="286" ht="12.75" customHeight="1" s="205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</row>
    <row r="287" ht="12.75" customHeight="1" s="205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</row>
    <row r="288" ht="12.75" customHeight="1" s="205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</row>
    <row r="289" ht="12.75" customHeight="1" s="205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</row>
    <row r="290" ht="12.75" customHeight="1" s="205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</row>
    <row r="291" ht="12.75" customHeight="1" s="205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</row>
    <row r="292" ht="12.75" customHeight="1" s="205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</row>
    <row r="293" ht="12.75" customHeight="1" s="205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</row>
    <row r="294" ht="12.75" customHeight="1" s="205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</row>
    <row r="295" ht="12.75" customHeight="1" s="205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</row>
    <row r="296" ht="12.75" customHeight="1" s="205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</row>
    <row r="297" ht="12.75" customHeight="1" s="205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</row>
    <row r="298" ht="12.75" customHeight="1" s="205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</row>
    <row r="299" ht="12.75" customHeight="1" s="205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</row>
    <row r="300" ht="12.75" customHeight="1" s="205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</row>
    <row r="301" ht="12.75" customHeight="1" s="205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</row>
    <row r="302" ht="12.75" customHeight="1" s="205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</row>
    <row r="303" ht="12.75" customHeight="1" s="205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</row>
    <row r="304" ht="12.75" customHeight="1" s="205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</row>
    <row r="305" ht="12.75" customHeight="1" s="205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</row>
    <row r="306" ht="12.75" customHeight="1" s="205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</row>
    <row r="307" ht="12.75" customHeight="1" s="205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</row>
    <row r="308" ht="12.75" customHeight="1" s="205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</row>
    <row r="309" ht="12.75" customHeight="1" s="205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</row>
    <row r="310" ht="12.75" customHeight="1" s="205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</row>
    <row r="311" ht="12.75" customHeight="1" s="205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</row>
    <row r="312" ht="12.75" customHeight="1" s="205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</row>
    <row r="313" ht="12.75" customHeight="1" s="205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</row>
    <row r="314" ht="12.75" customHeight="1" s="205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</row>
    <row r="315" ht="12.75" customHeight="1" s="205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</row>
    <row r="316" ht="12.75" customHeight="1" s="205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</row>
    <row r="317" ht="12.75" customHeight="1" s="205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</row>
    <row r="318" ht="12.75" customHeight="1" s="205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</row>
    <row r="319" ht="12.75" customHeight="1" s="205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</row>
    <row r="320" ht="12.75" customHeight="1" s="205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</row>
    <row r="321" ht="12.75" customHeight="1" s="205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</row>
    <row r="322" ht="12.75" customHeight="1" s="205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</row>
    <row r="323" ht="12.75" customHeight="1" s="205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</row>
    <row r="324" ht="12.75" customHeight="1" s="205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</row>
    <row r="325" ht="12.75" customHeight="1" s="205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</row>
    <row r="326" ht="12.75" customHeight="1" s="205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</row>
    <row r="327" ht="12.75" customHeight="1" s="205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</row>
    <row r="328" ht="12.75" customHeight="1" s="205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</row>
    <row r="329" ht="12.75" customHeight="1" s="205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</row>
    <row r="330" ht="12.75" customHeight="1" s="205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</row>
    <row r="331" ht="12.75" customHeight="1" s="205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</row>
    <row r="332" ht="12.75" customHeight="1" s="205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</row>
    <row r="333" ht="12.75" customHeight="1" s="205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</row>
    <row r="334" ht="12.75" customHeight="1" s="205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</row>
    <row r="335" ht="12.75" customHeight="1" s="205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</row>
    <row r="336" ht="12.75" customHeight="1" s="205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</row>
    <row r="337" ht="12.75" customHeight="1" s="205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</row>
    <row r="338" ht="12.75" customHeight="1" s="205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</row>
    <row r="339" ht="12.75" customHeight="1" s="205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</row>
    <row r="340" ht="12.75" customHeight="1" s="205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</row>
    <row r="341" ht="12.75" customHeight="1" s="205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</row>
    <row r="342" ht="12.75" customHeight="1" s="205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</row>
    <row r="343" ht="12.75" customHeight="1" s="205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</row>
    <row r="344" ht="12.75" customHeight="1" s="205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</row>
    <row r="345" ht="12.75" customHeight="1" s="205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</row>
    <row r="346" ht="12.75" customHeight="1" s="205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</row>
    <row r="347" ht="12.75" customHeight="1" s="205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</row>
    <row r="348" ht="12.75" customHeight="1" s="205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</row>
    <row r="349" ht="12.75" customHeight="1" s="205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</row>
    <row r="350" ht="12.75" customHeight="1" s="205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</row>
    <row r="351" ht="12.75" customHeight="1" s="205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</row>
    <row r="352" ht="12.75" customHeight="1" s="205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</row>
    <row r="353" ht="12.75" customHeight="1" s="205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</row>
    <row r="354" ht="12.75" customHeight="1" s="205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</row>
    <row r="355" ht="12.75" customHeight="1" s="205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</row>
    <row r="356" ht="12.75" customHeight="1" s="205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</row>
    <row r="357" ht="12.75" customHeight="1" s="205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</row>
    <row r="358" ht="12.75" customHeight="1" s="205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</row>
    <row r="359" ht="12.75" customHeight="1" s="205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</row>
    <row r="360" ht="12.75" customHeight="1" s="205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</row>
    <row r="361" ht="12.75" customHeight="1" s="205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</row>
    <row r="362" ht="12.75" customHeight="1" s="205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</row>
    <row r="363" ht="12.75" customHeight="1" s="205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</row>
    <row r="364" ht="12.75" customHeight="1" s="205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</row>
    <row r="365" ht="12.75" customHeight="1" s="205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</row>
    <row r="366" ht="12.75" customHeight="1" s="205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</row>
    <row r="367" ht="12.75" customHeight="1" s="205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</row>
    <row r="368" ht="12.75" customHeight="1" s="205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</row>
    <row r="369" ht="12.75" customHeight="1" s="205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</row>
    <row r="370" ht="12.75" customHeight="1" s="205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</row>
    <row r="371" ht="12.75" customHeight="1" s="205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</row>
    <row r="372" ht="12.75" customHeight="1" s="205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</row>
    <row r="373" ht="12.75" customHeight="1" s="205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</row>
    <row r="374" ht="12.75" customHeight="1" s="205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</row>
    <row r="375" ht="12.75" customHeight="1" s="205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</row>
    <row r="376" ht="12.75" customHeight="1" s="205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</row>
    <row r="377" ht="12.75" customHeight="1" s="205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</row>
    <row r="378" ht="12.75" customHeight="1" s="205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</row>
    <row r="379" ht="12.75" customHeight="1" s="205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</row>
    <row r="380" ht="12.75" customHeight="1" s="205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</row>
    <row r="381" ht="12.75" customHeight="1" s="205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</row>
    <row r="382" ht="12.75" customHeight="1" s="205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</row>
    <row r="383" ht="12.75" customHeight="1" s="205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</row>
    <row r="384" ht="12.75" customHeight="1" s="205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</row>
    <row r="385" ht="12.75" customHeight="1" s="205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</row>
    <row r="386" ht="12.75" customHeight="1" s="205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</row>
    <row r="387" ht="12.75" customHeight="1" s="205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</row>
    <row r="388" ht="12.75" customHeight="1" s="205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</row>
    <row r="389" ht="12.75" customHeight="1" s="205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</row>
    <row r="390" ht="12.75" customHeight="1" s="205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</row>
    <row r="391" ht="12.75" customHeight="1" s="205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</row>
    <row r="392" ht="12.75" customHeight="1" s="205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</row>
    <row r="393" ht="12.75" customHeight="1" s="205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</row>
    <row r="394" ht="12.75" customHeight="1" s="205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</row>
    <row r="395" ht="12.75" customHeight="1" s="205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</row>
    <row r="396" ht="12.75" customHeight="1" s="205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</row>
    <row r="397" ht="12.75" customHeight="1" s="205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</row>
    <row r="398" ht="12.75" customHeight="1" s="205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</row>
    <row r="399" ht="12.75" customHeight="1" s="205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</row>
    <row r="400" ht="12.75" customHeight="1" s="205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</row>
    <row r="401" ht="12.75" customHeight="1" s="205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</row>
    <row r="402" ht="12.75" customHeight="1" s="205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</row>
    <row r="403" ht="12.75" customHeight="1" s="205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</row>
    <row r="404" ht="12.75" customHeight="1" s="205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</row>
    <row r="405" ht="12.75" customHeight="1" s="205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</row>
    <row r="406" ht="12.75" customHeight="1" s="205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</row>
    <row r="407" ht="12.75" customHeight="1" s="205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</row>
    <row r="408" ht="12.75" customHeight="1" s="205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</row>
    <row r="409" ht="12.75" customHeight="1" s="205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</row>
    <row r="410" ht="12.75" customHeight="1" s="205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</row>
    <row r="411" ht="12.75" customHeight="1" s="205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</row>
    <row r="412" ht="12.75" customHeight="1" s="205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</row>
    <row r="413" ht="12.75" customHeight="1" s="205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</row>
    <row r="414" ht="12.75" customHeight="1" s="205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</row>
    <row r="415" ht="12.75" customHeight="1" s="205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</row>
    <row r="416" ht="12.75" customHeight="1" s="205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</row>
    <row r="417" ht="12.75" customHeight="1" s="205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</row>
    <row r="418" ht="12.75" customHeight="1" s="205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</row>
    <row r="419" ht="12.75" customHeight="1" s="205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</row>
    <row r="420" ht="12.75" customHeight="1" s="205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</row>
    <row r="421" ht="12.75" customHeight="1" s="205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</row>
    <row r="422" ht="12.75" customHeight="1" s="205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</row>
    <row r="423" ht="12.75" customHeight="1" s="205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</row>
    <row r="424" ht="12.75" customHeight="1" s="205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</row>
    <row r="425" ht="12.75" customHeight="1" s="205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</row>
    <row r="426" ht="12.75" customHeight="1" s="205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</row>
    <row r="427" ht="12.75" customHeight="1" s="205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</row>
    <row r="428" ht="12.75" customHeight="1" s="205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</row>
    <row r="429" ht="12.75" customHeight="1" s="205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</row>
    <row r="430" ht="12.75" customHeight="1" s="205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</row>
    <row r="431" ht="12.75" customHeight="1" s="205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</row>
    <row r="432" ht="12.75" customHeight="1" s="205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</row>
    <row r="433" ht="12.75" customHeight="1" s="205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</row>
    <row r="434" ht="12.75" customHeight="1" s="205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</row>
    <row r="435" ht="12.75" customHeight="1" s="205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</row>
    <row r="436" ht="12.75" customHeight="1" s="205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</row>
    <row r="437" ht="12.75" customHeight="1" s="205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</row>
    <row r="438" ht="12.75" customHeight="1" s="205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</row>
    <row r="439" ht="12.75" customHeight="1" s="205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</row>
    <row r="440" ht="12.75" customHeight="1" s="205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</row>
    <row r="441" ht="12.75" customHeight="1" s="205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</row>
    <row r="442" ht="12.75" customHeight="1" s="205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</row>
    <row r="443" ht="12.75" customHeight="1" s="205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</row>
    <row r="444" ht="12.75" customHeight="1" s="205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</row>
    <row r="445" ht="12.75" customHeight="1" s="205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</row>
    <row r="446" ht="12.75" customHeight="1" s="205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</row>
    <row r="447" ht="12.75" customHeight="1" s="205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</row>
    <row r="448" ht="12.75" customHeight="1" s="205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</row>
    <row r="449" ht="12.75" customHeight="1" s="205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</row>
    <row r="450" ht="12.75" customHeight="1" s="205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</row>
    <row r="451" ht="12.75" customHeight="1" s="205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</row>
    <row r="452" ht="12.75" customHeight="1" s="205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</row>
    <row r="453" ht="12.75" customHeight="1" s="205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</row>
    <row r="454" ht="12.75" customHeight="1" s="205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</row>
    <row r="455" ht="12.75" customHeight="1" s="205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</row>
    <row r="456" ht="12.75" customHeight="1" s="205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</row>
    <row r="457" ht="12.75" customHeight="1" s="205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</row>
    <row r="458" ht="12.75" customHeight="1" s="205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</row>
    <row r="459" ht="12.75" customHeight="1" s="205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</row>
    <row r="460" ht="12.75" customHeight="1" s="205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</row>
    <row r="461" ht="12.75" customHeight="1" s="205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</row>
    <row r="462" ht="12.75" customHeight="1" s="205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</row>
    <row r="463" ht="12.75" customHeight="1" s="205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</row>
    <row r="464" ht="12.75" customHeight="1" s="205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</row>
    <row r="465" ht="12.75" customHeight="1" s="205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</row>
    <row r="466" ht="12.75" customHeight="1" s="205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</row>
    <row r="467" ht="12.75" customHeight="1" s="205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</row>
    <row r="468" ht="12.75" customHeight="1" s="205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</row>
    <row r="469" ht="12.75" customHeight="1" s="205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</row>
    <row r="470" ht="12.75" customHeight="1" s="205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</row>
    <row r="471" ht="12.75" customHeight="1" s="205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</row>
    <row r="472" ht="12.75" customHeight="1" s="205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</row>
    <row r="473" ht="12.75" customHeight="1" s="205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</row>
    <row r="474" ht="12.75" customHeight="1" s="205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</row>
    <row r="475" ht="12.75" customHeight="1" s="205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</row>
    <row r="476" ht="12.75" customHeight="1" s="205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</row>
    <row r="477" ht="12.75" customHeight="1" s="205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</row>
    <row r="478" ht="12.75" customHeight="1" s="205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</row>
    <row r="479" ht="12.75" customHeight="1" s="205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</row>
    <row r="480" ht="12.75" customHeight="1" s="205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</row>
    <row r="481" ht="12.75" customHeight="1" s="205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</row>
    <row r="482" ht="12.75" customHeight="1" s="205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</row>
    <row r="483" ht="12.75" customHeight="1" s="205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</row>
    <row r="484" ht="12.75" customHeight="1" s="205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</row>
    <row r="485" ht="12.75" customHeight="1" s="205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</row>
    <row r="486" ht="12.75" customHeight="1" s="205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</row>
    <row r="487" ht="12.75" customHeight="1" s="205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</row>
    <row r="488" ht="12.75" customHeight="1" s="205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</row>
    <row r="489" ht="12.75" customHeight="1" s="205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</row>
    <row r="490" ht="12.75" customHeight="1" s="205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</row>
    <row r="491" ht="12.75" customHeight="1" s="205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</row>
    <row r="492" ht="12.75" customHeight="1" s="205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</row>
    <row r="493" ht="12.75" customHeight="1" s="205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</row>
    <row r="494" ht="12.75" customHeight="1" s="205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</row>
    <row r="495" ht="12.75" customHeight="1" s="205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</row>
    <row r="496" ht="12.75" customHeight="1" s="205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</row>
    <row r="497" ht="12.75" customHeight="1" s="205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</row>
    <row r="498" ht="12.75" customHeight="1" s="205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</row>
    <row r="499" ht="12.75" customHeight="1" s="205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</row>
    <row r="500" ht="12.75" customHeight="1" s="205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</row>
    <row r="501" ht="12.75" customHeight="1" s="205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</row>
    <row r="502" ht="12.75" customHeight="1" s="205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</row>
    <row r="503" ht="12.75" customHeight="1" s="205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</row>
    <row r="504" ht="12.75" customHeight="1" s="205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</row>
    <row r="505" ht="12.75" customHeight="1" s="205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</row>
    <row r="506" ht="12.75" customHeight="1" s="205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</row>
    <row r="507" ht="12.75" customHeight="1" s="205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</row>
    <row r="508" ht="12.75" customHeight="1" s="205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</row>
    <row r="509" ht="12.75" customHeight="1" s="205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</row>
    <row r="510" ht="12.75" customHeight="1" s="205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</row>
    <row r="511" ht="12.75" customHeight="1" s="205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</row>
    <row r="512" ht="12.75" customHeight="1" s="205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</row>
    <row r="513" ht="12.75" customHeight="1" s="205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</row>
    <row r="514" ht="12.75" customHeight="1" s="205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</row>
    <row r="515" ht="12.75" customHeight="1" s="205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</row>
    <row r="516" ht="12.75" customHeight="1" s="205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</row>
    <row r="517" ht="12.75" customHeight="1" s="205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</row>
    <row r="518" ht="12.75" customHeight="1" s="205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</row>
    <row r="519" ht="12.75" customHeight="1" s="205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</row>
    <row r="520" ht="12.75" customHeight="1" s="205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</row>
    <row r="521" ht="12.75" customHeight="1" s="205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</row>
    <row r="522" ht="12.75" customHeight="1" s="205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</row>
    <row r="523" ht="12.75" customHeight="1" s="205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</row>
    <row r="524" ht="12.75" customHeight="1" s="205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</row>
    <row r="525" ht="12.75" customHeight="1" s="205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</row>
    <row r="526" ht="12.75" customHeight="1" s="205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</row>
    <row r="527" ht="12.75" customHeight="1" s="205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</row>
    <row r="528" ht="12.75" customHeight="1" s="205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</row>
    <row r="529" ht="12.75" customHeight="1" s="205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</row>
    <row r="530" ht="12.75" customHeight="1" s="205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</row>
    <row r="531" ht="12.75" customHeight="1" s="205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</row>
    <row r="532" ht="12.75" customHeight="1" s="205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</row>
    <row r="533" ht="12.75" customHeight="1" s="205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</row>
    <row r="534" ht="12.75" customHeight="1" s="205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</row>
    <row r="535" ht="12.75" customHeight="1" s="205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</row>
    <row r="536" ht="12.75" customHeight="1" s="205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</row>
    <row r="537" ht="12.75" customHeight="1" s="205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</row>
    <row r="538" ht="12.75" customHeight="1" s="205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</row>
    <row r="539" ht="12.75" customHeight="1" s="205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</row>
    <row r="540" ht="12.75" customHeight="1" s="205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</row>
    <row r="541" ht="12.75" customHeight="1" s="205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</row>
    <row r="542" ht="12.75" customHeight="1" s="205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</row>
    <row r="543" ht="12.75" customHeight="1" s="205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</row>
    <row r="544" ht="12.75" customHeight="1" s="205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</row>
    <row r="545" ht="12.75" customHeight="1" s="205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</row>
    <row r="546" ht="12.75" customHeight="1" s="205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</row>
    <row r="547" ht="12.75" customHeight="1" s="205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</row>
    <row r="548" ht="12.75" customHeight="1" s="205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</row>
    <row r="549" ht="12.75" customHeight="1" s="205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</row>
    <row r="550" ht="12.75" customHeight="1" s="205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</row>
    <row r="551" ht="12.75" customHeight="1" s="205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</row>
    <row r="552" ht="12.75" customHeight="1" s="205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</row>
    <row r="553" ht="12.75" customHeight="1" s="205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</row>
    <row r="554" ht="12.75" customHeight="1" s="205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</row>
    <row r="555" ht="12.75" customHeight="1" s="205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</row>
    <row r="556" ht="12.75" customHeight="1" s="205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</row>
    <row r="557" ht="12.75" customHeight="1" s="205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</row>
    <row r="558" ht="12.75" customHeight="1" s="205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</row>
    <row r="559" ht="12.75" customHeight="1" s="205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</row>
    <row r="560" ht="12.75" customHeight="1" s="205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</row>
    <row r="561" ht="12.75" customHeight="1" s="205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</row>
    <row r="562" ht="12.75" customHeight="1" s="205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</row>
    <row r="563" ht="12.75" customHeight="1" s="205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</row>
    <row r="564" ht="12.75" customHeight="1" s="205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</row>
    <row r="565" ht="12.75" customHeight="1" s="205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</row>
    <row r="566" ht="12.75" customHeight="1" s="205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</row>
    <row r="567" ht="12.75" customHeight="1" s="205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</row>
    <row r="568" ht="12.75" customHeight="1" s="205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</row>
    <row r="569" ht="12.75" customHeight="1" s="205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</row>
    <row r="570" ht="12.75" customHeight="1" s="205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</row>
    <row r="571" ht="12.75" customHeight="1" s="205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</row>
    <row r="572" ht="12.75" customHeight="1" s="205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</row>
    <row r="573" ht="12.75" customHeight="1" s="205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</row>
    <row r="574" ht="12.75" customHeight="1" s="205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</row>
    <row r="575" ht="12.75" customHeight="1" s="205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</row>
    <row r="576" ht="12.75" customHeight="1" s="205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</row>
    <row r="577" ht="12.75" customHeight="1" s="205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</row>
    <row r="578" ht="12.75" customHeight="1" s="205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</row>
    <row r="579" ht="12.75" customHeight="1" s="205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</row>
    <row r="580" ht="12.75" customHeight="1" s="205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</row>
    <row r="581" ht="12.75" customHeight="1" s="205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</row>
    <row r="582" ht="12.75" customHeight="1" s="205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</row>
    <row r="583" ht="12.75" customHeight="1" s="205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</row>
    <row r="584" ht="12.75" customHeight="1" s="205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</row>
    <row r="585" ht="12.75" customHeight="1" s="205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</row>
    <row r="586" ht="12.75" customHeight="1" s="205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</row>
    <row r="587" ht="12.75" customHeight="1" s="205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</row>
    <row r="588" ht="12.75" customHeight="1" s="205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</row>
    <row r="589" ht="12.75" customHeight="1" s="205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</row>
    <row r="590" ht="12.75" customHeight="1" s="205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</row>
    <row r="591" ht="12.75" customHeight="1" s="205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</row>
    <row r="592" ht="12.75" customHeight="1" s="205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</row>
    <row r="593" ht="12.75" customHeight="1" s="205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</row>
    <row r="594" ht="12.75" customHeight="1" s="205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</row>
    <row r="595" ht="12.75" customHeight="1" s="205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</row>
    <row r="596" ht="12.75" customHeight="1" s="205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</row>
    <row r="597" ht="12.75" customHeight="1" s="205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</row>
    <row r="598" ht="12.75" customHeight="1" s="205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</row>
    <row r="599" ht="12.75" customHeight="1" s="205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</row>
    <row r="600" ht="12.75" customHeight="1" s="205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</row>
    <row r="601" ht="12.75" customHeight="1" s="205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</row>
    <row r="602" ht="12.75" customHeight="1" s="205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</row>
    <row r="603" ht="12.75" customHeight="1" s="205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</row>
    <row r="604" ht="12.75" customHeight="1" s="205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</row>
    <row r="605" ht="12.75" customHeight="1" s="205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</row>
    <row r="606" ht="12.75" customHeight="1" s="205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</row>
    <row r="607" ht="12.75" customHeight="1" s="205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</row>
    <row r="608" ht="12.75" customHeight="1" s="205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</row>
    <row r="609" ht="12.75" customHeight="1" s="205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</row>
    <row r="610" ht="12.75" customHeight="1" s="205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</row>
    <row r="611" ht="12.75" customHeight="1" s="205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</row>
    <row r="612" ht="12.75" customHeight="1" s="205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</row>
    <row r="613" ht="12.75" customHeight="1" s="205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</row>
    <row r="614" ht="12.75" customHeight="1" s="205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</row>
    <row r="615" ht="12.75" customHeight="1" s="205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</row>
    <row r="616" ht="12.75" customHeight="1" s="205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</row>
    <row r="617" ht="12.75" customHeight="1" s="205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</row>
    <row r="618" ht="12.75" customHeight="1" s="205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</row>
    <row r="619" ht="12.75" customHeight="1" s="205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</row>
    <row r="620" ht="12.75" customHeight="1" s="205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</row>
    <row r="621" ht="12.75" customHeight="1" s="205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</row>
    <row r="622" ht="12.75" customHeight="1" s="205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</row>
    <row r="623" ht="12.75" customHeight="1" s="205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</row>
    <row r="624" ht="12.75" customHeight="1" s="205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</row>
    <row r="625" ht="12.75" customHeight="1" s="205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</row>
    <row r="626" ht="12.75" customHeight="1" s="205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</row>
    <row r="627" ht="12.75" customHeight="1" s="205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</row>
    <row r="628" ht="12.75" customHeight="1" s="205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</row>
    <row r="629" ht="12.75" customHeight="1" s="205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</row>
    <row r="630" ht="12.75" customHeight="1" s="205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</row>
    <row r="631" ht="12.75" customHeight="1" s="205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</row>
    <row r="632" ht="12.75" customHeight="1" s="205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</row>
    <row r="633" ht="12.75" customHeight="1" s="205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</row>
    <row r="634" ht="12.75" customHeight="1" s="205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</row>
    <row r="635" ht="12.75" customHeight="1" s="205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</row>
    <row r="636" ht="12.75" customHeight="1" s="205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</row>
    <row r="637" ht="12.75" customHeight="1" s="205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</row>
    <row r="638" ht="12.75" customHeight="1" s="205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</row>
    <row r="639" ht="12.75" customHeight="1" s="205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</row>
    <row r="640" ht="12.75" customHeight="1" s="205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</row>
    <row r="641" ht="12.75" customHeight="1" s="205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</row>
    <row r="642" ht="12.75" customHeight="1" s="205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</row>
    <row r="643" ht="12.75" customHeight="1" s="205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</row>
    <row r="644" ht="12.75" customHeight="1" s="205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</row>
    <row r="645" ht="12.75" customHeight="1" s="205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</row>
    <row r="646" ht="12.75" customHeight="1" s="205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</row>
    <row r="647" ht="12.75" customHeight="1" s="205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</row>
    <row r="648" ht="12.75" customHeight="1" s="205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</row>
    <row r="649" ht="12.75" customHeight="1" s="205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</row>
    <row r="650" ht="12.75" customHeight="1" s="205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</row>
    <row r="651" ht="12.75" customHeight="1" s="205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</row>
    <row r="652" ht="12.75" customHeight="1" s="205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</row>
    <row r="653" ht="12.75" customHeight="1" s="205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</row>
    <row r="654" ht="12.75" customHeight="1" s="205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</row>
    <row r="655" ht="12.75" customHeight="1" s="205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</row>
    <row r="656" ht="12.75" customHeight="1" s="205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</row>
    <row r="657" ht="12.75" customHeight="1" s="205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</row>
    <row r="658" ht="12.75" customHeight="1" s="205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</row>
    <row r="659" ht="12.75" customHeight="1" s="205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</row>
    <row r="660" ht="12.75" customHeight="1" s="205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</row>
    <row r="661" ht="12.75" customHeight="1" s="205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</row>
    <row r="662" ht="12.75" customHeight="1" s="205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</row>
    <row r="663" ht="12.75" customHeight="1" s="205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</row>
    <row r="664" ht="12.75" customHeight="1" s="205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</row>
    <row r="665" ht="12.75" customHeight="1" s="205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</row>
    <row r="666" ht="12.75" customHeight="1" s="205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</row>
    <row r="667" ht="12.75" customHeight="1" s="205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</row>
    <row r="668" ht="12.75" customHeight="1" s="205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</row>
    <row r="669" ht="12.75" customHeight="1" s="205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</row>
    <row r="670" ht="12.75" customHeight="1" s="205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</row>
    <row r="671" ht="12.75" customHeight="1" s="205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</row>
    <row r="672" ht="12.75" customHeight="1" s="205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</row>
    <row r="673" ht="12.75" customHeight="1" s="205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</row>
    <row r="674" ht="12.75" customHeight="1" s="205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</row>
    <row r="675" ht="12.75" customHeight="1" s="205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</row>
    <row r="676" ht="12.75" customHeight="1" s="205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</row>
    <row r="677" ht="12.75" customHeight="1" s="205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</row>
    <row r="678" ht="12.75" customHeight="1" s="205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</row>
    <row r="679" ht="12.75" customHeight="1" s="205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</row>
    <row r="680" ht="12.75" customHeight="1" s="205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</row>
    <row r="681" ht="12.75" customHeight="1" s="205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</row>
    <row r="682" ht="12.75" customHeight="1" s="205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</row>
    <row r="683" ht="12.75" customHeight="1" s="205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</row>
    <row r="684" ht="12.75" customHeight="1" s="205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</row>
    <row r="685" ht="12.75" customHeight="1" s="205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</row>
    <row r="686" ht="12.75" customHeight="1" s="205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</row>
    <row r="687" ht="12.75" customHeight="1" s="205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</row>
    <row r="688" ht="12.75" customHeight="1" s="205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</row>
    <row r="689" ht="12.75" customHeight="1" s="205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</row>
    <row r="690" ht="12.75" customHeight="1" s="205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</row>
    <row r="691" ht="12.75" customHeight="1" s="205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</row>
    <row r="692" ht="12.75" customHeight="1" s="205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</row>
    <row r="693" ht="12.75" customHeight="1" s="205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</row>
    <row r="694" ht="12.75" customHeight="1" s="205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</row>
    <row r="695" ht="12.75" customHeight="1" s="205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</row>
    <row r="696" ht="12.75" customHeight="1" s="205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</row>
    <row r="697" ht="12.75" customHeight="1" s="205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</row>
    <row r="698" ht="12.75" customHeight="1" s="205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</row>
    <row r="699" ht="12.75" customHeight="1" s="205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</row>
    <row r="700" ht="12.75" customHeight="1" s="205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</row>
    <row r="701" ht="12.75" customHeight="1" s="205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</row>
    <row r="702" ht="12.75" customHeight="1" s="205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</row>
    <row r="703" ht="12.75" customHeight="1" s="205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</row>
    <row r="704" ht="12.75" customHeight="1" s="205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</row>
    <row r="705" ht="12.75" customHeight="1" s="205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</row>
    <row r="706" ht="12.75" customHeight="1" s="205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</row>
    <row r="707" ht="12.75" customHeight="1" s="205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</row>
    <row r="708" ht="12.75" customHeight="1" s="205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</row>
    <row r="709" ht="12.75" customHeight="1" s="205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</row>
    <row r="710" ht="12.75" customHeight="1" s="205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</row>
    <row r="711" ht="12.75" customHeight="1" s="205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</row>
    <row r="712" ht="12.75" customHeight="1" s="205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</row>
    <row r="713" ht="12.75" customHeight="1" s="205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</row>
    <row r="714" ht="12.75" customHeight="1" s="205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</row>
    <row r="715" ht="12.75" customHeight="1" s="205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</row>
    <row r="716" ht="12.75" customHeight="1" s="205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</row>
    <row r="717" ht="12.75" customHeight="1" s="205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</row>
    <row r="718" ht="12.75" customHeight="1" s="205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</row>
    <row r="719" ht="12.75" customHeight="1" s="205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</row>
    <row r="720" ht="12.75" customHeight="1" s="205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</row>
    <row r="721" ht="12.75" customHeight="1" s="205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</row>
    <row r="722" ht="12.75" customHeight="1" s="205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</row>
    <row r="723" ht="12.75" customHeight="1" s="205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</row>
    <row r="724" ht="12.75" customHeight="1" s="205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</row>
    <row r="725" ht="12.75" customHeight="1" s="205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</row>
    <row r="726" ht="12.75" customHeight="1" s="205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</row>
    <row r="727" ht="12.75" customHeight="1" s="205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</row>
    <row r="728" ht="12.75" customHeight="1" s="205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</row>
    <row r="729" ht="12.75" customHeight="1" s="205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</row>
    <row r="730" ht="12.75" customHeight="1" s="205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</row>
    <row r="731" ht="12.75" customHeight="1" s="205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</row>
    <row r="732" ht="12.75" customHeight="1" s="205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</row>
    <row r="733" ht="12.75" customHeight="1" s="205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</row>
    <row r="734" ht="12.75" customHeight="1" s="205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</row>
    <row r="735" ht="12.75" customHeight="1" s="205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</row>
    <row r="736" ht="12.75" customHeight="1" s="205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</row>
    <row r="737" ht="12.75" customHeight="1" s="205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</row>
    <row r="738" ht="12.75" customHeight="1" s="205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</row>
    <row r="739" ht="12.75" customHeight="1" s="205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</row>
    <row r="740" ht="12.75" customHeight="1" s="205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</row>
    <row r="741" ht="12.75" customHeight="1" s="205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</row>
    <row r="742" ht="12.75" customHeight="1" s="205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</row>
    <row r="743" ht="12.75" customHeight="1" s="205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</row>
    <row r="744" ht="12.75" customHeight="1" s="205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</row>
    <row r="745" ht="12.75" customHeight="1" s="205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</row>
    <row r="746" ht="12.75" customHeight="1" s="205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</row>
    <row r="747" ht="12.75" customHeight="1" s="205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</row>
    <row r="748" ht="12.75" customHeight="1" s="205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</row>
    <row r="749" ht="12.75" customHeight="1" s="205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</row>
    <row r="750" ht="12.75" customHeight="1" s="205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</row>
    <row r="751" ht="12.75" customHeight="1" s="205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</row>
    <row r="752" ht="12.75" customHeight="1" s="205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</row>
    <row r="753" ht="12.75" customHeight="1" s="205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</row>
    <row r="754" ht="12.75" customHeight="1" s="205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</row>
    <row r="755" ht="12.75" customHeight="1" s="205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</row>
    <row r="756" ht="12.75" customHeight="1" s="205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</row>
    <row r="757" ht="12.75" customHeight="1" s="205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</row>
    <row r="758" ht="12.75" customHeight="1" s="205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</row>
    <row r="759" ht="12.75" customHeight="1" s="205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</row>
    <row r="760" ht="12.75" customHeight="1" s="205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</row>
    <row r="761" ht="12.75" customHeight="1" s="205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</row>
    <row r="762" ht="12.75" customHeight="1" s="205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</row>
    <row r="763" ht="12.75" customHeight="1" s="205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</row>
    <row r="764" ht="12.75" customHeight="1" s="205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</row>
    <row r="765" ht="12.75" customHeight="1" s="205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</row>
    <row r="766" ht="12.75" customHeight="1" s="205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</row>
    <row r="767" ht="12.75" customHeight="1" s="205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</row>
    <row r="768" ht="12.75" customHeight="1" s="205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</row>
    <row r="769" ht="12.75" customHeight="1" s="205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</row>
    <row r="770" ht="12.75" customHeight="1" s="205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</row>
    <row r="771" ht="12.75" customHeight="1" s="205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</row>
    <row r="772" ht="12.75" customHeight="1" s="205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</row>
    <row r="773" ht="12.75" customHeight="1" s="205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</row>
    <row r="774" ht="12.75" customHeight="1" s="205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</row>
    <row r="775" ht="12.75" customHeight="1" s="205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</row>
    <row r="776" ht="12.75" customHeight="1" s="205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</row>
    <row r="777" ht="12.75" customHeight="1" s="205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</row>
    <row r="778" ht="12.75" customHeight="1" s="205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</row>
    <row r="779" ht="12.75" customHeight="1" s="205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</row>
    <row r="780" ht="12.75" customHeight="1" s="205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</row>
    <row r="781" ht="12.75" customHeight="1" s="205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</row>
    <row r="782" ht="12.75" customHeight="1" s="205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</row>
    <row r="783" ht="12.75" customHeight="1" s="205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</row>
    <row r="784" ht="12.75" customHeight="1" s="205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</row>
    <row r="785" ht="12.75" customHeight="1" s="205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</row>
    <row r="786" ht="12.75" customHeight="1" s="205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</row>
    <row r="787" ht="12.75" customHeight="1" s="205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</row>
    <row r="788" ht="12.75" customHeight="1" s="205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</row>
    <row r="789" ht="12.75" customHeight="1" s="205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</row>
    <row r="790" ht="12.75" customHeight="1" s="205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</row>
    <row r="791" ht="12.75" customHeight="1" s="205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</row>
    <row r="792" ht="12.75" customHeight="1" s="205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</row>
    <row r="793" ht="12.75" customHeight="1" s="205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</row>
    <row r="794" ht="12.75" customHeight="1" s="205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</row>
    <row r="795" ht="12.75" customHeight="1" s="205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</row>
    <row r="796" ht="12.75" customHeight="1" s="205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</row>
    <row r="797" ht="12.75" customHeight="1" s="205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</row>
    <row r="798" ht="12.75" customHeight="1" s="205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</row>
    <row r="799" ht="12.75" customHeight="1" s="205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</row>
    <row r="800" ht="12.75" customHeight="1" s="205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</row>
    <row r="801" ht="12.75" customHeight="1" s="205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</row>
    <row r="802" ht="12.75" customHeight="1" s="205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</row>
    <row r="803" ht="12.75" customHeight="1" s="205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</row>
    <row r="804" ht="12.75" customHeight="1" s="205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</row>
    <row r="805" ht="12.75" customHeight="1" s="205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</row>
    <row r="806" ht="12.75" customHeight="1" s="205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</row>
    <row r="807" ht="12.75" customHeight="1" s="205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</row>
    <row r="808" ht="12.75" customHeight="1" s="205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</row>
    <row r="809" ht="12.75" customHeight="1" s="205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</row>
    <row r="810" ht="12.75" customHeight="1" s="205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</row>
    <row r="811" ht="12.75" customHeight="1" s="205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</row>
    <row r="812" ht="12.75" customHeight="1" s="205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</row>
    <row r="813" ht="12.75" customHeight="1" s="205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</row>
    <row r="814" ht="12.75" customHeight="1" s="205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</row>
    <row r="815" ht="12.75" customHeight="1" s="205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</row>
    <row r="816" ht="12.75" customHeight="1" s="205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</row>
    <row r="817" ht="12.75" customHeight="1" s="205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</row>
    <row r="818" ht="12.75" customHeight="1" s="205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</row>
    <row r="819" ht="12.75" customHeight="1" s="205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</row>
    <row r="820" ht="12.75" customHeight="1" s="205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</row>
    <row r="821" ht="12.75" customHeight="1" s="205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</row>
    <row r="822" ht="12.75" customHeight="1" s="205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</row>
    <row r="823" ht="12.75" customHeight="1" s="205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</row>
    <row r="824" ht="12.75" customHeight="1" s="205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</row>
    <row r="825" ht="12.75" customHeight="1" s="205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</row>
    <row r="826" ht="12.75" customHeight="1" s="205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</row>
    <row r="827" ht="12.75" customHeight="1" s="205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</row>
    <row r="828" ht="12.75" customHeight="1" s="205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</row>
    <row r="829" ht="12.75" customHeight="1" s="205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</row>
    <row r="830" ht="12.75" customHeight="1" s="205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</row>
    <row r="831" ht="12.75" customHeight="1" s="205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</row>
    <row r="832" ht="12.75" customHeight="1" s="205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</row>
    <row r="833" ht="12.75" customHeight="1" s="205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</row>
    <row r="834" ht="12.75" customHeight="1" s="205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</row>
    <row r="835" ht="12.75" customHeight="1" s="205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</row>
    <row r="836" ht="12.75" customHeight="1" s="205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</row>
    <row r="837" ht="12.75" customHeight="1" s="205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</row>
    <row r="838" ht="12.75" customHeight="1" s="205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</row>
    <row r="839" ht="12.75" customHeight="1" s="205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</row>
    <row r="840" ht="12.75" customHeight="1" s="205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</row>
    <row r="841" ht="12.75" customHeight="1" s="205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</row>
    <row r="842" ht="12.75" customHeight="1" s="205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</row>
    <row r="843" ht="12.75" customHeight="1" s="205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</row>
    <row r="844" ht="12.75" customHeight="1" s="205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</row>
    <row r="845" ht="12.75" customHeight="1" s="205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</row>
    <row r="846" ht="12.75" customHeight="1" s="205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</row>
    <row r="847" ht="12.75" customHeight="1" s="205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</row>
    <row r="848" ht="12.75" customHeight="1" s="205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</row>
    <row r="849" ht="12.75" customHeight="1" s="205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</row>
    <row r="850" ht="12.75" customHeight="1" s="205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</row>
    <row r="851" ht="12.75" customHeight="1" s="205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</row>
    <row r="852" ht="12.75" customHeight="1" s="205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</row>
    <row r="853" ht="12.75" customHeight="1" s="205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</row>
    <row r="854" ht="12.75" customHeight="1" s="205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</row>
    <row r="855" ht="12.75" customHeight="1" s="205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</row>
    <row r="856" ht="12.75" customHeight="1" s="205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</row>
    <row r="857" ht="12.75" customHeight="1" s="205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</row>
    <row r="858" ht="12.75" customHeight="1" s="205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</row>
    <row r="859" ht="12.75" customHeight="1" s="205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</row>
    <row r="860" ht="12.75" customHeight="1" s="205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</row>
    <row r="861" ht="12.75" customHeight="1" s="205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</row>
    <row r="862" ht="12.75" customHeight="1" s="205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</row>
    <row r="863" ht="12.75" customHeight="1" s="205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</row>
    <row r="864" ht="12.75" customHeight="1" s="205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</row>
    <row r="865" ht="12.75" customHeight="1" s="205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</row>
    <row r="866" ht="12.75" customHeight="1" s="205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</row>
    <row r="867" ht="12.75" customHeight="1" s="205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</row>
    <row r="868" ht="12.75" customHeight="1" s="205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</row>
    <row r="869" ht="12.75" customHeight="1" s="205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</row>
    <row r="870" ht="12.75" customHeight="1" s="205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</row>
    <row r="871" ht="12.75" customHeight="1" s="205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</row>
    <row r="872" ht="12.75" customHeight="1" s="205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</row>
    <row r="873" ht="12.75" customHeight="1" s="205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</row>
    <row r="874" ht="12.75" customHeight="1" s="205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</row>
    <row r="875" ht="12.75" customHeight="1" s="205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</row>
    <row r="876" ht="12.75" customHeight="1" s="205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</row>
    <row r="877" ht="12.75" customHeight="1" s="205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</row>
    <row r="878" ht="12.75" customHeight="1" s="205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</row>
    <row r="879" ht="12.75" customHeight="1" s="205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</row>
    <row r="880" ht="12.75" customHeight="1" s="205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</row>
    <row r="881" ht="12.75" customHeight="1" s="205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</row>
    <row r="882" ht="12.75" customHeight="1" s="205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</row>
    <row r="883" ht="12.75" customHeight="1" s="205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</row>
    <row r="884" ht="12.75" customHeight="1" s="205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</row>
    <row r="885" ht="12.75" customHeight="1" s="205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</row>
    <row r="886" ht="12.75" customHeight="1" s="205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</row>
    <row r="887" ht="12.75" customHeight="1" s="205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</row>
    <row r="888" ht="12.75" customHeight="1" s="205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</row>
    <row r="889" ht="12.75" customHeight="1" s="205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</row>
    <row r="890" ht="12.75" customHeight="1" s="205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</row>
    <row r="891" ht="12.75" customHeight="1" s="205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</row>
    <row r="892" ht="12.75" customHeight="1" s="205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</row>
    <row r="893" ht="12.75" customHeight="1" s="205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</row>
    <row r="894" ht="12.75" customHeight="1" s="205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</row>
    <row r="895" ht="12.75" customHeight="1" s="205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</row>
    <row r="896" ht="12.75" customHeight="1" s="205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</row>
    <row r="897" ht="12.75" customHeight="1" s="205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</row>
    <row r="898" ht="12.75" customHeight="1" s="205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</row>
    <row r="899" ht="12.75" customHeight="1" s="205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</row>
    <row r="900" ht="12.75" customHeight="1" s="205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</row>
    <row r="901" ht="12.75" customHeight="1" s="205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</row>
    <row r="902" ht="12.75" customHeight="1" s="205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</row>
    <row r="903" ht="12.75" customHeight="1" s="205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</row>
    <row r="904" ht="12.75" customHeight="1" s="205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</row>
    <row r="905" ht="12.75" customHeight="1" s="205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</row>
    <row r="906" ht="12.75" customHeight="1" s="205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</row>
    <row r="907" ht="12.75" customHeight="1" s="205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</row>
    <row r="908" ht="12.75" customHeight="1" s="205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</row>
    <row r="909" ht="12.75" customHeight="1" s="205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</row>
    <row r="910" ht="12.75" customHeight="1" s="205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</row>
    <row r="911" ht="12.75" customHeight="1" s="205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</row>
    <row r="912" ht="12.75" customHeight="1" s="205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</row>
    <row r="913" ht="12.75" customHeight="1" s="205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</row>
    <row r="914" ht="12.75" customHeight="1" s="205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</row>
    <row r="915" ht="12.75" customHeight="1" s="205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</row>
    <row r="916" ht="12.75" customHeight="1" s="205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</row>
    <row r="917" ht="12.75" customHeight="1" s="205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</row>
    <row r="918" ht="12.75" customHeight="1" s="205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</row>
    <row r="919" ht="12.75" customHeight="1" s="205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</row>
    <row r="920" ht="12.75" customHeight="1" s="205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</row>
    <row r="921" ht="12.75" customHeight="1" s="205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</row>
    <row r="922" ht="12.75" customHeight="1" s="205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</row>
    <row r="923" ht="12.75" customHeight="1" s="205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</row>
    <row r="924" ht="12.75" customHeight="1" s="205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</row>
    <row r="925" ht="12.75" customHeight="1" s="205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</row>
    <row r="926" ht="12.75" customHeight="1" s="205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</row>
    <row r="927" ht="12.75" customHeight="1" s="205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</row>
    <row r="928" ht="12.75" customHeight="1" s="205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</row>
    <row r="929" ht="12.75" customHeight="1" s="205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</row>
    <row r="930" ht="12.75" customHeight="1" s="205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</row>
    <row r="931" ht="12.75" customHeight="1" s="205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</row>
    <row r="932" ht="12.75" customHeight="1" s="205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</row>
    <row r="933" ht="12.75" customHeight="1" s="205">
      <c r="A933" s="204" t="n"/>
      <c r="B933" s="204" t="n"/>
      <c r="C933" s="204" t="n"/>
      <c r="D933" s="204" t="n"/>
      <c r="E933" s="204" t="n"/>
      <c r="F933" s="204" t="n"/>
      <c r="G933" s="204" t="n"/>
      <c r="H933" s="204" t="n"/>
      <c r="I933" s="204" t="n"/>
      <c r="J933" s="204" t="n"/>
      <c r="K933" s="204" t="n"/>
      <c r="L933" s="204" t="n"/>
      <c r="M933" s="204" t="n"/>
      <c r="N933" s="204" t="n"/>
      <c r="O933" s="204" t="n"/>
      <c r="P933" s="204" t="n"/>
      <c r="Q933" s="204" t="n"/>
      <c r="R933" s="204" t="n"/>
    </row>
    <row r="934" ht="12.75" customHeight="1" s="205">
      <c r="A934" s="204" t="n"/>
      <c r="B934" s="204" t="n"/>
      <c r="C934" s="204" t="n"/>
      <c r="D934" s="204" t="n"/>
      <c r="E934" s="204" t="n"/>
      <c r="F934" s="204" t="n"/>
      <c r="G934" s="204" t="n"/>
      <c r="H934" s="204" t="n"/>
      <c r="I934" s="204" t="n"/>
      <c r="J934" s="204" t="n"/>
      <c r="K934" s="204" t="n"/>
      <c r="L934" s="204" t="n"/>
      <c r="M934" s="204" t="n"/>
      <c r="N934" s="204" t="n"/>
      <c r="O934" s="204" t="n"/>
      <c r="P934" s="204" t="n"/>
      <c r="Q934" s="204" t="n"/>
      <c r="R934" s="204" t="n"/>
    </row>
    <row r="935" ht="12.75" customHeight="1" s="205">
      <c r="A935" s="204" t="n"/>
      <c r="B935" s="204" t="n"/>
      <c r="C935" s="204" t="n"/>
      <c r="D935" s="204" t="n"/>
      <c r="E935" s="204" t="n"/>
      <c r="F935" s="204" t="n"/>
      <c r="G935" s="204" t="n"/>
      <c r="H935" s="204" t="n"/>
      <c r="I935" s="204" t="n"/>
      <c r="J935" s="204" t="n"/>
      <c r="K935" s="204" t="n"/>
      <c r="L935" s="204" t="n"/>
      <c r="M935" s="204" t="n"/>
      <c r="N935" s="204" t="n"/>
      <c r="O935" s="204" t="n"/>
      <c r="P935" s="204" t="n"/>
      <c r="Q935" s="204" t="n"/>
      <c r="R935" s="204" t="n"/>
    </row>
    <row r="936" ht="12.75" customHeight="1" s="205">
      <c r="A936" s="204" t="n"/>
      <c r="B936" s="204" t="n"/>
      <c r="C936" s="204" t="n"/>
      <c r="D936" s="204" t="n"/>
      <c r="E936" s="204" t="n"/>
      <c r="F936" s="204" t="n"/>
      <c r="G936" s="204" t="n"/>
      <c r="H936" s="204" t="n"/>
      <c r="I936" s="204" t="n"/>
      <c r="J936" s="204" t="n"/>
      <c r="K936" s="204" t="n"/>
      <c r="L936" s="204" t="n"/>
      <c r="M936" s="204" t="n"/>
      <c r="N936" s="204" t="n"/>
      <c r="O936" s="204" t="n"/>
      <c r="P936" s="204" t="n"/>
      <c r="Q936" s="204" t="n"/>
      <c r="R936" s="204" t="n"/>
    </row>
    <row r="937" ht="12.75" customHeight="1" s="205">
      <c r="A937" s="204" t="n"/>
      <c r="B937" s="204" t="n"/>
      <c r="C937" s="204" t="n"/>
      <c r="D937" s="204" t="n"/>
      <c r="E937" s="204" t="n"/>
      <c r="F937" s="204" t="n"/>
      <c r="G937" s="204" t="n"/>
      <c r="H937" s="204" t="n"/>
      <c r="I937" s="204" t="n"/>
      <c r="J937" s="204" t="n"/>
      <c r="K937" s="204" t="n"/>
      <c r="L937" s="204" t="n"/>
      <c r="M937" s="204" t="n"/>
      <c r="N937" s="204" t="n"/>
      <c r="O937" s="204" t="n"/>
      <c r="P937" s="204" t="n"/>
      <c r="Q937" s="204" t="n"/>
      <c r="R937" s="204" t="n"/>
    </row>
    <row r="938" ht="12.75" customHeight="1" s="205">
      <c r="A938" s="204" t="n"/>
      <c r="B938" s="204" t="n"/>
      <c r="C938" s="204" t="n"/>
      <c r="D938" s="204" t="n"/>
      <c r="E938" s="204" t="n"/>
      <c r="F938" s="204" t="n"/>
      <c r="G938" s="204" t="n"/>
      <c r="H938" s="204" t="n"/>
      <c r="I938" s="204" t="n"/>
      <c r="J938" s="204" t="n"/>
      <c r="K938" s="204" t="n"/>
      <c r="L938" s="204" t="n"/>
      <c r="M938" s="204" t="n"/>
      <c r="N938" s="204" t="n"/>
      <c r="O938" s="204" t="n"/>
      <c r="P938" s="204" t="n"/>
      <c r="Q938" s="204" t="n"/>
      <c r="R938" s="204" t="n"/>
    </row>
    <row r="939" ht="12.75" customHeight="1" s="205">
      <c r="A939" s="204" t="n"/>
      <c r="B939" s="204" t="n"/>
      <c r="C939" s="204" t="n"/>
      <c r="D939" s="204" t="n"/>
      <c r="E939" s="204" t="n"/>
      <c r="F939" s="204" t="n"/>
      <c r="G939" s="204" t="n"/>
      <c r="H939" s="204" t="n"/>
      <c r="I939" s="204" t="n"/>
      <c r="J939" s="204" t="n"/>
      <c r="K939" s="204" t="n"/>
      <c r="L939" s="204" t="n"/>
      <c r="M939" s="204" t="n"/>
      <c r="N939" s="204" t="n"/>
      <c r="O939" s="204" t="n"/>
      <c r="P939" s="204" t="n"/>
      <c r="Q939" s="204" t="n"/>
      <c r="R939" s="204" t="n"/>
    </row>
    <row r="940" ht="12.75" customHeight="1" s="205">
      <c r="A940" s="204" t="n"/>
      <c r="B940" s="204" t="n"/>
      <c r="C940" s="204" t="n"/>
      <c r="D940" s="204" t="n"/>
      <c r="E940" s="204" t="n"/>
      <c r="F940" s="204" t="n"/>
      <c r="G940" s="204" t="n"/>
      <c r="H940" s="204" t="n"/>
      <c r="I940" s="204" t="n"/>
      <c r="J940" s="204" t="n"/>
      <c r="K940" s="204" t="n"/>
      <c r="L940" s="204" t="n"/>
      <c r="M940" s="204" t="n"/>
      <c r="N940" s="204" t="n"/>
      <c r="O940" s="204" t="n"/>
      <c r="P940" s="204" t="n"/>
      <c r="Q940" s="204" t="n"/>
      <c r="R940" s="204" t="n"/>
    </row>
    <row r="941" ht="12.75" customHeight="1" s="205">
      <c r="A941" s="204" t="n"/>
      <c r="B941" s="204" t="n"/>
      <c r="C941" s="204" t="n"/>
      <c r="D941" s="204" t="n"/>
      <c r="E941" s="204" t="n"/>
      <c r="F941" s="204" t="n"/>
      <c r="G941" s="204" t="n"/>
      <c r="H941" s="204" t="n"/>
      <c r="I941" s="204" t="n"/>
      <c r="J941" s="204" t="n"/>
      <c r="K941" s="204" t="n"/>
      <c r="L941" s="204" t="n"/>
      <c r="M941" s="204" t="n"/>
      <c r="N941" s="204" t="n"/>
      <c r="O941" s="204" t="n"/>
      <c r="P941" s="204" t="n"/>
      <c r="Q941" s="204" t="n"/>
      <c r="R941" s="204" t="n"/>
    </row>
    <row r="942" ht="12.75" customHeight="1" s="205">
      <c r="A942" s="204" t="n"/>
      <c r="B942" s="204" t="n"/>
      <c r="C942" s="204" t="n"/>
      <c r="D942" s="204" t="n"/>
      <c r="E942" s="204" t="n"/>
      <c r="F942" s="204" t="n"/>
      <c r="G942" s="204" t="n"/>
      <c r="H942" s="204" t="n"/>
      <c r="I942" s="204" t="n"/>
      <c r="J942" s="204" t="n"/>
      <c r="K942" s="204" t="n"/>
      <c r="L942" s="204" t="n"/>
      <c r="M942" s="204" t="n"/>
      <c r="N942" s="204" t="n"/>
      <c r="O942" s="204" t="n"/>
      <c r="P942" s="204" t="n"/>
      <c r="Q942" s="204" t="n"/>
      <c r="R942" s="204" t="n"/>
    </row>
    <row r="943" ht="12.75" customHeight="1" s="205">
      <c r="A943" s="204" t="n"/>
      <c r="B943" s="204" t="n"/>
      <c r="C943" s="204" t="n"/>
      <c r="D943" s="204" t="n"/>
      <c r="E943" s="204" t="n"/>
      <c r="F943" s="204" t="n"/>
      <c r="G943" s="204" t="n"/>
      <c r="H943" s="204" t="n"/>
      <c r="I943" s="204" t="n"/>
      <c r="J943" s="204" t="n"/>
      <c r="K943" s="204" t="n"/>
      <c r="L943" s="204" t="n"/>
      <c r="M943" s="204" t="n"/>
      <c r="N943" s="204" t="n"/>
      <c r="O943" s="204" t="n"/>
      <c r="P943" s="204" t="n"/>
      <c r="Q943" s="204" t="n"/>
      <c r="R943" s="204" t="n"/>
    </row>
    <row r="944" ht="12.75" customHeight="1" s="205">
      <c r="A944" s="204" t="n"/>
      <c r="B944" s="204" t="n"/>
      <c r="C944" s="204" t="n"/>
      <c r="D944" s="204" t="n"/>
      <c r="E944" s="204" t="n"/>
      <c r="F944" s="204" t="n"/>
      <c r="G944" s="204" t="n"/>
      <c r="H944" s="204" t="n"/>
      <c r="I944" s="204" t="n"/>
      <c r="J944" s="204" t="n"/>
      <c r="K944" s="204" t="n"/>
      <c r="L944" s="204" t="n"/>
      <c r="M944" s="204" t="n"/>
      <c r="N944" s="204" t="n"/>
      <c r="O944" s="204" t="n"/>
      <c r="P944" s="204" t="n"/>
      <c r="Q944" s="204" t="n"/>
      <c r="R944" s="204" t="n"/>
    </row>
    <row r="945" ht="12.75" customHeight="1" s="205">
      <c r="A945" s="204" t="n"/>
      <c r="B945" s="204" t="n"/>
      <c r="C945" s="204" t="n"/>
      <c r="D945" s="204" t="n"/>
      <c r="E945" s="204" t="n"/>
      <c r="F945" s="204" t="n"/>
      <c r="G945" s="204" t="n"/>
      <c r="H945" s="204" t="n"/>
      <c r="I945" s="204" t="n"/>
      <c r="J945" s="204" t="n"/>
      <c r="K945" s="204" t="n"/>
      <c r="L945" s="204" t="n"/>
      <c r="M945" s="204" t="n"/>
      <c r="N945" s="204" t="n"/>
      <c r="O945" s="204" t="n"/>
      <c r="P945" s="204" t="n"/>
      <c r="Q945" s="204" t="n"/>
      <c r="R945" s="204" t="n"/>
    </row>
    <row r="946" ht="12.75" customHeight="1" s="205">
      <c r="A946" s="204" t="n"/>
      <c r="B946" s="204" t="n"/>
      <c r="C946" s="204" t="n"/>
      <c r="D946" s="204" t="n"/>
      <c r="E946" s="204" t="n"/>
      <c r="F946" s="204" t="n"/>
      <c r="G946" s="204" t="n"/>
      <c r="H946" s="204" t="n"/>
      <c r="I946" s="204" t="n"/>
      <c r="J946" s="204" t="n"/>
      <c r="K946" s="204" t="n"/>
      <c r="L946" s="204" t="n"/>
      <c r="M946" s="204" t="n"/>
      <c r="N946" s="204" t="n"/>
      <c r="O946" s="204" t="n"/>
      <c r="P946" s="204" t="n"/>
      <c r="Q946" s="204" t="n"/>
      <c r="R946" s="204" t="n"/>
    </row>
    <row r="947" ht="12.75" customHeight="1" s="205">
      <c r="A947" s="204" t="n"/>
      <c r="B947" s="204" t="n"/>
      <c r="C947" s="204" t="n"/>
      <c r="D947" s="204" t="n"/>
      <c r="E947" s="204" t="n"/>
      <c r="F947" s="204" t="n"/>
      <c r="G947" s="204" t="n"/>
      <c r="H947" s="204" t="n"/>
      <c r="I947" s="204" t="n"/>
      <c r="J947" s="204" t="n"/>
      <c r="K947" s="204" t="n"/>
      <c r="L947" s="204" t="n"/>
      <c r="M947" s="204" t="n"/>
      <c r="N947" s="204" t="n"/>
      <c r="O947" s="204" t="n"/>
      <c r="P947" s="204" t="n"/>
      <c r="Q947" s="204" t="n"/>
      <c r="R947" s="204" t="n"/>
    </row>
    <row r="948" ht="12.75" customHeight="1" s="205">
      <c r="A948" s="204" t="n"/>
      <c r="B948" s="204" t="n"/>
      <c r="C948" s="204" t="n"/>
      <c r="D948" s="204" t="n"/>
      <c r="E948" s="204" t="n"/>
      <c r="F948" s="204" t="n"/>
      <c r="G948" s="204" t="n"/>
      <c r="H948" s="204" t="n"/>
      <c r="I948" s="204" t="n"/>
      <c r="J948" s="204" t="n"/>
      <c r="K948" s="204" t="n"/>
      <c r="L948" s="204" t="n"/>
      <c r="M948" s="204" t="n"/>
      <c r="N948" s="204" t="n"/>
      <c r="O948" s="204" t="n"/>
      <c r="P948" s="204" t="n"/>
      <c r="Q948" s="204" t="n"/>
      <c r="R948" s="204" t="n"/>
    </row>
    <row r="949" ht="12.75" customHeight="1" s="205">
      <c r="A949" s="204" t="n"/>
      <c r="B949" s="204" t="n"/>
      <c r="C949" s="204" t="n"/>
      <c r="D949" s="204" t="n"/>
      <c r="E949" s="204" t="n"/>
      <c r="F949" s="204" t="n"/>
      <c r="G949" s="204" t="n"/>
      <c r="H949" s="204" t="n"/>
      <c r="I949" s="204" t="n"/>
      <c r="J949" s="204" t="n"/>
      <c r="K949" s="204" t="n"/>
      <c r="L949" s="204" t="n"/>
      <c r="M949" s="204" t="n"/>
      <c r="N949" s="204" t="n"/>
      <c r="O949" s="204" t="n"/>
      <c r="P949" s="204" t="n"/>
      <c r="Q949" s="204" t="n"/>
      <c r="R949" s="204" t="n"/>
    </row>
    <row r="950" ht="12.75" customHeight="1" s="205">
      <c r="A950" s="204" t="n"/>
      <c r="B950" s="204" t="n"/>
      <c r="C950" s="204" t="n"/>
      <c r="D950" s="204" t="n"/>
      <c r="E950" s="204" t="n"/>
      <c r="F950" s="204" t="n"/>
      <c r="G950" s="204" t="n"/>
      <c r="H950" s="204" t="n"/>
      <c r="I950" s="204" t="n"/>
      <c r="J950" s="204" t="n"/>
      <c r="K950" s="204" t="n"/>
      <c r="L950" s="204" t="n"/>
      <c r="M950" s="204" t="n"/>
      <c r="N950" s="204" t="n"/>
      <c r="O950" s="204" t="n"/>
      <c r="P950" s="204" t="n"/>
      <c r="Q950" s="204" t="n"/>
      <c r="R950" s="204" t="n"/>
    </row>
    <row r="951" ht="12.75" customHeight="1" s="205">
      <c r="A951" s="204" t="n"/>
      <c r="B951" s="204" t="n"/>
      <c r="C951" s="204" t="n"/>
      <c r="D951" s="204" t="n"/>
      <c r="E951" s="204" t="n"/>
      <c r="F951" s="204" t="n"/>
      <c r="G951" s="204" t="n"/>
      <c r="H951" s="204" t="n"/>
      <c r="I951" s="204" t="n"/>
      <c r="J951" s="204" t="n"/>
      <c r="K951" s="204" t="n"/>
      <c r="L951" s="204" t="n"/>
      <c r="M951" s="204" t="n"/>
      <c r="N951" s="204" t="n"/>
      <c r="O951" s="204" t="n"/>
      <c r="P951" s="204" t="n"/>
      <c r="Q951" s="204" t="n"/>
      <c r="R951" s="204" t="n"/>
    </row>
    <row r="952" ht="12.75" customHeight="1" s="205">
      <c r="A952" s="204" t="n"/>
      <c r="B952" s="204" t="n"/>
      <c r="C952" s="204" t="n"/>
      <c r="D952" s="204" t="n"/>
      <c r="E952" s="204" t="n"/>
      <c r="F952" s="204" t="n"/>
      <c r="G952" s="204" t="n"/>
      <c r="H952" s="204" t="n"/>
      <c r="I952" s="204" t="n"/>
      <c r="J952" s="204" t="n"/>
      <c r="K952" s="204" t="n"/>
      <c r="L952" s="204" t="n"/>
      <c r="M952" s="204" t="n"/>
      <c r="N952" s="204" t="n"/>
      <c r="O952" s="204" t="n"/>
      <c r="P952" s="204" t="n"/>
      <c r="Q952" s="204" t="n"/>
      <c r="R952" s="204" t="n"/>
    </row>
    <row r="953" ht="12.75" customHeight="1" s="205">
      <c r="A953" s="204" t="n"/>
      <c r="B953" s="204" t="n"/>
      <c r="C953" s="204" t="n"/>
      <c r="D953" s="204" t="n"/>
      <c r="E953" s="204" t="n"/>
      <c r="F953" s="204" t="n"/>
      <c r="G953" s="204" t="n"/>
      <c r="H953" s="204" t="n"/>
      <c r="I953" s="204" t="n"/>
      <c r="J953" s="204" t="n"/>
      <c r="K953" s="204" t="n"/>
      <c r="L953" s="204" t="n"/>
      <c r="M953" s="204" t="n"/>
      <c r="N953" s="204" t="n"/>
      <c r="O953" s="204" t="n"/>
      <c r="P953" s="204" t="n"/>
      <c r="Q953" s="204" t="n"/>
      <c r="R953" s="204" t="n"/>
    </row>
    <row r="954" ht="12.75" customHeight="1" s="205">
      <c r="A954" s="204" t="n"/>
      <c r="B954" s="204" t="n"/>
      <c r="C954" s="204" t="n"/>
      <c r="D954" s="204" t="n"/>
      <c r="E954" s="204" t="n"/>
      <c r="F954" s="204" t="n"/>
      <c r="G954" s="204" t="n"/>
      <c r="H954" s="204" t="n"/>
      <c r="I954" s="204" t="n"/>
      <c r="J954" s="204" t="n"/>
      <c r="K954" s="204" t="n"/>
      <c r="L954" s="204" t="n"/>
      <c r="M954" s="204" t="n"/>
      <c r="N954" s="204" t="n"/>
      <c r="O954" s="204" t="n"/>
      <c r="P954" s="204" t="n"/>
      <c r="Q954" s="204" t="n"/>
      <c r="R954" s="204" t="n"/>
    </row>
    <row r="955" ht="12.75" customHeight="1" s="205">
      <c r="A955" s="204" t="n"/>
      <c r="B955" s="204" t="n"/>
      <c r="C955" s="204" t="n"/>
      <c r="D955" s="204" t="n"/>
      <c r="E955" s="204" t="n"/>
      <c r="F955" s="204" t="n"/>
      <c r="G955" s="204" t="n"/>
      <c r="H955" s="204" t="n"/>
      <c r="I955" s="204" t="n"/>
      <c r="J955" s="204" t="n"/>
      <c r="K955" s="204" t="n"/>
      <c r="L955" s="204" t="n"/>
      <c r="M955" s="204" t="n"/>
      <c r="N955" s="204" t="n"/>
      <c r="O955" s="204" t="n"/>
      <c r="P955" s="204" t="n"/>
      <c r="Q955" s="204" t="n"/>
      <c r="R955" s="204" t="n"/>
    </row>
    <row r="956" ht="12.75" customHeight="1" s="205">
      <c r="A956" s="204" t="n"/>
      <c r="B956" s="204" t="n"/>
      <c r="C956" s="204" t="n"/>
      <c r="D956" s="204" t="n"/>
      <c r="E956" s="204" t="n"/>
      <c r="F956" s="204" t="n"/>
      <c r="G956" s="204" t="n"/>
      <c r="H956" s="204" t="n"/>
      <c r="I956" s="204" t="n"/>
      <c r="J956" s="204" t="n"/>
      <c r="K956" s="204" t="n"/>
      <c r="L956" s="204" t="n"/>
      <c r="M956" s="204" t="n"/>
      <c r="N956" s="204" t="n"/>
      <c r="O956" s="204" t="n"/>
      <c r="P956" s="204" t="n"/>
      <c r="Q956" s="204" t="n"/>
      <c r="R956" s="204" t="n"/>
    </row>
    <row r="957" ht="12.75" customHeight="1" s="205">
      <c r="A957" s="204" t="n"/>
      <c r="B957" s="204" t="n"/>
      <c r="C957" s="204" t="n"/>
      <c r="D957" s="204" t="n"/>
      <c r="E957" s="204" t="n"/>
      <c r="F957" s="204" t="n"/>
      <c r="G957" s="204" t="n"/>
      <c r="H957" s="204" t="n"/>
      <c r="I957" s="204" t="n"/>
      <c r="J957" s="204" t="n"/>
      <c r="K957" s="204" t="n"/>
      <c r="L957" s="204" t="n"/>
      <c r="M957" s="204" t="n"/>
      <c r="N957" s="204" t="n"/>
      <c r="O957" s="204" t="n"/>
      <c r="P957" s="204" t="n"/>
      <c r="Q957" s="204" t="n"/>
      <c r="R957" s="204" t="n"/>
    </row>
    <row r="958" ht="12.75" customHeight="1" s="205">
      <c r="A958" s="204" t="n"/>
      <c r="B958" s="204" t="n"/>
      <c r="C958" s="204" t="n"/>
      <c r="D958" s="204" t="n"/>
      <c r="E958" s="204" t="n"/>
      <c r="F958" s="204" t="n"/>
      <c r="G958" s="204" t="n"/>
      <c r="H958" s="204" t="n"/>
      <c r="I958" s="204" t="n"/>
      <c r="J958" s="204" t="n"/>
      <c r="K958" s="204" t="n"/>
      <c r="L958" s="204" t="n"/>
      <c r="M958" s="204" t="n"/>
      <c r="N958" s="204" t="n"/>
      <c r="O958" s="204" t="n"/>
      <c r="P958" s="204" t="n"/>
      <c r="Q958" s="204" t="n"/>
      <c r="R958" s="204" t="n"/>
    </row>
    <row r="959" ht="12.75" customHeight="1" s="205">
      <c r="A959" s="204" t="n"/>
      <c r="B959" s="204" t="n"/>
      <c r="C959" s="204" t="n"/>
      <c r="D959" s="204" t="n"/>
      <c r="E959" s="204" t="n"/>
      <c r="F959" s="204" t="n"/>
      <c r="G959" s="204" t="n"/>
      <c r="H959" s="204" t="n"/>
      <c r="I959" s="204" t="n"/>
      <c r="J959" s="204" t="n"/>
      <c r="K959" s="204" t="n"/>
      <c r="L959" s="204" t="n"/>
      <c r="M959" s="204" t="n"/>
      <c r="N959" s="204" t="n"/>
      <c r="O959" s="204" t="n"/>
      <c r="P959" s="204" t="n"/>
      <c r="Q959" s="204" t="n"/>
      <c r="R959" s="204" t="n"/>
    </row>
    <row r="960" ht="12.75" customHeight="1" s="205">
      <c r="A960" s="204" t="n"/>
      <c r="B960" s="204" t="n"/>
      <c r="C960" s="204" t="n"/>
      <c r="D960" s="204" t="n"/>
      <c r="E960" s="204" t="n"/>
      <c r="F960" s="204" t="n"/>
      <c r="G960" s="204" t="n"/>
      <c r="H960" s="204" t="n"/>
      <c r="I960" s="204" t="n"/>
      <c r="J960" s="204" t="n"/>
      <c r="K960" s="204" t="n"/>
      <c r="L960" s="204" t="n"/>
      <c r="M960" s="204" t="n"/>
      <c r="N960" s="204" t="n"/>
      <c r="O960" s="204" t="n"/>
      <c r="P960" s="204" t="n"/>
      <c r="Q960" s="204" t="n"/>
      <c r="R960" s="204" t="n"/>
    </row>
    <row r="961" ht="12.75" customHeight="1" s="205">
      <c r="A961" s="204" t="n"/>
      <c r="B961" s="204" t="n"/>
      <c r="C961" s="204" t="n"/>
      <c r="D961" s="204" t="n"/>
      <c r="E961" s="204" t="n"/>
      <c r="F961" s="204" t="n"/>
      <c r="G961" s="204" t="n"/>
      <c r="H961" s="204" t="n"/>
      <c r="I961" s="204" t="n"/>
      <c r="J961" s="204" t="n"/>
      <c r="K961" s="204" t="n"/>
      <c r="L961" s="204" t="n"/>
      <c r="M961" s="204" t="n"/>
      <c r="N961" s="204" t="n"/>
      <c r="O961" s="204" t="n"/>
      <c r="P961" s="204" t="n"/>
      <c r="Q961" s="204" t="n"/>
      <c r="R961" s="204" t="n"/>
    </row>
    <row r="962" ht="12.75" customHeight="1" s="205">
      <c r="A962" s="204" t="n"/>
      <c r="B962" s="204" t="n"/>
      <c r="C962" s="204" t="n"/>
      <c r="D962" s="204" t="n"/>
      <c r="E962" s="204" t="n"/>
      <c r="F962" s="204" t="n"/>
      <c r="G962" s="204" t="n"/>
      <c r="H962" s="204" t="n"/>
      <c r="I962" s="204" t="n"/>
      <c r="J962" s="204" t="n"/>
      <c r="K962" s="204" t="n"/>
      <c r="L962" s="204" t="n"/>
      <c r="M962" s="204" t="n"/>
      <c r="N962" s="204" t="n"/>
      <c r="O962" s="204" t="n"/>
      <c r="P962" s="204" t="n"/>
      <c r="Q962" s="204" t="n"/>
      <c r="R962" s="204" t="n"/>
    </row>
    <row r="963" ht="12.75" customHeight="1" s="205">
      <c r="A963" s="204" t="n"/>
      <c r="B963" s="204" t="n"/>
      <c r="C963" s="204" t="n"/>
      <c r="D963" s="204" t="n"/>
      <c r="E963" s="204" t="n"/>
      <c r="F963" s="204" t="n"/>
      <c r="G963" s="204" t="n"/>
      <c r="H963" s="204" t="n"/>
      <c r="I963" s="204" t="n"/>
      <c r="J963" s="204" t="n"/>
      <c r="K963" s="204" t="n"/>
      <c r="L963" s="204" t="n"/>
      <c r="M963" s="204" t="n"/>
      <c r="N963" s="204" t="n"/>
      <c r="O963" s="204" t="n"/>
      <c r="P963" s="204" t="n"/>
      <c r="Q963" s="204" t="n"/>
      <c r="R963" s="204" t="n"/>
    </row>
    <row r="964" ht="12.75" customHeight="1" s="205">
      <c r="A964" s="204" t="n"/>
      <c r="B964" s="204" t="n"/>
      <c r="C964" s="204" t="n"/>
      <c r="D964" s="204" t="n"/>
      <c r="E964" s="204" t="n"/>
      <c r="F964" s="204" t="n"/>
      <c r="G964" s="204" t="n"/>
      <c r="H964" s="204" t="n"/>
      <c r="I964" s="204" t="n"/>
      <c r="J964" s="204" t="n"/>
      <c r="K964" s="204" t="n"/>
      <c r="L964" s="204" t="n"/>
      <c r="M964" s="204" t="n"/>
      <c r="N964" s="204" t="n"/>
      <c r="O964" s="204" t="n"/>
      <c r="P964" s="204" t="n"/>
      <c r="Q964" s="204" t="n"/>
      <c r="R964" s="204" t="n"/>
    </row>
    <row r="965" ht="12.75" customHeight="1" s="205">
      <c r="A965" s="204" t="n"/>
      <c r="B965" s="204" t="n"/>
      <c r="C965" s="204" t="n"/>
      <c r="D965" s="204" t="n"/>
      <c r="E965" s="204" t="n"/>
      <c r="F965" s="204" t="n"/>
      <c r="G965" s="204" t="n"/>
      <c r="H965" s="204" t="n"/>
      <c r="I965" s="204" t="n"/>
      <c r="J965" s="204" t="n"/>
      <c r="K965" s="204" t="n"/>
      <c r="L965" s="204" t="n"/>
      <c r="M965" s="204" t="n"/>
      <c r="N965" s="204" t="n"/>
      <c r="O965" s="204" t="n"/>
      <c r="P965" s="204" t="n"/>
      <c r="Q965" s="204" t="n"/>
      <c r="R965" s="204" t="n"/>
    </row>
    <row r="966" ht="12.75" customHeight="1" s="205">
      <c r="A966" s="204" t="n"/>
      <c r="B966" s="204" t="n"/>
      <c r="C966" s="204" t="n"/>
      <c r="D966" s="204" t="n"/>
      <c r="E966" s="204" t="n"/>
      <c r="F966" s="204" t="n"/>
      <c r="G966" s="204" t="n"/>
      <c r="H966" s="204" t="n"/>
      <c r="I966" s="204" t="n"/>
      <c r="J966" s="204" t="n"/>
      <c r="K966" s="204" t="n"/>
      <c r="L966" s="204" t="n"/>
      <c r="M966" s="204" t="n"/>
      <c r="N966" s="204" t="n"/>
      <c r="O966" s="204" t="n"/>
      <c r="P966" s="204" t="n"/>
      <c r="Q966" s="204" t="n"/>
      <c r="R966" s="204" t="n"/>
    </row>
    <row r="967" ht="12.75" customHeight="1" s="205">
      <c r="A967" s="204" t="n"/>
      <c r="B967" s="204" t="n"/>
      <c r="C967" s="204" t="n"/>
      <c r="D967" s="204" t="n"/>
      <c r="E967" s="204" t="n"/>
      <c r="F967" s="204" t="n"/>
      <c r="G967" s="204" t="n"/>
      <c r="H967" s="204" t="n"/>
      <c r="I967" s="204" t="n"/>
      <c r="J967" s="204" t="n"/>
      <c r="K967" s="204" t="n"/>
      <c r="L967" s="204" t="n"/>
      <c r="M967" s="204" t="n"/>
      <c r="N967" s="204" t="n"/>
      <c r="O967" s="204" t="n"/>
      <c r="P967" s="204" t="n"/>
      <c r="Q967" s="204" t="n"/>
      <c r="R967" s="204" t="n"/>
    </row>
    <row r="968" ht="12.75" customHeight="1" s="205">
      <c r="A968" s="204" t="n"/>
      <c r="B968" s="204" t="n"/>
      <c r="C968" s="204" t="n"/>
      <c r="D968" s="204" t="n"/>
      <c r="E968" s="204" t="n"/>
      <c r="F968" s="204" t="n"/>
      <c r="G968" s="204" t="n"/>
      <c r="H968" s="204" t="n"/>
      <c r="I968" s="204" t="n"/>
      <c r="J968" s="204" t="n"/>
      <c r="K968" s="204" t="n"/>
      <c r="L968" s="204" t="n"/>
      <c r="M968" s="204" t="n"/>
      <c r="N968" s="204" t="n"/>
      <c r="O968" s="204" t="n"/>
      <c r="P968" s="204" t="n"/>
      <c r="Q968" s="204" t="n"/>
      <c r="R968" s="204" t="n"/>
    </row>
    <row r="969" ht="12.75" customHeight="1" s="205">
      <c r="A969" s="204" t="n"/>
      <c r="B969" s="204" t="n"/>
      <c r="C969" s="204" t="n"/>
      <c r="D969" s="204" t="n"/>
      <c r="E969" s="204" t="n"/>
      <c r="F969" s="204" t="n"/>
      <c r="G969" s="204" t="n"/>
      <c r="H969" s="204" t="n"/>
      <c r="I969" s="204" t="n"/>
      <c r="J969" s="204" t="n"/>
      <c r="K969" s="204" t="n"/>
      <c r="L969" s="204" t="n"/>
      <c r="M969" s="204" t="n"/>
      <c r="N969" s="204" t="n"/>
      <c r="O969" s="204" t="n"/>
      <c r="P969" s="204" t="n"/>
      <c r="Q969" s="204" t="n"/>
      <c r="R969" s="204" t="n"/>
    </row>
    <row r="970" ht="12.75" customHeight="1" s="205">
      <c r="A970" s="204" t="n"/>
      <c r="B970" s="204" t="n"/>
      <c r="C970" s="204" t="n"/>
      <c r="D970" s="204" t="n"/>
      <c r="E970" s="204" t="n"/>
      <c r="F970" s="204" t="n"/>
      <c r="G970" s="204" t="n"/>
      <c r="H970" s="204" t="n"/>
      <c r="I970" s="204" t="n"/>
      <c r="J970" s="204" t="n"/>
      <c r="K970" s="204" t="n"/>
      <c r="L970" s="204" t="n"/>
      <c r="M970" s="204" t="n"/>
      <c r="N970" s="204" t="n"/>
      <c r="O970" s="204" t="n"/>
      <c r="P970" s="204" t="n"/>
      <c r="Q970" s="204" t="n"/>
      <c r="R970" s="204" t="n"/>
    </row>
    <row r="971" ht="12.75" customHeight="1" s="205">
      <c r="A971" s="204" t="n"/>
      <c r="B971" s="204" t="n"/>
      <c r="C971" s="204" t="n"/>
      <c r="D971" s="204" t="n"/>
      <c r="E971" s="204" t="n"/>
      <c r="F971" s="204" t="n"/>
      <c r="G971" s="204" t="n"/>
      <c r="H971" s="204" t="n"/>
      <c r="I971" s="204" t="n"/>
      <c r="J971" s="204" t="n"/>
      <c r="K971" s="204" t="n"/>
      <c r="L971" s="204" t="n"/>
      <c r="M971" s="204" t="n"/>
      <c r="N971" s="204" t="n"/>
      <c r="O971" s="204" t="n"/>
      <c r="P971" s="204" t="n"/>
      <c r="Q971" s="204" t="n"/>
      <c r="R971" s="204" t="n"/>
    </row>
    <row r="972" ht="12.75" customHeight="1" s="205">
      <c r="A972" s="204" t="n"/>
      <c r="B972" s="204" t="n"/>
      <c r="C972" s="204" t="n"/>
      <c r="D972" s="204" t="n"/>
      <c r="E972" s="204" t="n"/>
      <c r="F972" s="204" t="n"/>
      <c r="G972" s="204" t="n"/>
      <c r="H972" s="204" t="n"/>
      <c r="I972" s="204" t="n"/>
      <c r="J972" s="204" t="n"/>
      <c r="K972" s="204" t="n"/>
      <c r="L972" s="204" t="n"/>
      <c r="M972" s="204" t="n"/>
      <c r="N972" s="204" t="n"/>
      <c r="O972" s="204" t="n"/>
      <c r="P972" s="204" t="n"/>
      <c r="Q972" s="204" t="n"/>
      <c r="R972" s="204" t="n"/>
    </row>
    <row r="973" ht="12.75" customHeight="1" s="205">
      <c r="A973" s="204" t="n"/>
      <c r="B973" s="204" t="n"/>
      <c r="C973" s="204" t="n"/>
      <c r="D973" s="204" t="n"/>
      <c r="E973" s="204" t="n"/>
      <c r="F973" s="204" t="n"/>
      <c r="G973" s="204" t="n"/>
      <c r="H973" s="204" t="n"/>
      <c r="I973" s="204" t="n"/>
      <c r="J973" s="204" t="n"/>
      <c r="K973" s="204" t="n"/>
      <c r="L973" s="204" t="n"/>
      <c r="M973" s="204" t="n"/>
      <c r="N973" s="204" t="n"/>
      <c r="O973" s="204" t="n"/>
      <c r="P973" s="204" t="n"/>
      <c r="Q973" s="204" t="n"/>
      <c r="R973" s="204" t="n"/>
    </row>
    <row r="974" ht="12.75" customHeight="1" s="205">
      <c r="A974" s="204" t="n"/>
      <c r="B974" s="204" t="n"/>
      <c r="C974" s="204" t="n"/>
      <c r="D974" s="204" t="n"/>
      <c r="E974" s="204" t="n"/>
      <c r="F974" s="204" t="n"/>
      <c r="G974" s="204" t="n"/>
      <c r="H974" s="204" t="n"/>
      <c r="I974" s="204" t="n"/>
      <c r="J974" s="204" t="n"/>
      <c r="K974" s="204" t="n"/>
      <c r="L974" s="204" t="n"/>
      <c r="M974" s="204" t="n"/>
      <c r="N974" s="204" t="n"/>
      <c r="O974" s="204" t="n"/>
      <c r="P974" s="204" t="n"/>
      <c r="Q974" s="204" t="n"/>
      <c r="R974" s="204" t="n"/>
    </row>
    <row r="975" ht="12.75" customHeight="1" s="205">
      <c r="A975" s="204" t="n"/>
      <c r="B975" s="204" t="n"/>
      <c r="C975" s="204" t="n"/>
      <c r="D975" s="204" t="n"/>
      <c r="E975" s="204" t="n"/>
      <c r="F975" s="204" t="n"/>
      <c r="G975" s="204" t="n"/>
      <c r="H975" s="204" t="n"/>
      <c r="I975" s="204" t="n"/>
      <c r="J975" s="204" t="n"/>
      <c r="K975" s="204" t="n"/>
      <c r="L975" s="204" t="n"/>
      <c r="M975" s="204" t="n"/>
      <c r="N975" s="204" t="n"/>
      <c r="O975" s="204" t="n"/>
      <c r="P975" s="204" t="n"/>
      <c r="Q975" s="204" t="n"/>
      <c r="R975" s="204" t="n"/>
    </row>
    <row r="976" ht="12.75" customHeight="1" s="205">
      <c r="A976" s="204" t="n"/>
      <c r="B976" s="204" t="n"/>
      <c r="C976" s="204" t="n"/>
      <c r="D976" s="204" t="n"/>
      <c r="E976" s="204" t="n"/>
      <c r="F976" s="204" t="n"/>
      <c r="G976" s="204" t="n"/>
      <c r="H976" s="204" t="n"/>
      <c r="I976" s="204" t="n"/>
      <c r="J976" s="204" t="n"/>
      <c r="K976" s="204" t="n"/>
      <c r="L976" s="204" t="n"/>
      <c r="M976" s="204" t="n"/>
      <c r="N976" s="204" t="n"/>
      <c r="O976" s="204" t="n"/>
      <c r="P976" s="204" t="n"/>
      <c r="Q976" s="204" t="n"/>
      <c r="R976" s="204" t="n"/>
    </row>
    <row r="977" ht="12.75" customHeight="1" s="205">
      <c r="A977" s="204" t="n"/>
      <c r="B977" s="204" t="n"/>
      <c r="C977" s="204" t="n"/>
      <c r="D977" s="204" t="n"/>
      <c r="E977" s="204" t="n"/>
      <c r="F977" s="204" t="n"/>
      <c r="G977" s="204" t="n"/>
      <c r="H977" s="204" t="n"/>
      <c r="I977" s="204" t="n"/>
      <c r="J977" s="204" t="n"/>
      <c r="K977" s="204" t="n"/>
      <c r="L977" s="204" t="n"/>
      <c r="M977" s="204" t="n"/>
      <c r="N977" s="204" t="n"/>
      <c r="O977" s="204" t="n"/>
      <c r="P977" s="204" t="n"/>
      <c r="Q977" s="204" t="n"/>
      <c r="R977" s="204" t="n"/>
    </row>
    <row r="978" ht="12.75" customHeight="1" s="205">
      <c r="A978" s="204" t="n"/>
      <c r="B978" s="204" t="n"/>
      <c r="C978" s="204" t="n"/>
      <c r="D978" s="204" t="n"/>
      <c r="E978" s="204" t="n"/>
      <c r="F978" s="204" t="n"/>
      <c r="G978" s="204" t="n"/>
      <c r="H978" s="204" t="n"/>
      <c r="I978" s="204" t="n"/>
      <c r="J978" s="204" t="n"/>
      <c r="K978" s="204" t="n"/>
      <c r="L978" s="204" t="n"/>
      <c r="M978" s="204" t="n"/>
      <c r="N978" s="204" t="n"/>
      <c r="O978" s="204" t="n"/>
      <c r="P978" s="204" t="n"/>
      <c r="Q978" s="204" t="n"/>
      <c r="R978" s="204" t="n"/>
    </row>
    <row r="979" ht="12.75" customHeight="1" s="205">
      <c r="A979" s="204" t="n"/>
      <c r="B979" s="204" t="n"/>
      <c r="C979" s="204" t="n"/>
      <c r="D979" s="204" t="n"/>
      <c r="E979" s="204" t="n"/>
      <c r="F979" s="204" t="n"/>
      <c r="G979" s="204" t="n"/>
      <c r="H979" s="204" t="n"/>
      <c r="I979" s="204" t="n"/>
      <c r="J979" s="204" t="n"/>
      <c r="K979" s="204" t="n"/>
      <c r="L979" s="204" t="n"/>
      <c r="M979" s="204" t="n"/>
      <c r="N979" s="204" t="n"/>
      <c r="O979" s="204" t="n"/>
      <c r="P979" s="204" t="n"/>
      <c r="Q979" s="204" t="n"/>
      <c r="R979" s="204" t="n"/>
    </row>
    <row r="980" ht="12.75" customHeight="1" s="205">
      <c r="A980" s="204" t="n"/>
      <c r="B980" s="204" t="n"/>
      <c r="C980" s="204" t="n"/>
      <c r="D980" s="204" t="n"/>
      <c r="E980" s="204" t="n"/>
      <c r="F980" s="204" t="n"/>
      <c r="G980" s="204" t="n"/>
      <c r="H980" s="204" t="n"/>
      <c r="I980" s="204" t="n"/>
      <c r="J980" s="204" t="n"/>
      <c r="K980" s="204" t="n"/>
      <c r="L980" s="204" t="n"/>
      <c r="M980" s="204" t="n"/>
      <c r="N980" s="204" t="n"/>
      <c r="O980" s="204" t="n"/>
      <c r="P980" s="204" t="n"/>
      <c r="Q980" s="204" t="n"/>
      <c r="R980" s="204" t="n"/>
    </row>
    <row r="981" ht="12.75" customHeight="1" s="205">
      <c r="A981" s="204" t="n"/>
      <c r="B981" s="204" t="n"/>
      <c r="C981" s="204" t="n"/>
      <c r="D981" s="204" t="n"/>
      <c r="E981" s="204" t="n"/>
      <c r="F981" s="204" t="n"/>
      <c r="G981" s="204" t="n"/>
      <c r="H981" s="204" t="n"/>
      <c r="I981" s="204" t="n"/>
      <c r="J981" s="204" t="n"/>
      <c r="K981" s="204" t="n"/>
      <c r="L981" s="204" t="n"/>
      <c r="M981" s="204" t="n"/>
      <c r="N981" s="204" t="n"/>
      <c r="O981" s="204" t="n"/>
      <c r="P981" s="204" t="n"/>
      <c r="Q981" s="204" t="n"/>
      <c r="R981" s="204" t="n"/>
    </row>
    <row r="982" ht="12.75" customHeight="1" s="205">
      <c r="A982" s="204" t="n"/>
      <c r="B982" s="204" t="n"/>
      <c r="C982" s="204" t="n"/>
      <c r="D982" s="204" t="n"/>
      <c r="E982" s="204" t="n"/>
      <c r="F982" s="204" t="n"/>
      <c r="G982" s="204" t="n"/>
      <c r="H982" s="204" t="n"/>
      <c r="I982" s="204" t="n"/>
      <c r="J982" s="204" t="n"/>
      <c r="K982" s="204" t="n"/>
      <c r="L982" s="204" t="n"/>
      <c r="M982" s="204" t="n"/>
      <c r="N982" s="204" t="n"/>
      <c r="O982" s="204" t="n"/>
      <c r="P982" s="204" t="n"/>
      <c r="Q982" s="204" t="n"/>
      <c r="R982" s="204" t="n"/>
    </row>
    <row r="983" ht="12.75" customHeight="1" s="205">
      <c r="A983" s="204" t="n"/>
      <c r="B983" s="204" t="n"/>
      <c r="C983" s="204" t="n"/>
      <c r="D983" s="204" t="n"/>
      <c r="E983" s="204" t="n"/>
      <c r="F983" s="204" t="n"/>
      <c r="G983" s="204" t="n"/>
      <c r="H983" s="204" t="n"/>
      <c r="I983" s="204" t="n"/>
      <c r="J983" s="204" t="n"/>
      <c r="K983" s="204" t="n"/>
      <c r="L983" s="204" t="n"/>
      <c r="M983" s="204" t="n"/>
      <c r="N983" s="204" t="n"/>
      <c r="O983" s="204" t="n"/>
      <c r="P983" s="204" t="n"/>
      <c r="Q983" s="204" t="n"/>
      <c r="R983" s="204" t="n"/>
    </row>
    <row r="984" ht="12.75" customHeight="1" s="205">
      <c r="A984" s="204" t="n"/>
      <c r="B984" s="204" t="n"/>
      <c r="C984" s="204" t="n"/>
      <c r="D984" s="204" t="n"/>
      <c r="E984" s="204" t="n"/>
      <c r="F984" s="204" t="n"/>
      <c r="G984" s="204" t="n"/>
      <c r="H984" s="204" t="n"/>
      <c r="I984" s="204" t="n"/>
      <c r="J984" s="204" t="n"/>
      <c r="K984" s="204" t="n"/>
      <c r="L984" s="204" t="n"/>
      <c r="M984" s="204" t="n"/>
      <c r="N984" s="204" t="n"/>
      <c r="O984" s="204" t="n"/>
      <c r="P984" s="204" t="n"/>
      <c r="Q984" s="204" t="n"/>
      <c r="R984" s="204" t="n"/>
    </row>
    <row r="985" ht="12.75" customHeight="1" s="205">
      <c r="A985" s="204" t="n"/>
      <c r="B985" s="204" t="n"/>
      <c r="C985" s="204" t="n"/>
      <c r="D985" s="204" t="n"/>
      <c r="E985" s="204" t="n"/>
      <c r="F985" s="204" t="n"/>
      <c r="G985" s="204" t="n"/>
      <c r="H985" s="204" t="n"/>
      <c r="I985" s="204" t="n"/>
      <c r="J985" s="204" t="n"/>
      <c r="K985" s="204" t="n"/>
      <c r="L985" s="204" t="n"/>
      <c r="M985" s="204" t="n"/>
      <c r="N985" s="204" t="n"/>
      <c r="O985" s="204" t="n"/>
      <c r="P985" s="204" t="n"/>
      <c r="Q985" s="204" t="n"/>
      <c r="R985" s="204" t="n"/>
    </row>
    <row r="986" ht="12.75" customHeight="1" s="205">
      <c r="A986" s="204" t="n"/>
      <c r="B986" s="204" t="n"/>
      <c r="C986" s="204" t="n"/>
      <c r="D986" s="204" t="n"/>
      <c r="E986" s="204" t="n"/>
      <c r="F986" s="204" t="n"/>
      <c r="G986" s="204" t="n"/>
      <c r="H986" s="204" t="n"/>
      <c r="I986" s="204" t="n"/>
      <c r="J986" s="204" t="n"/>
      <c r="K986" s="204" t="n"/>
      <c r="L986" s="204" t="n"/>
      <c r="M986" s="204" t="n"/>
      <c r="N986" s="204" t="n"/>
      <c r="O986" s="204" t="n"/>
      <c r="P986" s="204" t="n"/>
      <c r="Q986" s="204" t="n"/>
      <c r="R986" s="204" t="n"/>
    </row>
    <row r="987" ht="12.75" customHeight="1" s="205">
      <c r="A987" s="204" t="n"/>
      <c r="B987" s="204" t="n"/>
      <c r="C987" s="204" t="n"/>
      <c r="D987" s="204" t="n"/>
      <c r="E987" s="204" t="n"/>
      <c r="F987" s="204" t="n"/>
      <c r="G987" s="204" t="n"/>
      <c r="H987" s="204" t="n"/>
      <c r="I987" s="204" t="n"/>
      <c r="J987" s="204" t="n"/>
      <c r="K987" s="204" t="n"/>
      <c r="L987" s="204" t="n"/>
      <c r="M987" s="204" t="n"/>
      <c r="N987" s="204" t="n"/>
      <c r="O987" s="204" t="n"/>
      <c r="P987" s="204" t="n"/>
      <c r="Q987" s="204" t="n"/>
      <c r="R987" s="204" t="n"/>
    </row>
    <row r="988" ht="12.75" customHeight="1" s="205">
      <c r="A988" s="204" t="n"/>
      <c r="B988" s="204" t="n"/>
      <c r="C988" s="204" t="n"/>
      <c r="D988" s="204" t="n"/>
      <c r="E988" s="204" t="n"/>
      <c r="F988" s="204" t="n"/>
      <c r="G988" s="204" t="n"/>
      <c r="H988" s="204" t="n"/>
      <c r="I988" s="204" t="n"/>
      <c r="J988" s="204" t="n"/>
      <c r="K988" s="204" t="n"/>
      <c r="L988" s="204" t="n"/>
      <c r="M988" s="204" t="n"/>
      <c r="N988" s="204" t="n"/>
      <c r="O988" s="204" t="n"/>
      <c r="P988" s="204" t="n"/>
      <c r="Q988" s="204" t="n"/>
      <c r="R988" s="204" t="n"/>
    </row>
    <row r="989" ht="12.75" customHeight="1" s="205">
      <c r="A989" s="204" t="n"/>
      <c r="B989" s="204" t="n"/>
      <c r="C989" s="204" t="n"/>
      <c r="D989" s="204" t="n"/>
      <c r="E989" s="204" t="n"/>
      <c r="F989" s="204" t="n"/>
      <c r="G989" s="204" t="n"/>
      <c r="H989" s="204" t="n"/>
      <c r="I989" s="204" t="n"/>
      <c r="J989" s="204" t="n"/>
      <c r="K989" s="204" t="n"/>
      <c r="L989" s="204" t="n"/>
      <c r="M989" s="204" t="n"/>
      <c r="N989" s="204" t="n"/>
      <c r="O989" s="204" t="n"/>
      <c r="P989" s="204" t="n"/>
      <c r="Q989" s="204" t="n"/>
      <c r="R989" s="204" t="n"/>
    </row>
    <row r="990" ht="12.75" customHeight="1" s="205">
      <c r="A990" s="204" t="n"/>
      <c r="B990" s="204" t="n"/>
      <c r="C990" s="204" t="n"/>
      <c r="D990" s="204" t="n"/>
      <c r="E990" s="204" t="n"/>
      <c r="F990" s="204" t="n"/>
      <c r="G990" s="204" t="n"/>
      <c r="H990" s="204" t="n"/>
      <c r="I990" s="204" t="n"/>
      <c r="J990" s="204" t="n"/>
      <c r="K990" s="204" t="n"/>
      <c r="L990" s="204" t="n"/>
      <c r="M990" s="204" t="n"/>
      <c r="N990" s="204" t="n"/>
      <c r="O990" s="204" t="n"/>
      <c r="P990" s="204" t="n"/>
      <c r="Q990" s="204" t="n"/>
      <c r="R990" s="204" t="n"/>
    </row>
    <row r="991" ht="12.75" customHeight="1" s="205">
      <c r="A991" s="204" t="n"/>
      <c r="B991" s="204" t="n"/>
      <c r="C991" s="204" t="n"/>
      <c r="D991" s="204" t="n"/>
      <c r="E991" s="204" t="n"/>
      <c r="F991" s="204" t="n"/>
      <c r="G991" s="204" t="n"/>
      <c r="H991" s="204" t="n"/>
      <c r="I991" s="204" t="n"/>
      <c r="J991" s="204" t="n"/>
      <c r="K991" s="204" t="n"/>
      <c r="L991" s="204" t="n"/>
      <c r="M991" s="204" t="n"/>
      <c r="N991" s="204" t="n"/>
      <c r="O991" s="204" t="n"/>
      <c r="P991" s="204" t="n"/>
      <c r="Q991" s="204" t="n"/>
      <c r="R991" s="204" t="n"/>
    </row>
    <row r="992" ht="12.75" customHeight="1" s="205">
      <c r="A992" s="204" t="n"/>
      <c r="B992" s="204" t="n"/>
      <c r="C992" s="204" t="n"/>
      <c r="D992" s="204" t="n"/>
      <c r="E992" s="204" t="n"/>
      <c r="F992" s="204" t="n"/>
      <c r="G992" s="204" t="n"/>
      <c r="H992" s="204" t="n"/>
      <c r="I992" s="204" t="n"/>
      <c r="J992" s="204" t="n"/>
      <c r="K992" s="204" t="n"/>
      <c r="L992" s="204" t="n"/>
      <c r="M992" s="204" t="n"/>
      <c r="N992" s="204" t="n"/>
      <c r="O992" s="204" t="n"/>
      <c r="P992" s="204" t="n"/>
      <c r="Q992" s="204" t="n"/>
      <c r="R992" s="204" t="n"/>
    </row>
    <row r="993" ht="12.75" customHeight="1" s="205">
      <c r="A993" s="204" t="n"/>
      <c r="B993" s="204" t="n"/>
      <c r="C993" s="204" t="n"/>
      <c r="D993" s="204" t="n"/>
      <c r="E993" s="204" t="n"/>
      <c r="F993" s="204" t="n"/>
      <c r="G993" s="204" t="n"/>
      <c r="H993" s="204" t="n"/>
      <c r="I993" s="204" t="n"/>
      <c r="J993" s="204" t="n"/>
      <c r="K993" s="204" t="n"/>
      <c r="L993" s="204" t="n"/>
      <c r="M993" s="204" t="n"/>
      <c r="N993" s="204" t="n"/>
      <c r="O993" s="204" t="n"/>
      <c r="P993" s="204" t="n"/>
      <c r="Q993" s="204" t="n"/>
      <c r="R993" s="204" t="n"/>
    </row>
    <row r="994" ht="12.75" customHeight="1" s="205">
      <c r="A994" s="204" t="n"/>
      <c r="B994" s="204" t="n"/>
      <c r="C994" s="204" t="n"/>
      <c r="D994" s="204" t="n"/>
      <c r="E994" s="204" t="n"/>
      <c r="F994" s="204" t="n"/>
      <c r="G994" s="204" t="n"/>
      <c r="H994" s="204" t="n"/>
      <c r="I994" s="204" t="n"/>
      <c r="J994" s="204" t="n"/>
      <c r="K994" s="204" t="n"/>
      <c r="L994" s="204" t="n"/>
      <c r="M994" s="204" t="n"/>
      <c r="N994" s="204" t="n"/>
      <c r="O994" s="204" t="n"/>
      <c r="P994" s="204" t="n"/>
      <c r="Q994" s="204" t="n"/>
      <c r="R994" s="204" t="n"/>
    </row>
    <row r="995" ht="12.75" customHeight="1" s="205">
      <c r="A995" s="204" t="n"/>
      <c r="B995" s="204" t="n"/>
      <c r="C995" s="204" t="n"/>
      <c r="D995" s="204" t="n"/>
      <c r="E995" s="204" t="n"/>
      <c r="F995" s="204" t="n"/>
      <c r="G995" s="204" t="n"/>
      <c r="H995" s="204" t="n"/>
      <c r="I995" s="204" t="n"/>
      <c r="J995" s="204" t="n"/>
      <c r="K995" s="204" t="n"/>
      <c r="L995" s="204" t="n"/>
      <c r="M995" s="204" t="n"/>
      <c r="N995" s="204" t="n"/>
      <c r="O995" s="204" t="n"/>
      <c r="P995" s="204" t="n"/>
      <c r="Q995" s="204" t="n"/>
      <c r="R995" s="204" t="n"/>
    </row>
    <row r="996" ht="12.75" customHeight="1" s="205">
      <c r="A996" s="204" t="n"/>
      <c r="B996" s="204" t="n"/>
      <c r="C996" s="204" t="n"/>
      <c r="D996" s="204" t="n"/>
      <c r="E996" s="204" t="n"/>
      <c r="F996" s="204" t="n"/>
      <c r="G996" s="204" t="n"/>
      <c r="H996" s="204" t="n"/>
      <c r="I996" s="204" t="n"/>
      <c r="J996" s="204" t="n"/>
      <c r="K996" s="204" t="n"/>
      <c r="L996" s="204" t="n"/>
      <c r="M996" s="204" t="n"/>
      <c r="N996" s="204" t="n"/>
      <c r="O996" s="204" t="n"/>
      <c r="P996" s="204" t="n"/>
      <c r="Q996" s="204" t="n"/>
      <c r="R996" s="204" t="n"/>
    </row>
    <row r="997" ht="12.75" customHeight="1" s="205">
      <c r="A997" s="204" t="n"/>
      <c r="B997" s="204" t="n"/>
      <c r="C997" s="204" t="n"/>
      <c r="D997" s="204" t="n"/>
      <c r="E997" s="204" t="n"/>
      <c r="F997" s="204" t="n"/>
      <c r="G997" s="204" t="n"/>
      <c r="H997" s="204" t="n"/>
      <c r="I997" s="204" t="n"/>
      <c r="J997" s="204" t="n"/>
      <c r="K997" s="204" t="n"/>
      <c r="L997" s="204" t="n"/>
      <c r="M997" s="204" t="n"/>
      <c r="N997" s="204" t="n"/>
      <c r="O997" s="204" t="n"/>
      <c r="P997" s="204" t="n"/>
      <c r="Q997" s="204" t="n"/>
      <c r="R997" s="204" t="n"/>
    </row>
    <row r="998" ht="12.75" customHeight="1" s="205">
      <c r="A998" s="204" t="n"/>
      <c r="B998" s="204" t="n"/>
      <c r="C998" s="204" t="n"/>
      <c r="D998" s="204" t="n"/>
      <c r="E998" s="204" t="n"/>
      <c r="F998" s="204" t="n"/>
      <c r="G998" s="204" t="n"/>
      <c r="H998" s="204" t="n"/>
      <c r="I998" s="204" t="n"/>
      <c r="J998" s="204" t="n"/>
      <c r="K998" s="204" t="n"/>
      <c r="L998" s="204" t="n"/>
      <c r="M998" s="204" t="n"/>
      <c r="N998" s="204" t="n"/>
      <c r="O998" s="204" t="n"/>
      <c r="P998" s="204" t="n"/>
      <c r="Q998" s="204" t="n"/>
      <c r="R998" s="204" t="n"/>
    </row>
    <row r="999" ht="12.75" customHeight="1" s="205">
      <c r="A999" s="204" t="n"/>
      <c r="B999" s="204" t="n"/>
      <c r="C999" s="204" t="n"/>
      <c r="D999" s="204" t="n"/>
      <c r="E999" s="204" t="n"/>
      <c r="F999" s="204" t="n"/>
      <c r="G999" s="204" t="n"/>
      <c r="H999" s="204" t="n"/>
      <c r="I999" s="204" t="n"/>
      <c r="J999" s="204" t="n"/>
      <c r="K999" s="204" t="n"/>
      <c r="L999" s="204" t="n"/>
      <c r="M999" s="204" t="n"/>
      <c r="N999" s="204" t="n"/>
      <c r="O999" s="204" t="n"/>
      <c r="P999" s="204" t="n"/>
      <c r="Q999" s="204" t="n"/>
      <c r="R999" s="204" t="n"/>
    </row>
    <row r="1000" ht="12.75" customHeight="1" s="205">
      <c r="A1000" s="204" t="n"/>
      <c r="B1000" s="204" t="n"/>
      <c r="C1000" s="204" t="n"/>
      <c r="D1000" s="204" t="n"/>
      <c r="E1000" s="204" t="n"/>
      <c r="F1000" s="204" t="n"/>
      <c r="G1000" s="204" t="n"/>
      <c r="H1000" s="204" t="n"/>
      <c r="I1000" s="204" t="n"/>
      <c r="J1000" s="204" t="n"/>
      <c r="K1000" s="204" t="n"/>
      <c r="L1000" s="204" t="n"/>
      <c r="M1000" s="204" t="n"/>
      <c r="N1000" s="204" t="n"/>
      <c r="O1000" s="204" t="n"/>
      <c r="P1000" s="204" t="n"/>
      <c r="Q1000" s="204" t="n"/>
      <c r="R1000" s="204" t="n"/>
    </row>
    <row r="1001" ht="12.75" customHeight="1" s="205">
      <c r="A1001" s="204" t="n"/>
      <c r="B1001" s="204" t="n"/>
      <c r="C1001" s="204" t="n"/>
      <c r="D1001" s="204" t="n"/>
      <c r="E1001" s="204" t="n"/>
      <c r="F1001" s="204" t="n"/>
      <c r="G1001" s="204" t="n"/>
      <c r="H1001" s="204" t="n"/>
      <c r="I1001" s="204" t="n"/>
      <c r="J1001" s="204" t="n"/>
      <c r="K1001" s="204" t="n"/>
      <c r="L1001" s="204" t="n"/>
      <c r="M1001" s="204" t="n"/>
      <c r="N1001" s="204" t="n"/>
      <c r="O1001" s="204" t="n"/>
      <c r="P1001" s="204" t="n"/>
      <c r="Q1001" s="204" t="n"/>
      <c r="R1001" s="204" t="n"/>
    </row>
    <row r="1002" ht="12.75" customHeight="1" s="205">
      <c r="A1002" s="204" t="n"/>
      <c r="B1002" s="204" t="n"/>
      <c r="C1002" s="204" t="n"/>
      <c r="D1002" s="204" t="n"/>
      <c r="E1002" s="204" t="n"/>
      <c r="F1002" s="204" t="n"/>
      <c r="G1002" s="204" t="n"/>
      <c r="H1002" s="204" t="n"/>
      <c r="I1002" s="204" t="n"/>
      <c r="J1002" s="204" t="n"/>
      <c r="K1002" s="204" t="n"/>
      <c r="L1002" s="204" t="n"/>
      <c r="M1002" s="204" t="n"/>
      <c r="N1002" s="204" t="n"/>
      <c r="O1002" s="204" t="n"/>
      <c r="P1002" s="204" t="n"/>
      <c r="Q1002" s="204" t="n"/>
      <c r="R1002" s="204" t="n"/>
    </row>
    <row r="1003" ht="12.75" customHeight="1" s="205">
      <c r="A1003" s="204" t="n"/>
      <c r="B1003" s="204" t="n"/>
      <c r="C1003" s="204" t="n"/>
      <c r="D1003" s="204" t="n"/>
      <c r="E1003" s="204" t="n"/>
      <c r="F1003" s="204" t="n"/>
      <c r="G1003" s="204" t="n"/>
      <c r="H1003" s="204" t="n"/>
      <c r="I1003" s="204" t="n"/>
      <c r="J1003" s="204" t="n"/>
      <c r="K1003" s="204" t="n"/>
      <c r="L1003" s="204" t="n"/>
      <c r="M1003" s="204" t="n"/>
      <c r="N1003" s="204" t="n"/>
      <c r="O1003" s="204" t="n"/>
      <c r="P1003" s="204" t="n"/>
      <c r="Q1003" s="204" t="n"/>
      <c r="R1003" s="204" t="n"/>
    </row>
    <row r="1004" ht="12.75" customHeight="1" s="205">
      <c r="A1004" s="204" t="n"/>
      <c r="B1004" s="204" t="n"/>
      <c r="C1004" s="204" t="n"/>
      <c r="D1004" s="204" t="n"/>
      <c r="E1004" s="204" t="n"/>
      <c r="F1004" s="204" t="n"/>
      <c r="G1004" s="204" t="n"/>
      <c r="H1004" s="204" t="n"/>
      <c r="I1004" s="204" t="n"/>
      <c r="J1004" s="204" t="n"/>
      <c r="K1004" s="204" t="n"/>
      <c r="L1004" s="204" t="n"/>
      <c r="M1004" s="204" t="n"/>
      <c r="N1004" s="204" t="n"/>
      <c r="O1004" s="204" t="n"/>
      <c r="P1004" s="204" t="n"/>
      <c r="Q1004" s="204" t="n"/>
      <c r="R1004" s="204" t="n"/>
    </row>
    <row r="1005" ht="12.75" customHeight="1" s="205">
      <c r="A1005" s="204" t="n"/>
      <c r="B1005" s="204" t="n"/>
      <c r="C1005" s="204" t="n"/>
      <c r="D1005" s="204" t="n"/>
      <c r="E1005" s="204" t="n"/>
      <c r="F1005" s="204" t="n"/>
      <c r="G1005" s="204" t="n"/>
      <c r="H1005" s="204" t="n"/>
      <c r="I1005" s="204" t="n"/>
      <c r="J1005" s="204" t="n"/>
      <c r="K1005" s="204" t="n"/>
      <c r="L1005" s="204" t="n"/>
      <c r="M1005" s="204" t="n"/>
      <c r="N1005" s="204" t="n"/>
      <c r="O1005" s="204" t="n"/>
      <c r="P1005" s="204" t="n"/>
      <c r="Q1005" s="204" t="n"/>
      <c r="R1005" s="204" t="n"/>
    </row>
    <row r="1006" ht="12.75" customHeight="1" s="205">
      <c r="A1006" s="204" t="n"/>
      <c r="B1006" s="204" t="n"/>
      <c r="C1006" s="204" t="n"/>
      <c r="D1006" s="204" t="n"/>
      <c r="E1006" s="204" t="n"/>
      <c r="F1006" s="204" t="n"/>
      <c r="G1006" s="204" t="n"/>
      <c r="H1006" s="204" t="n"/>
      <c r="I1006" s="204" t="n"/>
      <c r="J1006" s="204" t="n"/>
      <c r="K1006" s="204" t="n"/>
      <c r="L1006" s="204" t="n"/>
      <c r="M1006" s="204" t="n"/>
      <c r="N1006" s="204" t="n"/>
      <c r="O1006" s="204" t="n"/>
      <c r="P1006" s="204" t="n"/>
      <c r="Q1006" s="204" t="n"/>
      <c r="R1006" s="204" t="n"/>
    </row>
    <row r="1007" ht="12.75" customHeight="1" s="205">
      <c r="A1007" s="204" t="n"/>
      <c r="B1007" s="204" t="n"/>
      <c r="C1007" s="204" t="n"/>
      <c r="D1007" s="204" t="n"/>
      <c r="E1007" s="204" t="n"/>
      <c r="F1007" s="204" t="n"/>
      <c r="G1007" s="204" t="n"/>
      <c r="H1007" s="204" t="n"/>
      <c r="I1007" s="204" t="n"/>
      <c r="J1007" s="204" t="n"/>
      <c r="K1007" s="204" t="n"/>
      <c r="L1007" s="204" t="n"/>
      <c r="M1007" s="204" t="n"/>
      <c r="N1007" s="204" t="n"/>
      <c r="O1007" s="204" t="n"/>
      <c r="P1007" s="204" t="n"/>
      <c r="Q1007" s="204" t="n"/>
      <c r="R1007" s="204" t="n"/>
    </row>
    <row r="1008" ht="12.75" customHeight="1" s="205">
      <c r="A1008" s="204" t="n"/>
      <c r="B1008" s="204" t="n"/>
      <c r="C1008" s="204" t="n"/>
      <c r="D1008" s="204" t="n"/>
      <c r="E1008" s="204" t="n"/>
      <c r="F1008" s="204" t="n"/>
      <c r="G1008" s="204" t="n"/>
      <c r="H1008" s="204" t="n"/>
      <c r="I1008" s="204" t="n"/>
      <c r="J1008" s="204" t="n"/>
      <c r="K1008" s="204" t="n"/>
      <c r="L1008" s="204" t="n"/>
      <c r="M1008" s="204" t="n"/>
      <c r="N1008" s="204" t="n"/>
      <c r="O1008" s="204" t="n"/>
      <c r="P1008" s="204" t="n"/>
      <c r="Q1008" s="204" t="n"/>
      <c r="R1008" s="204" t="n"/>
    </row>
    <row r="1009" ht="12.75" customHeight="1" s="205">
      <c r="A1009" s="204" t="n"/>
      <c r="B1009" s="204" t="n"/>
      <c r="C1009" s="204" t="n"/>
      <c r="D1009" s="204" t="n"/>
      <c r="E1009" s="204" t="n"/>
      <c r="F1009" s="204" t="n"/>
      <c r="G1009" s="204" t="n"/>
      <c r="H1009" s="204" t="n"/>
      <c r="I1009" s="204" t="n"/>
      <c r="J1009" s="204" t="n"/>
      <c r="K1009" s="204" t="n"/>
      <c r="L1009" s="204" t="n"/>
      <c r="M1009" s="204" t="n"/>
      <c r="N1009" s="204" t="n"/>
      <c r="O1009" s="204" t="n"/>
      <c r="P1009" s="204" t="n"/>
      <c r="Q1009" s="204" t="n"/>
      <c r="R1009" s="204" t="n"/>
    </row>
    <row r="1010" ht="12.75" customHeight="1" s="205">
      <c r="A1010" s="204" t="n"/>
      <c r="B1010" s="204" t="n"/>
      <c r="C1010" s="204" t="n"/>
      <c r="D1010" s="204" t="n"/>
      <c r="E1010" s="204" t="n"/>
      <c r="F1010" s="204" t="n"/>
      <c r="G1010" s="204" t="n"/>
      <c r="H1010" s="204" t="n"/>
      <c r="I1010" s="204" t="n"/>
      <c r="J1010" s="204" t="n"/>
      <c r="K1010" s="204" t="n"/>
      <c r="L1010" s="204" t="n"/>
      <c r="M1010" s="204" t="n"/>
      <c r="N1010" s="204" t="n"/>
      <c r="O1010" s="204" t="n"/>
      <c r="P1010" s="204" t="n"/>
      <c r="Q1010" s="204" t="n"/>
      <c r="R1010" s="204" t="n"/>
    </row>
    <row r="1011" ht="12.75" customHeight="1" s="205">
      <c r="A1011" s="204" t="n"/>
      <c r="B1011" s="204" t="n"/>
      <c r="C1011" s="204" t="n"/>
      <c r="D1011" s="204" t="n"/>
      <c r="E1011" s="204" t="n"/>
      <c r="F1011" s="204" t="n"/>
      <c r="G1011" s="204" t="n"/>
      <c r="H1011" s="204" t="n"/>
      <c r="I1011" s="204" t="n"/>
      <c r="J1011" s="204" t="n"/>
      <c r="K1011" s="204" t="n"/>
      <c r="L1011" s="204" t="n"/>
      <c r="M1011" s="204" t="n"/>
      <c r="N1011" s="204" t="n"/>
      <c r="O1011" s="204" t="n"/>
      <c r="P1011" s="204" t="n"/>
      <c r="Q1011" s="204" t="n"/>
      <c r="R1011" s="204" t="n"/>
    </row>
    <row r="1012" ht="12.75" customHeight="1" s="205">
      <c r="A1012" s="204" t="n"/>
      <c r="B1012" s="204" t="n"/>
      <c r="C1012" s="204" t="n"/>
      <c r="D1012" s="204" t="n"/>
      <c r="E1012" s="204" t="n"/>
      <c r="F1012" s="204" t="n"/>
      <c r="G1012" s="204" t="n"/>
      <c r="H1012" s="204" t="n"/>
      <c r="I1012" s="204" t="n"/>
      <c r="J1012" s="204" t="n"/>
      <c r="K1012" s="204" t="n"/>
      <c r="L1012" s="204" t="n"/>
      <c r="M1012" s="204" t="n"/>
      <c r="N1012" s="204" t="n"/>
      <c r="O1012" s="204" t="n"/>
      <c r="P1012" s="204" t="n"/>
      <c r="Q1012" s="204" t="n"/>
      <c r="R1012" s="204" t="n"/>
    </row>
    <row r="1013" ht="12.75" customHeight="1" s="205">
      <c r="A1013" s="204" t="n"/>
      <c r="B1013" s="204" t="n"/>
      <c r="C1013" s="204" t="n"/>
      <c r="D1013" s="204" t="n"/>
      <c r="E1013" s="204" t="n"/>
      <c r="F1013" s="204" t="n"/>
      <c r="G1013" s="204" t="n"/>
      <c r="H1013" s="204" t="n"/>
      <c r="I1013" s="204" t="n"/>
      <c r="J1013" s="204" t="n"/>
      <c r="K1013" s="204" t="n"/>
      <c r="L1013" s="204" t="n"/>
      <c r="M1013" s="204" t="n"/>
      <c r="N1013" s="204" t="n"/>
      <c r="O1013" s="204" t="n"/>
      <c r="P1013" s="204" t="n"/>
      <c r="Q1013" s="204" t="n"/>
      <c r="R1013" s="204" t="n"/>
    </row>
    <row r="1014" ht="12.75" customHeight="1" s="205">
      <c r="A1014" s="204" t="n"/>
      <c r="B1014" s="204" t="n"/>
      <c r="C1014" s="204" t="n"/>
      <c r="D1014" s="204" t="n"/>
      <c r="E1014" s="204" t="n"/>
      <c r="F1014" s="204" t="n"/>
      <c r="G1014" s="204" t="n"/>
      <c r="H1014" s="204" t="n"/>
      <c r="I1014" s="204" t="n"/>
      <c r="J1014" s="204" t="n"/>
      <c r="K1014" s="204" t="n"/>
      <c r="L1014" s="204" t="n"/>
      <c r="M1014" s="204" t="n"/>
      <c r="N1014" s="204" t="n"/>
      <c r="O1014" s="204" t="n"/>
      <c r="P1014" s="204" t="n"/>
      <c r="Q1014" s="204" t="n"/>
      <c r="R1014" s="204" t="n"/>
    </row>
    <row r="1015" ht="12.75" customHeight="1" s="205">
      <c r="A1015" s="204" t="n"/>
      <c r="B1015" s="204" t="n"/>
      <c r="C1015" s="204" t="n"/>
      <c r="D1015" s="204" t="n"/>
      <c r="E1015" s="204" t="n"/>
      <c r="F1015" s="204" t="n"/>
      <c r="G1015" s="204" t="n"/>
      <c r="H1015" s="204" t="n"/>
      <c r="I1015" s="204" t="n"/>
      <c r="J1015" s="204" t="n"/>
      <c r="K1015" s="204" t="n"/>
      <c r="L1015" s="204" t="n"/>
      <c r="M1015" s="204" t="n"/>
      <c r="N1015" s="204" t="n"/>
      <c r="O1015" s="204" t="n"/>
      <c r="P1015" s="204" t="n"/>
      <c r="Q1015" s="204" t="n"/>
      <c r="R1015" s="204" t="n"/>
    </row>
    <row r="1016" ht="12.75" customHeight="1" s="205">
      <c r="A1016" s="204" t="n"/>
      <c r="B1016" s="204" t="n"/>
      <c r="C1016" s="204" t="n"/>
      <c r="D1016" s="204" t="n"/>
      <c r="E1016" s="204" t="n"/>
      <c r="F1016" s="204" t="n"/>
      <c r="G1016" s="204" t="n"/>
      <c r="H1016" s="204" t="n"/>
      <c r="I1016" s="204" t="n"/>
      <c r="J1016" s="204" t="n"/>
      <c r="K1016" s="204" t="n"/>
      <c r="L1016" s="204" t="n"/>
      <c r="M1016" s="204" t="n"/>
      <c r="N1016" s="204" t="n"/>
      <c r="O1016" s="204" t="n"/>
      <c r="P1016" s="204" t="n"/>
      <c r="Q1016" s="204" t="n"/>
      <c r="R1016" s="204" t="n"/>
    </row>
    <row r="1017" ht="12.75" customHeight="1" s="205">
      <c r="A1017" s="204" t="n"/>
      <c r="B1017" s="204" t="n"/>
      <c r="C1017" s="204" t="n"/>
      <c r="D1017" s="204" t="n"/>
      <c r="E1017" s="204" t="n"/>
      <c r="F1017" s="204" t="n"/>
      <c r="G1017" s="204" t="n"/>
      <c r="H1017" s="204" t="n"/>
      <c r="I1017" s="204" t="n"/>
      <c r="J1017" s="204" t="n"/>
      <c r="K1017" s="204" t="n"/>
      <c r="L1017" s="204" t="n"/>
      <c r="M1017" s="204" t="n"/>
      <c r="N1017" s="204" t="n"/>
      <c r="O1017" s="204" t="n"/>
      <c r="P1017" s="204" t="n"/>
      <c r="Q1017" s="204" t="n"/>
      <c r="R1017" s="204" t="n"/>
    </row>
    <row r="1018" ht="12.75" customHeight="1" s="205">
      <c r="A1018" s="204" t="n"/>
      <c r="B1018" s="204" t="n"/>
      <c r="C1018" s="204" t="n"/>
      <c r="D1018" s="204" t="n"/>
      <c r="E1018" s="204" t="n"/>
      <c r="F1018" s="204" t="n"/>
      <c r="G1018" s="204" t="n"/>
      <c r="H1018" s="204" t="n"/>
      <c r="I1018" s="204" t="n"/>
      <c r="J1018" s="204" t="n"/>
      <c r="K1018" s="204" t="n"/>
      <c r="L1018" s="204" t="n"/>
      <c r="M1018" s="204" t="n"/>
      <c r="N1018" s="204" t="n"/>
      <c r="O1018" s="204" t="n"/>
      <c r="P1018" s="204" t="n"/>
      <c r="Q1018" s="204" t="n"/>
      <c r="R1018" s="204" t="n"/>
    </row>
    <row r="1019" ht="12.75" customHeight="1" s="205">
      <c r="A1019" s="204" t="n"/>
      <c r="B1019" s="204" t="n"/>
      <c r="C1019" s="204" t="n"/>
      <c r="D1019" s="204" t="n"/>
      <c r="E1019" s="204" t="n"/>
      <c r="F1019" s="204" t="n"/>
      <c r="G1019" s="204" t="n"/>
      <c r="H1019" s="204" t="n"/>
      <c r="I1019" s="204" t="n"/>
      <c r="J1019" s="204" t="n"/>
      <c r="K1019" s="204" t="n"/>
      <c r="L1019" s="204" t="n"/>
      <c r="M1019" s="204" t="n"/>
      <c r="N1019" s="204" t="n"/>
      <c r="O1019" s="204" t="n"/>
      <c r="P1019" s="204" t="n"/>
      <c r="Q1019" s="204" t="n"/>
      <c r="R1019" s="204" t="n"/>
    </row>
    <row r="1020" ht="12.75" customHeight="1" s="205">
      <c r="A1020" s="204" t="n"/>
      <c r="B1020" s="204" t="n"/>
      <c r="C1020" s="204" t="n"/>
      <c r="D1020" s="204" t="n"/>
      <c r="E1020" s="204" t="n"/>
      <c r="F1020" s="204" t="n"/>
      <c r="G1020" s="204" t="n"/>
      <c r="H1020" s="204" t="n"/>
      <c r="I1020" s="204" t="n"/>
      <c r="J1020" s="204" t="n"/>
      <c r="K1020" s="204" t="n"/>
      <c r="L1020" s="204" t="n"/>
      <c r="M1020" s="204" t="n"/>
      <c r="N1020" s="204" t="n"/>
      <c r="O1020" s="204" t="n"/>
      <c r="P1020" s="204" t="n"/>
      <c r="Q1020" s="204" t="n"/>
      <c r="R1020" s="204" t="n"/>
    </row>
    <row r="1021" ht="12.75" customHeight="1" s="205">
      <c r="A1021" s="204" t="n"/>
      <c r="B1021" s="204" t="n"/>
      <c r="C1021" s="204" t="n"/>
      <c r="D1021" s="204" t="n"/>
      <c r="E1021" s="204" t="n"/>
      <c r="F1021" s="204" t="n"/>
      <c r="G1021" s="204" t="n"/>
      <c r="H1021" s="204" t="n"/>
      <c r="I1021" s="204" t="n"/>
      <c r="J1021" s="204" t="n"/>
      <c r="K1021" s="204" t="n"/>
      <c r="L1021" s="204" t="n"/>
      <c r="M1021" s="204" t="n"/>
      <c r="N1021" s="204" t="n"/>
      <c r="O1021" s="204" t="n"/>
      <c r="P1021" s="204" t="n"/>
      <c r="Q1021" s="204" t="n"/>
      <c r="R1021" s="204" t="n"/>
    </row>
    <row r="1022" ht="12.75" customHeight="1" s="205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5" min="1" max="1"/>
    <col width="12" customWidth="1" style="205" min="2" max="2"/>
    <col width="8" customWidth="1" style="205" min="3" max="3"/>
    <col width="12" customWidth="1" style="205" min="4" max="4"/>
    <col width="36" customWidth="1" style="205" min="5" max="5"/>
    <col width="10" customWidth="1" style="205" min="6" max="6"/>
    <col width="14" customWidth="1" style="205" min="7" max="7"/>
    <col width="10" customWidth="1" style="205" min="8" max="8"/>
    <col width="10" customWidth="1" style="205" min="9" max="9"/>
    <col width="8" customWidth="1" style="205" min="12" max="12"/>
    <col width="12" customWidth="1" style="205" min="13" max="13"/>
    <col width="14" customWidth="1" style="205" min="14" max="14"/>
  </cols>
  <sheetData>
    <row r="1">
      <c r="A1" s="274" t="inlineStr">
        <is>
          <t>금액순 · 포트폴리오 비중 100% (계좌현황 자동연동)</t>
        </is>
      </c>
    </row>
    <row r="2">
      <c r="A2" s="27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6">
        <f>SUM('계좌현황'!K9:K84)</f>
        <v/>
      </c>
      <c r="C3" t="inlineStr">
        <is>
          <t>종목수</t>
        </is>
      </c>
      <c r="D3" s="277">
        <f>COUNTA('계좌현황'!E9:E84)</f>
        <v/>
      </c>
    </row>
    <row r="5">
      <c r="A5" s="274" t="inlineStr">
        <is>
          <t>① 계좌별 합계 (왼쪽 자동집계)</t>
        </is>
      </c>
    </row>
    <row r="6">
      <c r="A6" s="278" t="inlineStr">
        <is>
          <t>계좌</t>
        </is>
      </c>
      <c r="B6" s="278" t="inlineStr">
        <is>
          <t>평가액</t>
        </is>
      </c>
      <c r="C6" s="278" t="inlineStr">
        <is>
          <t>비중</t>
        </is>
      </c>
      <c r="D6" s="278" t="inlineStr">
        <is>
          <t>종목수</t>
        </is>
      </c>
    </row>
    <row r="7">
      <c r="A7" s="279" t="inlineStr">
        <is>
          <t>DC</t>
        </is>
      </c>
      <c r="B7" s="280">
        <f>SUMIF('계좌현황'!A:A,A7,'계좌현황'!K:K)</f>
        <v/>
      </c>
      <c r="C7" s="281">
        <f>IF($B$3=0,0,B7/$B$3)</f>
        <v/>
      </c>
      <c r="D7" s="279">
        <f>COUNTIF('계좌현황'!A9:A84,A7)</f>
        <v/>
      </c>
    </row>
    <row r="8">
      <c r="A8" s="282" t="inlineStr">
        <is>
          <t>개인연금1</t>
        </is>
      </c>
      <c r="B8" s="283">
        <f>SUMIF('계좌현황'!A:A,A8,'계좌현황'!K:K)</f>
        <v/>
      </c>
      <c r="C8" s="284">
        <f>IF($B$3=0,0,B8/$B$3)</f>
        <v/>
      </c>
      <c r="D8" s="282">
        <f>COUNTIF('계좌현황'!A9:A84,A8)</f>
        <v/>
      </c>
    </row>
    <row r="9">
      <c r="A9" s="285" t="inlineStr">
        <is>
          <t>개인연금2</t>
        </is>
      </c>
      <c r="B9" s="286">
        <f>SUMIF('계좌현황'!A:A,A9,'계좌현황'!K:K)</f>
        <v/>
      </c>
      <c r="C9" s="287">
        <f>IF($B$3=0,0,B9/$B$3)</f>
        <v/>
      </c>
      <c r="D9" s="285">
        <f>COUNTIF('계좌현황'!A9:A84,A9)</f>
        <v/>
      </c>
    </row>
    <row r="10">
      <c r="A10" s="288" t="inlineStr">
        <is>
          <t>ISA</t>
        </is>
      </c>
      <c r="B10" s="289">
        <f>SUMIF('계좌현황'!A:A,A10,'계좌현황'!K:K)</f>
        <v/>
      </c>
      <c r="C10" s="290">
        <f>IF($B$3=0,0,B10/$B$3)</f>
        <v/>
      </c>
      <c r="D10" s="288">
        <f>COUNTIF('계좌현황'!A9:A84,A10)</f>
        <v/>
      </c>
    </row>
    <row r="11">
      <c r="A11" s="291" t="inlineStr">
        <is>
          <t>일반계좌</t>
        </is>
      </c>
      <c r="B11" s="292">
        <f>SUMIF('계좌현황'!A:A,A11,'계좌현황'!K:K)</f>
        <v/>
      </c>
      <c r="C11" s="293">
        <f>IF($B$3=0,0,B11/$B$3)</f>
        <v/>
      </c>
      <c r="D11" s="291">
        <f>COUNTIF('계좌현황'!A9:A84,A11)</f>
        <v/>
      </c>
    </row>
    <row r="12">
      <c r="A12" s="294" t="inlineStr">
        <is>
          <t>CMA</t>
        </is>
      </c>
      <c r="B12" s="295">
        <f>SUMIF('계좌현황'!A:A,A12,'계좌현황'!K:K)</f>
        <v/>
      </c>
      <c r="C12" s="296">
        <f>IF($B$3=0,0,B12/$B$3)</f>
        <v/>
      </c>
      <c r="D12" s="294">
        <f>COUNTIF('계좌현황'!A9:A84,A12)</f>
        <v/>
      </c>
    </row>
    <row r="13">
      <c r="A13" s="297" t="inlineStr">
        <is>
          <t>IRP</t>
        </is>
      </c>
      <c r="B13" s="298">
        <f>SUMIF('계좌현황'!A:A,A13,'계좌현황'!K:K)</f>
        <v/>
      </c>
      <c r="C13" s="299">
        <f>IF($B$3=0,0,B13/$B$3)</f>
        <v/>
      </c>
      <c r="D13" s="297">
        <f>COUNTIF('계좌현황'!A9:A84,A13)</f>
        <v/>
      </c>
    </row>
    <row r="14">
      <c r="A14" s="300" t="inlineStr">
        <is>
          <t>은행예금</t>
        </is>
      </c>
      <c r="B14" s="301">
        <f>SUMIF('계좌현황'!A:A,A14,'계좌현황'!K:K)</f>
        <v/>
      </c>
      <c r="C14" s="302">
        <f>IF($B$3=0,0,B14/$B$3)</f>
        <v/>
      </c>
      <c r="D14" s="300">
        <f>COUNTIF('계좌현황'!A9:A84,A14)</f>
        <v/>
      </c>
    </row>
    <row r="15">
      <c r="A15" s="303" t="inlineStr">
        <is>
          <t>TOSS</t>
        </is>
      </c>
      <c r="B15" s="304">
        <f>SUMIF('계좌현황'!A:A,A15,'계좌현황'!K:K)</f>
        <v/>
      </c>
      <c r="C15" s="305">
        <f>IF($B$3=0,0,B15/$B$3)</f>
        <v/>
      </c>
      <c r="D15" s="303">
        <f>COUNTIF('계좌현황'!A9:A84,A15)</f>
        <v/>
      </c>
    </row>
    <row r="18">
      <c r="A18" s="274" t="inlineStr">
        <is>
          <t>② 전체 종목 금액 내림차순 100% (왼쪽 K열 기준 자동정렬)</t>
        </is>
      </c>
      <c r="L18" s="306" t="inlineStr">
        <is>
          <t>← 자동계산용(원본행/미러)</t>
        </is>
      </c>
    </row>
    <row r="19" ht="28" customHeight="1" s="205">
      <c r="A19" s="307" t="inlineStr">
        <is>
          <t>순위</t>
        </is>
      </c>
      <c r="B19" s="307" t="inlineStr">
        <is>
          <t>계좌</t>
        </is>
      </c>
      <c r="C19" s="307" t="inlineStr">
        <is>
          <t>국가</t>
        </is>
      </c>
      <c r="D19" s="307" t="inlineStr">
        <is>
          <t>종목코드</t>
        </is>
      </c>
      <c r="E19" s="307" t="inlineStr">
        <is>
          <t>종목명</t>
        </is>
      </c>
      <c r="F19" s="307" t="inlineStr">
        <is>
          <t>수량</t>
        </is>
      </c>
      <c r="G19" s="307" t="inlineStr">
        <is>
          <t>평가액</t>
        </is>
      </c>
      <c r="H19" s="307" t="inlineStr">
        <is>
          <t>비중</t>
        </is>
      </c>
      <c r="I19" s="307" t="inlineStr">
        <is>
          <t>누적비중</t>
        </is>
      </c>
      <c r="L19" s="308" t="inlineStr">
        <is>
          <t>원본행</t>
        </is>
      </c>
      <c r="M19" s="308" t="inlineStr">
        <is>
          <t>평가액미러</t>
        </is>
      </c>
      <c r="N19" s="308" t="inlineStr">
        <is>
          <t>정렬키</t>
        </is>
      </c>
    </row>
    <row r="20">
      <c r="A20" s="279" t="n">
        <v>1</v>
      </c>
      <c r="B20" s="279">
        <f>IFERROR(INDEX('계좌현황'!A:A,INDEX($L$20:$L$95,MATCH(LARGE($N$20:$N$95,1),$N$20:$N$95,0))),"")</f>
        <v/>
      </c>
      <c r="C20" s="279">
        <f>IFERROR(INDEX('계좌현황'!C:C,INDEX($L$20:$L$95,MATCH(LARGE($N$20:$N$95,1),$N$20:$N$95,0))),"")</f>
        <v/>
      </c>
      <c r="D20" s="279">
        <f>IFERROR(INDEX('계좌현황'!D:D,INDEX($L$20:$L$95,MATCH(LARGE($N$20:$N$95,1),$N$20:$N$95,0))),"")</f>
        <v/>
      </c>
      <c r="E20" s="279">
        <f>IFERROR(INDEX('계좌현황'!E:E,INDEX($L$20:$L$95,MATCH(LARGE($N$20:$N$95,1),$N$20:$N$95,0))),"")</f>
        <v/>
      </c>
      <c r="F20" s="309">
        <f>IFERROR(INDEX('계좌현황'!F:F,INDEX($L$20:$L$95,MATCH(LARGE($N$20:$N$95,1),$N$20:$N$95,0))),"")</f>
        <v/>
      </c>
      <c r="G20" s="310">
        <f>IFERROR(INDEX('계좌현황'!K:K,INDEX($L$20:$L$95,MATCH(LARGE($N$20:$N$95,1),$N$20:$N$95,0))),0)</f>
        <v/>
      </c>
      <c r="H20" s="311">
        <f>IF($B$3=0,0,G20/$B$3)</f>
        <v/>
      </c>
      <c r="I20" s="311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82" t="n">
        <v>2</v>
      </c>
      <c r="B21" s="282">
        <f>IFERROR(INDEX('계좌현황'!A:A,INDEX($L$20:$L$95,MATCH(LARGE($N$20:$N$95,2),$N$20:$N$95,0))),"")</f>
        <v/>
      </c>
      <c r="C21" s="282">
        <f>IFERROR(INDEX('계좌현황'!C:C,INDEX($L$20:$L$95,MATCH(LARGE($N$20:$N$95,2),$N$20:$N$95,0))),"")</f>
        <v/>
      </c>
      <c r="D21" s="282">
        <f>IFERROR(INDEX('계좌현황'!D:D,INDEX($L$20:$L$95,MATCH(LARGE($N$20:$N$95,2),$N$20:$N$95,0))),"")</f>
        <v/>
      </c>
      <c r="E21" s="282">
        <f>IFERROR(INDEX('계좌현황'!E:E,INDEX($L$20:$L$95,MATCH(LARGE($N$20:$N$95,2),$N$20:$N$95,0))),"")</f>
        <v/>
      </c>
      <c r="F21" s="312">
        <f>IFERROR(INDEX('계좌현황'!F:F,INDEX($L$20:$L$95,MATCH(LARGE($N$20:$N$95,2),$N$20:$N$95,0))),"")</f>
        <v/>
      </c>
      <c r="G21" s="313">
        <f>IFERROR(INDEX('계좌현황'!K:K,INDEX($L$20:$L$95,MATCH(LARGE($N$20:$N$95,2),$N$20:$N$95,0))),0)</f>
        <v/>
      </c>
      <c r="H21" s="314">
        <f>IF($B$3=0,0,G21/$B$3)</f>
        <v/>
      </c>
      <c r="I21" s="314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82" t="n">
        <v>3</v>
      </c>
      <c r="B22" s="282">
        <f>IFERROR(INDEX('계좌현황'!A:A,INDEX($L$20:$L$95,MATCH(LARGE($N$20:$N$95,3),$N$20:$N$95,0))),"")</f>
        <v/>
      </c>
      <c r="C22" s="282">
        <f>IFERROR(INDEX('계좌현황'!C:C,INDEX($L$20:$L$95,MATCH(LARGE($N$20:$N$95,3),$N$20:$N$95,0))),"")</f>
        <v/>
      </c>
      <c r="D22" s="282">
        <f>IFERROR(INDEX('계좌현황'!D:D,INDEX($L$20:$L$95,MATCH(LARGE($N$20:$N$95,3),$N$20:$N$95,0))),"")</f>
        <v/>
      </c>
      <c r="E22" s="282">
        <f>IFERROR(INDEX('계좌현황'!E:E,INDEX($L$20:$L$95,MATCH(LARGE($N$20:$N$95,3),$N$20:$N$95,0))),"")</f>
        <v/>
      </c>
      <c r="F22" s="312">
        <f>IFERROR(INDEX('계좌현황'!F:F,INDEX($L$20:$L$95,MATCH(LARGE($N$20:$N$95,3),$N$20:$N$95,0))),"")</f>
        <v/>
      </c>
      <c r="G22" s="313">
        <f>IFERROR(INDEX('계좌현황'!K:K,INDEX($L$20:$L$95,MATCH(LARGE($N$20:$N$95,3),$N$20:$N$95,0))),0)</f>
        <v/>
      </c>
      <c r="H22" s="314">
        <f>IF($B$3=0,0,G22/$B$3)</f>
        <v/>
      </c>
      <c r="I22" s="314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9" t="n">
        <v>4</v>
      </c>
      <c r="B23" s="279">
        <f>IFERROR(INDEX('계좌현황'!A:A,INDEX($L$20:$L$95,MATCH(LARGE($N$20:$N$95,4),$N$20:$N$95,0))),"")</f>
        <v/>
      </c>
      <c r="C23" s="279">
        <f>IFERROR(INDEX('계좌현황'!C:C,INDEX($L$20:$L$95,MATCH(LARGE($N$20:$N$95,4),$N$20:$N$95,0))),"")</f>
        <v/>
      </c>
      <c r="D23" s="279">
        <f>IFERROR(INDEX('계좌현황'!D:D,INDEX($L$20:$L$95,MATCH(LARGE($N$20:$N$95,4),$N$20:$N$95,0))),"")</f>
        <v/>
      </c>
      <c r="E23" s="279">
        <f>IFERROR(INDEX('계좌현황'!E:E,INDEX($L$20:$L$95,MATCH(LARGE($N$20:$N$95,4),$N$20:$N$95,0))),"")</f>
        <v/>
      </c>
      <c r="F23" s="309">
        <f>IFERROR(INDEX('계좌현황'!F:F,INDEX($L$20:$L$95,MATCH(LARGE($N$20:$N$95,4),$N$20:$N$95,0))),"")</f>
        <v/>
      </c>
      <c r="G23" s="310">
        <f>IFERROR(INDEX('계좌현황'!K:K,INDEX($L$20:$L$95,MATCH(LARGE($N$20:$N$95,4),$N$20:$N$95,0))),0)</f>
        <v/>
      </c>
      <c r="H23" s="311">
        <f>IF($B$3=0,0,G23/$B$3)</f>
        <v/>
      </c>
      <c r="I23" s="311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9" t="n">
        <v>5</v>
      </c>
      <c r="B24" s="279">
        <f>IFERROR(INDEX('계좌현황'!A:A,INDEX($L$20:$L$95,MATCH(LARGE($N$20:$N$95,5),$N$20:$N$95,0))),"")</f>
        <v/>
      </c>
      <c r="C24" s="279">
        <f>IFERROR(INDEX('계좌현황'!C:C,INDEX($L$20:$L$95,MATCH(LARGE($N$20:$N$95,5),$N$20:$N$95,0))),"")</f>
        <v/>
      </c>
      <c r="D24" s="279">
        <f>IFERROR(INDEX('계좌현황'!D:D,INDEX($L$20:$L$95,MATCH(LARGE($N$20:$N$95,5),$N$20:$N$95,0))),"")</f>
        <v/>
      </c>
      <c r="E24" s="279">
        <f>IFERROR(INDEX('계좌현황'!E:E,INDEX($L$20:$L$95,MATCH(LARGE($N$20:$N$95,5),$N$20:$N$95,0))),"")</f>
        <v/>
      </c>
      <c r="F24" s="309">
        <f>IFERROR(INDEX('계좌현황'!F:F,INDEX($L$20:$L$95,MATCH(LARGE($N$20:$N$95,5),$N$20:$N$95,0))),"")</f>
        <v/>
      </c>
      <c r="G24" s="310">
        <f>IFERROR(INDEX('계좌현황'!K:K,INDEX($L$20:$L$95,MATCH(LARGE($N$20:$N$95,5),$N$20:$N$95,0))),0)</f>
        <v/>
      </c>
      <c r="H24" s="311">
        <f>IF($B$3=0,0,G24/$B$3)</f>
        <v/>
      </c>
      <c r="I24" s="311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9" t="n">
        <v>6</v>
      </c>
      <c r="B25" s="279">
        <f>IFERROR(INDEX('계좌현황'!A:A,INDEX($L$20:$L$95,MATCH(LARGE($N$20:$N$95,6),$N$20:$N$95,0))),"")</f>
        <v/>
      </c>
      <c r="C25" s="279">
        <f>IFERROR(INDEX('계좌현황'!C:C,INDEX($L$20:$L$95,MATCH(LARGE($N$20:$N$95,6),$N$20:$N$95,0))),"")</f>
        <v/>
      </c>
      <c r="D25" s="279">
        <f>IFERROR(INDEX('계좌현황'!D:D,INDEX($L$20:$L$95,MATCH(LARGE($N$20:$N$95,6),$N$20:$N$95,0))),"")</f>
        <v/>
      </c>
      <c r="E25" s="279">
        <f>IFERROR(INDEX('계좌현황'!E:E,INDEX($L$20:$L$95,MATCH(LARGE($N$20:$N$95,6),$N$20:$N$95,0))),"")</f>
        <v/>
      </c>
      <c r="F25" s="309">
        <f>IFERROR(INDEX('계좌현황'!F:F,INDEX($L$20:$L$95,MATCH(LARGE($N$20:$N$95,6),$N$20:$N$95,0))),"")</f>
        <v/>
      </c>
      <c r="G25" s="310">
        <f>IFERROR(INDEX('계좌현황'!K:K,INDEX($L$20:$L$95,MATCH(LARGE($N$20:$N$95,6),$N$20:$N$95,0))),0)</f>
        <v/>
      </c>
      <c r="H25" s="311">
        <f>IF($B$3=0,0,G25/$B$3)</f>
        <v/>
      </c>
      <c r="I25" s="311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9" t="n">
        <v>7</v>
      </c>
      <c r="B26" s="279">
        <f>IFERROR(INDEX('계좌현황'!A:A,INDEX($L$20:$L$95,MATCH(LARGE($N$20:$N$95,7),$N$20:$N$95,0))),"")</f>
        <v/>
      </c>
      <c r="C26" s="279">
        <f>IFERROR(INDEX('계좌현황'!C:C,INDEX($L$20:$L$95,MATCH(LARGE($N$20:$N$95,7),$N$20:$N$95,0))),"")</f>
        <v/>
      </c>
      <c r="D26" s="279">
        <f>IFERROR(INDEX('계좌현황'!D:D,INDEX($L$20:$L$95,MATCH(LARGE($N$20:$N$95,7),$N$20:$N$95,0))),"")</f>
        <v/>
      </c>
      <c r="E26" s="279">
        <f>IFERROR(INDEX('계좌현황'!E:E,INDEX($L$20:$L$95,MATCH(LARGE($N$20:$N$95,7),$N$20:$N$95,0))),"")</f>
        <v/>
      </c>
      <c r="F26" s="309">
        <f>IFERROR(INDEX('계좌현황'!F:F,INDEX($L$20:$L$95,MATCH(LARGE($N$20:$N$95,7),$N$20:$N$95,0))),"")</f>
        <v/>
      </c>
      <c r="G26" s="310">
        <f>IFERROR(INDEX('계좌현황'!K:K,INDEX($L$20:$L$95,MATCH(LARGE($N$20:$N$95,7),$N$20:$N$95,0))),0)</f>
        <v/>
      </c>
      <c r="H26" s="311">
        <f>IF($B$3=0,0,G26/$B$3)</f>
        <v/>
      </c>
      <c r="I26" s="311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8" t="n">
        <v>8</v>
      </c>
      <c r="B27" s="288">
        <f>IFERROR(INDEX('계좌현황'!A:A,INDEX($L$20:$L$95,MATCH(LARGE($N$20:$N$95,8),$N$20:$N$95,0))),"")</f>
        <v/>
      </c>
      <c r="C27" s="288">
        <f>IFERROR(INDEX('계좌현황'!C:C,INDEX($L$20:$L$95,MATCH(LARGE($N$20:$N$95,8),$N$20:$N$95,0))),"")</f>
        <v/>
      </c>
      <c r="D27" s="288">
        <f>IFERROR(INDEX('계좌현황'!D:D,INDEX($L$20:$L$95,MATCH(LARGE($N$20:$N$95,8),$N$20:$N$95,0))),"")</f>
        <v/>
      </c>
      <c r="E27" s="288">
        <f>IFERROR(INDEX('계좌현황'!E:E,INDEX($L$20:$L$95,MATCH(LARGE($N$20:$N$95,8),$N$20:$N$95,0))),"")</f>
        <v/>
      </c>
      <c r="F27" s="315">
        <f>IFERROR(INDEX('계좌현황'!F:F,INDEX($L$20:$L$95,MATCH(LARGE($N$20:$N$95,8),$N$20:$N$95,0))),"")</f>
        <v/>
      </c>
      <c r="G27" s="316">
        <f>IFERROR(INDEX('계좌현황'!K:K,INDEX($L$20:$L$95,MATCH(LARGE($N$20:$N$95,8),$N$20:$N$95,0))),0)</f>
        <v/>
      </c>
      <c r="H27" s="317">
        <f>IF($B$3=0,0,G27/$B$3)</f>
        <v/>
      </c>
      <c r="I27" s="317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9" t="n">
        <v>9</v>
      </c>
      <c r="B28" s="279">
        <f>IFERROR(INDEX('계좌현황'!A:A,INDEX($L$20:$L$95,MATCH(LARGE($N$20:$N$95,9),$N$20:$N$95,0))),"")</f>
        <v/>
      </c>
      <c r="C28" s="279">
        <f>IFERROR(INDEX('계좌현황'!C:C,INDEX($L$20:$L$95,MATCH(LARGE($N$20:$N$95,9),$N$20:$N$95,0))),"")</f>
        <v/>
      </c>
      <c r="D28" s="279">
        <f>IFERROR(INDEX('계좌현황'!D:D,INDEX($L$20:$L$95,MATCH(LARGE($N$20:$N$95,9),$N$20:$N$95,0))),"")</f>
        <v/>
      </c>
      <c r="E28" s="279">
        <f>IFERROR(INDEX('계좌현황'!E:E,INDEX($L$20:$L$95,MATCH(LARGE($N$20:$N$95,9),$N$20:$N$95,0))),"")</f>
        <v/>
      </c>
      <c r="F28" s="309">
        <f>IFERROR(INDEX('계좌현황'!F:F,INDEX($L$20:$L$95,MATCH(LARGE($N$20:$N$95,9),$N$20:$N$95,0))),"")</f>
        <v/>
      </c>
      <c r="G28" s="310">
        <f>IFERROR(INDEX('계좌현황'!K:K,INDEX($L$20:$L$95,MATCH(LARGE($N$20:$N$95,9),$N$20:$N$95,0))),0)</f>
        <v/>
      </c>
      <c r="H28" s="311">
        <f>IF($B$3=0,0,G28/$B$3)</f>
        <v/>
      </c>
      <c r="I28" s="311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9" t="n">
        <v>10</v>
      </c>
      <c r="B29" s="279">
        <f>IFERROR(INDEX('계좌현황'!A:A,INDEX($L$20:$L$95,MATCH(LARGE($N$20:$N$95,10),$N$20:$N$95,0))),"")</f>
        <v/>
      </c>
      <c r="C29" s="279">
        <f>IFERROR(INDEX('계좌현황'!C:C,INDEX($L$20:$L$95,MATCH(LARGE($N$20:$N$95,10),$N$20:$N$95,0))),"")</f>
        <v/>
      </c>
      <c r="D29" s="279">
        <f>IFERROR(INDEX('계좌현황'!D:D,INDEX($L$20:$L$95,MATCH(LARGE($N$20:$N$95,10),$N$20:$N$95,0))),"")</f>
        <v/>
      </c>
      <c r="E29" s="279">
        <f>IFERROR(INDEX('계좌현황'!E:E,INDEX($L$20:$L$95,MATCH(LARGE($N$20:$N$95,10),$N$20:$N$95,0))),"")</f>
        <v/>
      </c>
      <c r="F29" s="309">
        <f>IFERROR(INDEX('계좌현황'!F:F,INDEX($L$20:$L$95,MATCH(LARGE($N$20:$N$95,10),$N$20:$N$95,0))),"")</f>
        <v/>
      </c>
      <c r="G29" s="310">
        <f>IFERROR(INDEX('계좌현황'!K:K,INDEX($L$20:$L$95,MATCH(LARGE($N$20:$N$95,10),$N$20:$N$95,0))),0)</f>
        <v/>
      </c>
      <c r="H29" s="311">
        <f>IF($B$3=0,0,G29/$B$3)</f>
        <v/>
      </c>
      <c r="I29" s="311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8" t="n">
        <v>11</v>
      </c>
      <c r="B30" s="288">
        <f>IFERROR(INDEX('계좌현황'!A:A,INDEX($L$20:$L$95,MATCH(LARGE($N$20:$N$95,11),$N$20:$N$95,0))),"")</f>
        <v/>
      </c>
      <c r="C30" s="288">
        <f>IFERROR(INDEX('계좌현황'!C:C,INDEX($L$20:$L$95,MATCH(LARGE($N$20:$N$95,11),$N$20:$N$95,0))),"")</f>
        <v/>
      </c>
      <c r="D30" s="288">
        <f>IFERROR(INDEX('계좌현황'!D:D,INDEX($L$20:$L$95,MATCH(LARGE($N$20:$N$95,11),$N$20:$N$95,0))),"")</f>
        <v/>
      </c>
      <c r="E30" s="288">
        <f>IFERROR(INDEX('계좌현황'!E:E,INDEX($L$20:$L$95,MATCH(LARGE($N$20:$N$95,11),$N$20:$N$95,0))),"")</f>
        <v/>
      </c>
      <c r="F30" s="315">
        <f>IFERROR(INDEX('계좌현황'!F:F,INDEX($L$20:$L$95,MATCH(LARGE($N$20:$N$95,11),$N$20:$N$95,0))),"")</f>
        <v/>
      </c>
      <c r="G30" s="316">
        <f>IFERROR(INDEX('계좌현황'!K:K,INDEX($L$20:$L$95,MATCH(LARGE($N$20:$N$95,11),$N$20:$N$95,0))),0)</f>
        <v/>
      </c>
      <c r="H30" s="317">
        <f>IF($B$3=0,0,G30/$B$3)</f>
        <v/>
      </c>
      <c r="I30" s="317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9" t="n">
        <v>12</v>
      </c>
      <c r="B31" s="279">
        <f>IFERROR(INDEX('계좌현황'!A:A,INDEX($L$20:$L$95,MATCH(LARGE($N$20:$N$95,12),$N$20:$N$95,0))),"")</f>
        <v/>
      </c>
      <c r="C31" s="279">
        <f>IFERROR(INDEX('계좌현황'!C:C,INDEX($L$20:$L$95,MATCH(LARGE($N$20:$N$95,12),$N$20:$N$95,0))),"")</f>
        <v/>
      </c>
      <c r="D31" s="279">
        <f>IFERROR(INDEX('계좌현황'!D:D,INDEX($L$20:$L$95,MATCH(LARGE($N$20:$N$95,12),$N$20:$N$95,0))),"")</f>
        <v/>
      </c>
      <c r="E31" s="279">
        <f>IFERROR(INDEX('계좌현황'!E:E,INDEX($L$20:$L$95,MATCH(LARGE($N$20:$N$95,12),$N$20:$N$95,0))),"")</f>
        <v/>
      </c>
      <c r="F31" s="309">
        <f>IFERROR(INDEX('계좌현황'!F:F,INDEX($L$20:$L$95,MATCH(LARGE($N$20:$N$95,12),$N$20:$N$95,0))),"")</f>
        <v/>
      </c>
      <c r="G31" s="310">
        <f>IFERROR(INDEX('계좌현황'!K:K,INDEX($L$20:$L$95,MATCH(LARGE($N$20:$N$95,12),$N$20:$N$95,0))),0)</f>
        <v/>
      </c>
      <c r="H31" s="311">
        <f>IF($B$3=0,0,G31/$B$3)</f>
        <v/>
      </c>
      <c r="I31" s="311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2" t="n">
        <v>13</v>
      </c>
      <c r="B32" s="282">
        <f>IFERROR(INDEX('계좌현황'!A:A,INDEX($L$20:$L$95,MATCH(LARGE($N$20:$N$95,13),$N$20:$N$95,0))),"")</f>
        <v/>
      </c>
      <c r="C32" s="282">
        <f>IFERROR(INDEX('계좌현황'!C:C,INDEX($L$20:$L$95,MATCH(LARGE($N$20:$N$95,13),$N$20:$N$95,0))),"")</f>
        <v/>
      </c>
      <c r="D32" s="282">
        <f>IFERROR(INDEX('계좌현황'!D:D,INDEX($L$20:$L$95,MATCH(LARGE($N$20:$N$95,13),$N$20:$N$95,0))),"")</f>
        <v/>
      </c>
      <c r="E32" s="282">
        <f>IFERROR(INDEX('계좌현황'!E:E,INDEX($L$20:$L$95,MATCH(LARGE($N$20:$N$95,13),$N$20:$N$95,0))),"")</f>
        <v/>
      </c>
      <c r="F32" s="312">
        <f>IFERROR(INDEX('계좌현황'!F:F,INDEX($L$20:$L$95,MATCH(LARGE($N$20:$N$95,13),$N$20:$N$95,0))),"")</f>
        <v/>
      </c>
      <c r="G32" s="313">
        <f>IFERROR(INDEX('계좌현황'!K:K,INDEX($L$20:$L$95,MATCH(LARGE($N$20:$N$95,13),$N$20:$N$95,0))),0)</f>
        <v/>
      </c>
      <c r="H32" s="314">
        <f>IF($B$3=0,0,G32/$B$3)</f>
        <v/>
      </c>
      <c r="I32" s="314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8" t="n">
        <v>14</v>
      </c>
      <c r="B33" s="288">
        <f>IFERROR(INDEX('계좌현황'!A:A,INDEX($L$20:$L$95,MATCH(LARGE($N$20:$N$95,14),$N$20:$N$95,0))),"")</f>
        <v/>
      </c>
      <c r="C33" s="288">
        <f>IFERROR(INDEX('계좌현황'!C:C,INDEX($L$20:$L$95,MATCH(LARGE($N$20:$N$95,14),$N$20:$N$95,0))),"")</f>
        <v/>
      </c>
      <c r="D33" s="288">
        <f>IFERROR(INDEX('계좌현황'!D:D,INDEX($L$20:$L$95,MATCH(LARGE($N$20:$N$95,14),$N$20:$N$95,0))),"")</f>
        <v/>
      </c>
      <c r="E33" s="288">
        <f>IFERROR(INDEX('계좌현황'!E:E,INDEX($L$20:$L$95,MATCH(LARGE($N$20:$N$95,14),$N$20:$N$95,0))),"")</f>
        <v/>
      </c>
      <c r="F33" s="315">
        <f>IFERROR(INDEX('계좌현황'!F:F,INDEX($L$20:$L$95,MATCH(LARGE($N$20:$N$95,14),$N$20:$N$95,0))),"")</f>
        <v/>
      </c>
      <c r="G33" s="316">
        <f>IFERROR(INDEX('계좌현황'!K:K,INDEX($L$20:$L$95,MATCH(LARGE($N$20:$N$95,14),$N$20:$N$95,0))),0)</f>
        <v/>
      </c>
      <c r="H33" s="317">
        <f>IF($B$3=0,0,G33/$B$3)</f>
        <v/>
      </c>
      <c r="I33" s="317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82" t="n">
        <v>15</v>
      </c>
      <c r="B34" s="282">
        <f>IFERROR(INDEX('계좌현황'!A:A,INDEX($L$20:$L$95,MATCH(LARGE($N$20:$N$95,15),$N$20:$N$95,0))),"")</f>
        <v/>
      </c>
      <c r="C34" s="282">
        <f>IFERROR(INDEX('계좌현황'!C:C,INDEX($L$20:$L$95,MATCH(LARGE($N$20:$N$95,15),$N$20:$N$95,0))),"")</f>
        <v/>
      </c>
      <c r="D34" s="282">
        <f>IFERROR(INDEX('계좌현황'!D:D,INDEX($L$20:$L$95,MATCH(LARGE($N$20:$N$95,15),$N$20:$N$95,0))),"")</f>
        <v/>
      </c>
      <c r="E34" s="282">
        <f>IFERROR(INDEX('계좌현황'!E:E,INDEX($L$20:$L$95,MATCH(LARGE($N$20:$N$95,15),$N$20:$N$95,0))),"")</f>
        <v/>
      </c>
      <c r="F34" s="312">
        <f>IFERROR(INDEX('계좌현황'!F:F,INDEX($L$20:$L$95,MATCH(LARGE($N$20:$N$95,15),$N$20:$N$95,0))),"")</f>
        <v/>
      </c>
      <c r="G34" s="313">
        <f>IFERROR(INDEX('계좌현황'!K:K,INDEX($L$20:$L$95,MATCH(LARGE($N$20:$N$95,15),$N$20:$N$95,0))),0)</f>
        <v/>
      </c>
      <c r="H34" s="314">
        <f>IF($B$3=0,0,G34/$B$3)</f>
        <v/>
      </c>
      <c r="I34" s="314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91" t="n">
        <v>16</v>
      </c>
      <c r="B35" s="291">
        <f>IFERROR(INDEX('계좌현황'!A:A,INDEX($L$20:$L$95,MATCH(LARGE($N$20:$N$95,16),$N$20:$N$95,0))),"")</f>
        <v/>
      </c>
      <c r="C35" s="291">
        <f>IFERROR(INDEX('계좌현황'!C:C,INDEX($L$20:$L$95,MATCH(LARGE($N$20:$N$95,16),$N$20:$N$95,0))),"")</f>
        <v/>
      </c>
      <c r="D35" s="291">
        <f>IFERROR(INDEX('계좌현황'!D:D,INDEX($L$20:$L$95,MATCH(LARGE($N$20:$N$95,16),$N$20:$N$95,0))),"")</f>
        <v/>
      </c>
      <c r="E35" s="291">
        <f>IFERROR(INDEX('계좌현황'!E:E,INDEX($L$20:$L$95,MATCH(LARGE($N$20:$N$95,16),$N$20:$N$95,0))),"")</f>
        <v/>
      </c>
      <c r="F35" s="318">
        <f>IFERROR(INDEX('계좌현황'!F:F,INDEX($L$20:$L$95,MATCH(LARGE($N$20:$N$95,16),$N$20:$N$95,0))),"")</f>
        <v/>
      </c>
      <c r="G35" s="319">
        <f>IFERROR(INDEX('계좌현황'!K:K,INDEX($L$20:$L$95,MATCH(LARGE($N$20:$N$95,16),$N$20:$N$95,0))),0)</f>
        <v/>
      </c>
      <c r="H35" s="320">
        <f>IF($B$3=0,0,G35/$B$3)</f>
        <v/>
      </c>
      <c r="I35" s="320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1" t="n">
        <v>17</v>
      </c>
      <c r="B36" s="291">
        <f>IFERROR(INDEX('계좌현황'!A:A,INDEX($L$20:$L$95,MATCH(LARGE($N$20:$N$95,17),$N$20:$N$95,0))),"")</f>
        <v/>
      </c>
      <c r="C36" s="291">
        <f>IFERROR(INDEX('계좌현황'!C:C,INDEX($L$20:$L$95,MATCH(LARGE($N$20:$N$95,17),$N$20:$N$95,0))),"")</f>
        <v/>
      </c>
      <c r="D36" s="291">
        <f>IFERROR(INDEX('계좌현황'!D:D,INDEX($L$20:$L$95,MATCH(LARGE($N$20:$N$95,17),$N$20:$N$95,0))),"")</f>
        <v/>
      </c>
      <c r="E36" s="291">
        <f>IFERROR(INDEX('계좌현황'!E:E,INDEX($L$20:$L$95,MATCH(LARGE($N$20:$N$95,17),$N$20:$N$95,0))),"")</f>
        <v/>
      </c>
      <c r="F36" s="318">
        <f>IFERROR(INDEX('계좌현황'!F:F,INDEX($L$20:$L$95,MATCH(LARGE($N$20:$N$95,17),$N$20:$N$95,0))),"")</f>
        <v/>
      </c>
      <c r="G36" s="319">
        <f>IFERROR(INDEX('계좌현황'!K:K,INDEX($L$20:$L$95,MATCH(LARGE($N$20:$N$95,17),$N$20:$N$95,0))),0)</f>
        <v/>
      </c>
      <c r="H36" s="320">
        <f>IF($B$3=0,0,G36/$B$3)</f>
        <v/>
      </c>
      <c r="I36" s="320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97" t="n">
        <v>18</v>
      </c>
      <c r="B37" s="297">
        <f>IFERROR(INDEX('계좌현황'!A:A,INDEX($L$20:$L$95,MATCH(LARGE($N$20:$N$95,18),$N$20:$N$95,0))),"")</f>
        <v/>
      </c>
      <c r="C37" s="297">
        <f>IFERROR(INDEX('계좌현황'!C:C,INDEX($L$20:$L$95,MATCH(LARGE($N$20:$N$95,18),$N$20:$N$95,0))),"")</f>
        <v/>
      </c>
      <c r="D37" s="297">
        <f>IFERROR(INDEX('계좌현황'!D:D,INDEX($L$20:$L$95,MATCH(LARGE($N$20:$N$95,18),$N$20:$N$95,0))),"")</f>
        <v/>
      </c>
      <c r="E37" s="297">
        <f>IFERROR(INDEX('계좌현황'!E:E,INDEX($L$20:$L$95,MATCH(LARGE($N$20:$N$95,18),$N$20:$N$95,0))),"")</f>
        <v/>
      </c>
      <c r="F37" s="321">
        <f>IFERROR(INDEX('계좌현황'!F:F,INDEX($L$20:$L$95,MATCH(LARGE($N$20:$N$95,18),$N$20:$N$95,0))),"")</f>
        <v/>
      </c>
      <c r="G37" s="322">
        <f>IFERROR(INDEX('계좌현황'!K:K,INDEX($L$20:$L$95,MATCH(LARGE($N$20:$N$95,18),$N$20:$N$95,0))),0)</f>
        <v/>
      </c>
      <c r="H37" s="323">
        <f>IF($B$3=0,0,G37/$B$3)</f>
        <v/>
      </c>
      <c r="I37" s="323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91" t="n">
        <v>19</v>
      </c>
      <c r="B38" s="291">
        <f>IFERROR(INDEX('계좌현황'!A:A,INDEX($L$20:$L$95,MATCH(LARGE($N$20:$N$95,19),$N$20:$N$95,0))),"")</f>
        <v/>
      </c>
      <c r="C38" s="291">
        <f>IFERROR(INDEX('계좌현황'!C:C,INDEX($L$20:$L$95,MATCH(LARGE($N$20:$N$95,19),$N$20:$N$95,0))),"")</f>
        <v/>
      </c>
      <c r="D38" s="291">
        <f>IFERROR(INDEX('계좌현황'!D:D,INDEX($L$20:$L$95,MATCH(LARGE($N$20:$N$95,19),$N$20:$N$95,0))),"")</f>
        <v/>
      </c>
      <c r="E38" s="291">
        <f>IFERROR(INDEX('계좌현황'!E:E,INDEX($L$20:$L$95,MATCH(LARGE($N$20:$N$95,19),$N$20:$N$95,0))),"")</f>
        <v/>
      </c>
      <c r="F38" s="318">
        <f>IFERROR(INDEX('계좌현황'!F:F,INDEX($L$20:$L$95,MATCH(LARGE($N$20:$N$95,19),$N$20:$N$95,0))),"")</f>
        <v/>
      </c>
      <c r="G38" s="319">
        <f>IFERROR(INDEX('계좌현황'!K:K,INDEX($L$20:$L$95,MATCH(LARGE($N$20:$N$95,19),$N$20:$N$95,0))),0)</f>
        <v/>
      </c>
      <c r="H38" s="320">
        <f>IF($B$3=0,0,G38/$B$3)</f>
        <v/>
      </c>
      <c r="I38" s="320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79" t="n">
        <v>20</v>
      </c>
      <c r="B39" s="279">
        <f>IFERROR(INDEX('계좌현황'!A:A,INDEX($L$20:$L$95,MATCH(LARGE($N$20:$N$95,20),$N$20:$N$95,0))),"")</f>
        <v/>
      </c>
      <c r="C39" s="279">
        <f>IFERROR(INDEX('계좌현황'!C:C,INDEX($L$20:$L$95,MATCH(LARGE($N$20:$N$95,20),$N$20:$N$95,0))),"")</f>
        <v/>
      </c>
      <c r="D39" s="279">
        <f>IFERROR(INDEX('계좌현황'!D:D,INDEX($L$20:$L$95,MATCH(LARGE($N$20:$N$95,20),$N$20:$N$95,0))),"")</f>
        <v/>
      </c>
      <c r="E39" s="279">
        <f>IFERROR(INDEX('계좌현황'!E:E,INDEX($L$20:$L$95,MATCH(LARGE($N$20:$N$95,20),$N$20:$N$95,0))),"")</f>
        <v/>
      </c>
      <c r="F39" s="309">
        <f>IFERROR(INDEX('계좌현황'!F:F,INDEX($L$20:$L$95,MATCH(LARGE($N$20:$N$95,20),$N$20:$N$95,0))),"")</f>
        <v/>
      </c>
      <c r="G39" s="310">
        <f>IFERROR(INDEX('계좌현황'!K:K,INDEX($L$20:$L$95,MATCH(LARGE($N$20:$N$95,20),$N$20:$N$95,0))),0)</f>
        <v/>
      </c>
      <c r="H39" s="311">
        <f>IF($B$3=0,0,G39/$B$3)</f>
        <v/>
      </c>
      <c r="I39" s="311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85" t="n">
        <v>21</v>
      </c>
      <c r="B40" s="285">
        <f>IFERROR(INDEX('계좌현황'!A:A,INDEX($L$20:$L$95,MATCH(LARGE($N$20:$N$95,21),$N$20:$N$95,0))),"")</f>
        <v/>
      </c>
      <c r="C40" s="285">
        <f>IFERROR(INDEX('계좌현황'!C:C,INDEX($L$20:$L$95,MATCH(LARGE($N$20:$N$95,21),$N$20:$N$95,0))),"")</f>
        <v/>
      </c>
      <c r="D40" s="285">
        <f>IFERROR(INDEX('계좌현황'!D:D,INDEX($L$20:$L$95,MATCH(LARGE($N$20:$N$95,21),$N$20:$N$95,0))),"")</f>
        <v/>
      </c>
      <c r="E40" s="285">
        <f>IFERROR(INDEX('계좌현황'!E:E,INDEX($L$20:$L$95,MATCH(LARGE($N$20:$N$95,21),$N$20:$N$95,0))),"")</f>
        <v/>
      </c>
      <c r="F40" s="324">
        <f>IFERROR(INDEX('계좌현황'!F:F,INDEX($L$20:$L$95,MATCH(LARGE($N$20:$N$95,21),$N$20:$N$95,0))),"")</f>
        <v/>
      </c>
      <c r="G40" s="325">
        <f>IFERROR(INDEX('계좌현황'!K:K,INDEX($L$20:$L$95,MATCH(LARGE($N$20:$N$95,21),$N$20:$N$95,0))),0)</f>
        <v/>
      </c>
      <c r="H40" s="326">
        <f>IF($B$3=0,0,G40/$B$3)</f>
        <v/>
      </c>
      <c r="I40" s="326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91" t="n">
        <v>22</v>
      </c>
      <c r="B41" s="291">
        <f>IFERROR(INDEX('계좌현황'!A:A,INDEX($L$20:$L$95,MATCH(LARGE($N$20:$N$95,22),$N$20:$N$95,0))),"")</f>
        <v/>
      </c>
      <c r="C41" s="291">
        <f>IFERROR(INDEX('계좌현황'!C:C,INDEX($L$20:$L$95,MATCH(LARGE($N$20:$N$95,22),$N$20:$N$95,0))),"")</f>
        <v/>
      </c>
      <c r="D41" s="291">
        <f>IFERROR(INDEX('계좌현황'!D:D,INDEX($L$20:$L$95,MATCH(LARGE($N$20:$N$95,22),$N$20:$N$95,0))),"")</f>
        <v/>
      </c>
      <c r="E41" s="291">
        <f>IFERROR(INDEX('계좌현황'!E:E,INDEX($L$20:$L$95,MATCH(LARGE($N$20:$N$95,22),$N$20:$N$95,0))),"")</f>
        <v/>
      </c>
      <c r="F41" s="318">
        <f>IFERROR(INDEX('계좌현황'!F:F,INDEX($L$20:$L$95,MATCH(LARGE($N$20:$N$95,22),$N$20:$N$95,0))),"")</f>
        <v/>
      </c>
      <c r="G41" s="319">
        <f>IFERROR(INDEX('계좌현황'!K:K,INDEX($L$20:$L$95,MATCH(LARGE($N$20:$N$95,22),$N$20:$N$95,0))),0)</f>
        <v/>
      </c>
      <c r="H41" s="320">
        <f>IF($B$3=0,0,G41/$B$3)</f>
        <v/>
      </c>
      <c r="I41" s="320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97" t="n">
        <v>23</v>
      </c>
      <c r="B42" s="297">
        <f>IFERROR(INDEX('계좌현황'!A:A,INDEX($L$20:$L$95,MATCH(LARGE($N$20:$N$95,23),$N$20:$N$95,0))),"")</f>
        <v/>
      </c>
      <c r="C42" s="297">
        <f>IFERROR(INDEX('계좌현황'!C:C,INDEX($L$20:$L$95,MATCH(LARGE($N$20:$N$95,23),$N$20:$N$95,0))),"")</f>
        <v/>
      </c>
      <c r="D42" s="297">
        <f>IFERROR(INDEX('계좌현황'!D:D,INDEX($L$20:$L$95,MATCH(LARGE($N$20:$N$95,23),$N$20:$N$95,0))),"")</f>
        <v/>
      </c>
      <c r="E42" s="297">
        <f>IFERROR(INDEX('계좌현황'!E:E,INDEX($L$20:$L$95,MATCH(LARGE($N$20:$N$95,23),$N$20:$N$95,0))),"")</f>
        <v/>
      </c>
      <c r="F42" s="321">
        <f>IFERROR(INDEX('계좌현황'!F:F,INDEX($L$20:$L$95,MATCH(LARGE($N$20:$N$95,23),$N$20:$N$95,0))),"")</f>
        <v/>
      </c>
      <c r="G42" s="322">
        <f>IFERROR(INDEX('계좌현황'!K:K,INDEX($L$20:$L$95,MATCH(LARGE($N$20:$N$95,23),$N$20:$N$95,0))),0)</f>
        <v/>
      </c>
      <c r="H42" s="323">
        <f>IF($B$3=0,0,G42/$B$3)</f>
        <v/>
      </c>
      <c r="I42" s="323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97" t="n">
        <v>24</v>
      </c>
      <c r="B43" s="297">
        <f>IFERROR(INDEX('계좌현황'!A:A,INDEX($L$20:$L$95,MATCH(LARGE($N$20:$N$95,24),$N$20:$N$95,0))),"")</f>
        <v/>
      </c>
      <c r="C43" s="297">
        <f>IFERROR(INDEX('계좌현황'!C:C,INDEX($L$20:$L$95,MATCH(LARGE($N$20:$N$95,24),$N$20:$N$95,0))),"")</f>
        <v/>
      </c>
      <c r="D43" s="297">
        <f>IFERROR(INDEX('계좌현황'!D:D,INDEX($L$20:$L$95,MATCH(LARGE($N$20:$N$95,24),$N$20:$N$95,0))),"")</f>
        <v/>
      </c>
      <c r="E43" s="297">
        <f>IFERROR(INDEX('계좌현황'!E:E,INDEX($L$20:$L$95,MATCH(LARGE($N$20:$N$95,24),$N$20:$N$95,0))),"")</f>
        <v/>
      </c>
      <c r="F43" s="321">
        <f>IFERROR(INDEX('계좌현황'!F:F,INDEX($L$20:$L$95,MATCH(LARGE($N$20:$N$95,24),$N$20:$N$95,0))),"")</f>
        <v/>
      </c>
      <c r="G43" s="322">
        <f>IFERROR(INDEX('계좌현황'!K:K,INDEX($L$20:$L$95,MATCH(LARGE($N$20:$N$95,24),$N$20:$N$95,0))),0)</f>
        <v/>
      </c>
      <c r="H43" s="323">
        <f>IF($B$3=0,0,G43/$B$3)</f>
        <v/>
      </c>
      <c r="I43" s="323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8" t="n">
        <v>25</v>
      </c>
      <c r="B44" s="288">
        <f>IFERROR(INDEX('계좌현황'!A:A,INDEX($L$20:$L$95,MATCH(LARGE($N$20:$N$95,25),$N$20:$N$95,0))),"")</f>
        <v/>
      </c>
      <c r="C44" s="288">
        <f>IFERROR(INDEX('계좌현황'!C:C,INDEX($L$20:$L$95,MATCH(LARGE($N$20:$N$95,25),$N$20:$N$95,0))),"")</f>
        <v/>
      </c>
      <c r="D44" s="288">
        <f>IFERROR(INDEX('계좌현황'!D:D,INDEX($L$20:$L$95,MATCH(LARGE($N$20:$N$95,25),$N$20:$N$95,0))),"")</f>
        <v/>
      </c>
      <c r="E44" s="288">
        <f>IFERROR(INDEX('계좌현황'!E:E,INDEX($L$20:$L$95,MATCH(LARGE($N$20:$N$95,25),$N$20:$N$95,0))),"")</f>
        <v/>
      </c>
      <c r="F44" s="315">
        <f>IFERROR(INDEX('계좌현황'!F:F,INDEX($L$20:$L$95,MATCH(LARGE($N$20:$N$95,25),$N$20:$N$95,0))),"")</f>
        <v/>
      </c>
      <c r="G44" s="316">
        <f>IFERROR(INDEX('계좌현황'!K:K,INDEX($L$20:$L$95,MATCH(LARGE($N$20:$N$95,25),$N$20:$N$95,0))),0)</f>
        <v/>
      </c>
      <c r="H44" s="317">
        <f>IF($B$3=0,0,G44/$B$3)</f>
        <v/>
      </c>
      <c r="I44" s="317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1" t="n">
        <v>26</v>
      </c>
      <c r="B45" s="291">
        <f>IFERROR(INDEX('계좌현황'!A:A,INDEX($L$20:$L$95,MATCH(LARGE($N$20:$N$95,26),$N$20:$N$95,0))),"")</f>
        <v/>
      </c>
      <c r="C45" s="291">
        <f>IFERROR(INDEX('계좌현황'!C:C,INDEX($L$20:$L$95,MATCH(LARGE($N$20:$N$95,26),$N$20:$N$95,0))),"")</f>
        <v/>
      </c>
      <c r="D45" s="291">
        <f>IFERROR(INDEX('계좌현황'!D:D,INDEX($L$20:$L$95,MATCH(LARGE($N$20:$N$95,26),$N$20:$N$95,0))),"")</f>
        <v/>
      </c>
      <c r="E45" s="291">
        <f>IFERROR(INDEX('계좌현황'!E:E,INDEX($L$20:$L$95,MATCH(LARGE($N$20:$N$95,26),$N$20:$N$95,0))),"")</f>
        <v/>
      </c>
      <c r="F45" s="318">
        <f>IFERROR(INDEX('계좌현황'!F:F,INDEX($L$20:$L$95,MATCH(LARGE($N$20:$N$95,26),$N$20:$N$95,0))),"")</f>
        <v/>
      </c>
      <c r="G45" s="319">
        <f>IFERROR(INDEX('계좌현황'!K:K,INDEX($L$20:$L$95,MATCH(LARGE($N$20:$N$95,26),$N$20:$N$95,0))),0)</f>
        <v/>
      </c>
      <c r="H45" s="320">
        <f>IF($B$3=0,0,G45/$B$3)</f>
        <v/>
      </c>
      <c r="I45" s="320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97" t="n">
        <v>27</v>
      </c>
      <c r="B46" s="297">
        <f>IFERROR(INDEX('계좌현황'!A:A,INDEX($L$20:$L$95,MATCH(LARGE($N$20:$N$95,27),$N$20:$N$95,0))),"")</f>
        <v/>
      </c>
      <c r="C46" s="297">
        <f>IFERROR(INDEX('계좌현황'!C:C,INDEX($L$20:$L$95,MATCH(LARGE($N$20:$N$95,27),$N$20:$N$95,0))),"")</f>
        <v/>
      </c>
      <c r="D46" s="297">
        <f>IFERROR(INDEX('계좌현황'!D:D,INDEX($L$20:$L$95,MATCH(LARGE($N$20:$N$95,27),$N$20:$N$95,0))),"")</f>
        <v/>
      </c>
      <c r="E46" s="297">
        <f>IFERROR(INDEX('계좌현황'!E:E,INDEX($L$20:$L$95,MATCH(LARGE($N$20:$N$95,27),$N$20:$N$95,0))),"")</f>
        <v/>
      </c>
      <c r="F46" s="321">
        <f>IFERROR(INDEX('계좌현황'!F:F,INDEX($L$20:$L$95,MATCH(LARGE($N$20:$N$95,27),$N$20:$N$95,0))),"")</f>
        <v/>
      </c>
      <c r="G46" s="322">
        <f>IFERROR(INDEX('계좌현황'!K:K,INDEX($L$20:$L$95,MATCH(LARGE($N$20:$N$95,27),$N$20:$N$95,0))),0)</f>
        <v/>
      </c>
      <c r="H46" s="323">
        <f>IF($B$3=0,0,G46/$B$3)</f>
        <v/>
      </c>
      <c r="I46" s="323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8" t="n">
        <v>28</v>
      </c>
      <c r="B47" s="288">
        <f>IFERROR(INDEX('계좌현황'!A:A,INDEX($L$20:$L$95,MATCH(LARGE($N$20:$N$95,28),$N$20:$N$95,0))),"")</f>
        <v/>
      </c>
      <c r="C47" s="288">
        <f>IFERROR(INDEX('계좌현황'!C:C,INDEX($L$20:$L$95,MATCH(LARGE($N$20:$N$95,28),$N$20:$N$95,0))),"")</f>
        <v/>
      </c>
      <c r="D47" s="288">
        <f>IFERROR(INDEX('계좌현황'!D:D,INDEX($L$20:$L$95,MATCH(LARGE($N$20:$N$95,28),$N$20:$N$95,0))),"")</f>
        <v/>
      </c>
      <c r="E47" s="288">
        <f>IFERROR(INDEX('계좌현황'!E:E,INDEX($L$20:$L$95,MATCH(LARGE($N$20:$N$95,28),$N$20:$N$95,0))),"")</f>
        <v/>
      </c>
      <c r="F47" s="315">
        <f>IFERROR(INDEX('계좌현황'!F:F,INDEX($L$20:$L$95,MATCH(LARGE($N$20:$N$95,28),$N$20:$N$95,0))),"")</f>
        <v/>
      </c>
      <c r="G47" s="316">
        <f>IFERROR(INDEX('계좌현황'!K:K,INDEX($L$20:$L$95,MATCH(LARGE($N$20:$N$95,28),$N$20:$N$95,0))),0)</f>
        <v/>
      </c>
      <c r="H47" s="317">
        <f>IF($B$3=0,0,G47/$B$3)</f>
        <v/>
      </c>
      <c r="I47" s="317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91" t="n">
        <v>29</v>
      </c>
      <c r="B48" s="291">
        <f>IFERROR(INDEX('계좌현황'!A:A,INDEX($L$20:$L$95,MATCH(LARGE($N$20:$N$95,29),$N$20:$N$95,0))),"")</f>
        <v/>
      </c>
      <c r="C48" s="291">
        <f>IFERROR(INDEX('계좌현황'!C:C,INDEX($L$20:$L$95,MATCH(LARGE($N$20:$N$95,29),$N$20:$N$95,0))),"")</f>
        <v/>
      </c>
      <c r="D48" s="291">
        <f>IFERROR(INDEX('계좌현황'!D:D,INDEX($L$20:$L$95,MATCH(LARGE($N$20:$N$95,29),$N$20:$N$95,0))),"")</f>
        <v/>
      </c>
      <c r="E48" s="291">
        <f>IFERROR(INDEX('계좌현황'!E:E,INDEX($L$20:$L$95,MATCH(LARGE($N$20:$N$95,29),$N$20:$N$95,0))),"")</f>
        <v/>
      </c>
      <c r="F48" s="318">
        <f>IFERROR(INDEX('계좌현황'!F:F,INDEX($L$20:$L$95,MATCH(LARGE($N$20:$N$95,29),$N$20:$N$95,0))),"")</f>
        <v/>
      </c>
      <c r="G48" s="319">
        <f>IFERROR(INDEX('계좌현황'!K:K,INDEX($L$20:$L$95,MATCH(LARGE($N$20:$N$95,29),$N$20:$N$95,0))),0)</f>
        <v/>
      </c>
      <c r="H48" s="320">
        <f>IF($B$3=0,0,G48/$B$3)</f>
        <v/>
      </c>
      <c r="I48" s="320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85" t="n">
        <v>30</v>
      </c>
      <c r="B49" s="285">
        <f>IFERROR(INDEX('계좌현황'!A:A,INDEX($L$20:$L$95,MATCH(LARGE($N$20:$N$95,30),$N$20:$N$95,0))),"")</f>
        <v/>
      </c>
      <c r="C49" s="285">
        <f>IFERROR(INDEX('계좌현황'!C:C,INDEX($L$20:$L$95,MATCH(LARGE($N$20:$N$95,30),$N$20:$N$95,0))),"")</f>
        <v/>
      </c>
      <c r="D49" s="285">
        <f>IFERROR(INDEX('계좌현황'!D:D,INDEX($L$20:$L$95,MATCH(LARGE($N$20:$N$95,30),$N$20:$N$95,0))),"")</f>
        <v/>
      </c>
      <c r="E49" s="285">
        <f>IFERROR(INDEX('계좌현황'!E:E,INDEX($L$20:$L$95,MATCH(LARGE($N$20:$N$95,30),$N$20:$N$95,0))),"")</f>
        <v/>
      </c>
      <c r="F49" s="324">
        <f>IFERROR(INDEX('계좌현황'!F:F,INDEX($L$20:$L$95,MATCH(LARGE($N$20:$N$95,30),$N$20:$N$95,0))),"")</f>
        <v/>
      </c>
      <c r="G49" s="325">
        <f>IFERROR(INDEX('계좌현황'!K:K,INDEX($L$20:$L$95,MATCH(LARGE($N$20:$N$95,30),$N$20:$N$95,0))),0)</f>
        <v/>
      </c>
      <c r="H49" s="326">
        <f>IF($B$3=0,0,G49/$B$3)</f>
        <v/>
      </c>
      <c r="I49" s="326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2" t="n">
        <v>31</v>
      </c>
      <c r="B50" s="282">
        <f>IFERROR(INDEX('계좌현황'!A:A,INDEX($L$20:$L$95,MATCH(LARGE($N$20:$N$95,31),$N$20:$N$95,0))),"")</f>
        <v/>
      </c>
      <c r="C50" s="282">
        <f>IFERROR(INDEX('계좌현황'!C:C,INDEX($L$20:$L$95,MATCH(LARGE($N$20:$N$95,31),$N$20:$N$95,0))),"")</f>
        <v/>
      </c>
      <c r="D50" s="282">
        <f>IFERROR(INDEX('계좌현황'!D:D,INDEX($L$20:$L$95,MATCH(LARGE($N$20:$N$95,31),$N$20:$N$95,0))),"")</f>
        <v/>
      </c>
      <c r="E50" s="282">
        <f>IFERROR(INDEX('계좌현황'!E:E,INDEX($L$20:$L$95,MATCH(LARGE($N$20:$N$95,31),$N$20:$N$95,0))),"")</f>
        <v/>
      </c>
      <c r="F50" s="312">
        <f>IFERROR(INDEX('계좌현황'!F:F,INDEX($L$20:$L$95,MATCH(LARGE($N$20:$N$95,31),$N$20:$N$95,0))),"")</f>
        <v/>
      </c>
      <c r="G50" s="313">
        <f>IFERROR(INDEX('계좌현황'!K:K,INDEX($L$20:$L$95,MATCH(LARGE($N$20:$N$95,31),$N$20:$N$95,0))),0)</f>
        <v/>
      </c>
      <c r="H50" s="314">
        <f>IF($B$3=0,0,G50/$B$3)</f>
        <v/>
      </c>
      <c r="I50" s="314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91" t="n">
        <v>32</v>
      </c>
      <c r="B51" s="291">
        <f>IFERROR(INDEX('계좌현황'!A:A,INDEX($L$20:$L$95,MATCH(LARGE($N$20:$N$95,32),$N$20:$N$95,0))),"")</f>
        <v/>
      </c>
      <c r="C51" s="291">
        <f>IFERROR(INDEX('계좌현황'!C:C,INDEX($L$20:$L$95,MATCH(LARGE($N$20:$N$95,32),$N$20:$N$95,0))),"")</f>
        <v/>
      </c>
      <c r="D51" s="291">
        <f>IFERROR(INDEX('계좌현황'!D:D,INDEX($L$20:$L$95,MATCH(LARGE($N$20:$N$95,32),$N$20:$N$95,0))),"")</f>
        <v/>
      </c>
      <c r="E51" s="291">
        <f>IFERROR(INDEX('계좌현황'!E:E,INDEX($L$20:$L$95,MATCH(LARGE($N$20:$N$95,32),$N$20:$N$95,0))),"")</f>
        <v/>
      </c>
      <c r="F51" s="318">
        <f>IFERROR(INDEX('계좌현황'!F:F,INDEX($L$20:$L$95,MATCH(LARGE($N$20:$N$95,32),$N$20:$N$95,0))),"")</f>
        <v/>
      </c>
      <c r="G51" s="319">
        <f>IFERROR(INDEX('계좌현황'!K:K,INDEX($L$20:$L$95,MATCH(LARGE($N$20:$N$95,32),$N$20:$N$95,0))),0)</f>
        <v/>
      </c>
      <c r="H51" s="320">
        <f>IF($B$3=0,0,G51/$B$3)</f>
        <v/>
      </c>
      <c r="I51" s="320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91" t="n">
        <v>33</v>
      </c>
      <c r="B52" s="291">
        <f>IFERROR(INDEX('계좌현황'!A:A,INDEX($L$20:$L$95,MATCH(LARGE($N$20:$N$95,33),$N$20:$N$95,0))),"")</f>
        <v/>
      </c>
      <c r="C52" s="291">
        <f>IFERROR(INDEX('계좌현황'!C:C,INDEX($L$20:$L$95,MATCH(LARGE($N$20:$N$95,33),$N$20:$N$95,0))),"")</f>
        <v/>
      </c>
      <c r="D52" s="291">
        <f>IFERROR(INDEX('계좌현황'!D:D,INDEX($L$20:$L$95,MATCH(LARGE($N$20:$N$95,33),$N$20:$N$95,0))),"")</f>
        <v/>
      </c>
      <c r="E52" s="291">
        <f>IFERROR(INDEX('계좌현황'!E:E,INDEX($L$20:$L$95,MATCH(LARGE($N$20:$N$95,33),$N$20:$N$95,0))),"")</f>
        <v/>
      </c>
      <c r="F52" s="318">
        <f>IFERROR(INDEX('계좌현황'!F:F,INDEX($L$20:$L$95,MATCH(LARGE($N$20:$N$95,33),$N$20:$N$95,0))),"")</f>
        <v/>
      </c>
      <c r="G52" s="319">
        <f>IFERROR(INDEX('계좌현황'!K:K,INDEX($L$20:$L$95,MATCH(LARGE($N$20:$N$95,33),$N$20:$N$95,0))),0)</f>
        <v/>
      </c>
      <c r="H52" s="320">
        <f>IF($B$3=0,0,G52/$B$3)</f>
        <v/>
      </c>
      <c r="I52" s="320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8" t="n">
        <v>34</v>
      </c>
      <c r="B53" s="288">
        <f>IFERROR(INDEX('계좌현황'!A:A,INDEX($L$20:$L$95,MATCH(LARGE($N$20:$N$95,34),$N$20:$N$95,0))),"")</f>
        <v/>
      </c>
      <c r="C53" s="288">
        <f>IFERROR(INDEX('계좌현황'!C:C,INDEX($L$20:$L$95,MATCH(LARGE($N$20:$N$95,34),$N$20:$N$95,0))),"")</f>
        <v/>
      </c>
      <c r="D53" s="288">
        <f>IFERROR(INDEX('계좌현황'!D:D,INDEX($L$20:$L$95,MATCH(LARGE($N$20:$N$95,34),$N$20:$N$95,0))),"")</f>
        <v/>
      </c>
      <c r="E53" s="288">
        <f>IFERROR(INDEX('계좌현황'!E:E,INDEX($L$20:$L$95,MATCH(LARGE($N$20:$N$95,34),$N$20:$N$95,0))),"")</f>
        <v/>
      </c>
      <c r="F53" s="315">
        <f>IFERROR(INDEX('계좌현황'!F:F,INDEX($L$20:$L$95,MATCH(LARGE($N$20:$N$95,34),$N$20:$N$95,0))),"")</f>
        <v/>
      </c>
      <c r="G53" s="316">
        <f>IFERROR(INDEX('계좌현황'!K:K,INDEX($L$20:$L$95,MATCH(LARGE($N$20:$N$95,34),$N$20:$N$95,0))),0)</f>
        <v/>
      </c>
      <c r="H53" s="317">
        <f>IF($B$3=0,0,G53/$B$3)</f>
        <v/>
      </c>
      <c r="I53" s="317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8" t="n">
        <v>35</v>
      </c>
      <c r="B54" s="288">
        <f>IFERROR(INDEX('계좌현황'!A:A,INDEX($L$20:$L$95,MATCH(LARGE($N$20:$N$95,35),$N$20:$N$95,0))),"")</f>
        <v/>
      </c>
      <c r="C54" s="288">
        <f>IFERROR(INDEX('계좌현황'!C:C,INDEX($L$20:$L$95,MATCH(LARGE($N$20:$N$95,35),$N$20:$N$95,0))),"")</f>
        <v/>
      </c>
      <c r="D54" s="288">
        <f>IFERROR(INDEX('계좌현황'!D:D,INDEX($L$20:$L$95,MATCH(LARGE($N$20:$N$95,35),$N$20:$N$95,0))),"")</f>
        <v/>
      </c>
      <c r="E54" s="288">
        <f>IFERROR(INDEX('계좌현황'!E:E,INDEX($L$20:$L$95,MATCH(LARGE($N$20:$N$95,35),$N$20:$N$95,0))),"")</f>
        <v/>
      </c>
      <c r="F54" s="315">
        <f>IFERROR(INDEX('계좌현황'!F:F,INDEX($L$20:$L$95,MATCH(LARGE($N$20:$N$95,35),$N$20:$N$95,0))),"")</f>
        <v/>
      </c>
      <c r="G54" s="316">
        <f>IFERROR(INDEX('계좌현황'!K:K,INDEX($L$20:$L$95,MATCH(LARGE($N$20:$N$95,35),$N$20:$N$95,0))),0)</f>
        <v/>
      </c>
      <c r="H54" s="317">
        <f>IF($B$3=0,0,G54/$B$3)</f>
        <v/>
      </c>
      <c r="I54" s="317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91" t="n">
        <v>36</v>
      </c>
      <c r="B55" s="291">
        <f>IFERROR(INDEX('계좌현황'!A:A,INDEX($L$20:$L$95,MATCH(LARGE($N$20:$N$95,36),$N$20:$N$95,0))),"")</f>
        <v/>
      </c>
      <c r="C55" s="291">
        <f>IFERROR(INDEX('계좌현황'!C:C,INDEX($L$20:$L$95,MATCH(LARGE($N$20:$N$95,36),$N$20:$N$95,0))),"")</f>
        <v/>
      </c>
      <c r="D55" s="291">
        <f>IFERROR(INDEX('계좌현황'!D:D,INDEX($L$20:$L$95,MATCH(LARGE($N$20:$N$95,36),$N$20:$N$95,0))),"")</f>
        <v/>
      </c>
      <c r="E55" s="291">
        <f>IFERROR(INDEX('계좌현황'!E:E,INDEX($L$20:$L$95,MATCH(LARGE($N$20:$N$95,36),$N$20:$N$95,0))),"")</f>
        <v/>
      </c>
      <c r="F55" s="318">
        <f>IFERROR(INDEX('계좌현황'!F:F,INDEX($L$20:$L$95,MATCH(LARGE($N$20:$N$95,36),$N$20:$N$95,0))),"")</f>
        <v/>
      </c>
      <c r="G55" s="319">
        <f>IFERROR(INDEX('계좌현황'!K:K,INDEX($L$20:$L$95,MATCH(LARGE($N$20:$N$95,36),$N$20:$N$95,0))),0)</f>
        <v/>
      </c>
      <c r="H55" s="320">
        <f>IF($B$3=0,0,G55/$B$3)</f>
        <v/>
      </c>
      <c r="I55" s="320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91" t="n">
        <v>37</v>
      </c>
      <c r="B56" s="291">
        <f>IFERROR(INDEX('계좌현황'!A:A,INDEX($L$20:$L$95,MATCH(LARGE($N$20:$N$95,37),$N$20:$N$95,0))),"")</f>
        <v/>
      </c>
      <c r="C56" s="291">
        <f>IFERROR(INDEX('계좌현황'!C:C,INDEX($L$20:$L$95,MATCH(LARGE($N$20:$N$95,37),$N$20:$N$95,0))),"")</f>
        <v/>
      </c>
      <c r="D56" s="291">
        <f>IFERROR(INDEX('계좌현황'!D:D,INDEX($L$20:$L$95,MATCH(LARGE($N$20:$N$95,37),$N$20:$N$95,0))),"")</f>
        <v/>
      </c>
      <c r="E56" s="291">
        <f>IFERROR(INDEX('계좌현황'!E:E,INDEX($L$20:$L$95,MATCH(LARGE($N$20:$N$95,37),$N$20:$N$95,0))),"")</f>
        <v/>
      </c>
      <c r="F56" s="318">
        <f>IFERROR(INDEX('계좌현황'!F:F,INDEX($L$20:$L$95,MATCH(LARGE($N$20:$N$95,37),$N$20:$N$95,0))),"")</f>
        <v/>
      </c>
      <c r="G56" s="319">
        <f>IFERROR(INDEX('계좌현황'!K:K,INDEX($L$20:$L$95,MATCH(LARGE($N$20:$N$95,37),$N$20:$N$95,0))),0)</f>
        <v/>
      </c>
      <c r="H56" s="320">
        <f>IF($B$3=0,0,G56/$B$3)</f>
        <v/>
      </c>
      <c r="I56" s="320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91" t="n">
        <v>38</v>
      </c>
      <c r="B57" s="291">
        <f>IFERROR(INDEX('계좌현황'!A:A,INDEX($L$20:$L$95,MATCH(LARGE($N$20:$N$95,38),$N$20:$N$95,0))),"")</f>
        <v/>
      </c>
      <c r="C57" s="291">
        <f>IFERROR(INDEX('계좌현황'!C:C,INDEX($L$20:$L$95,MATCH(LARGE($N$20:$N$95,38),$N$20:$N$95,0))),"")</f>
        <v/>
      </c>
      <c r="D57" s="291">
        <f>IFERROR(INDEX('계좌현황'!D:D,INDEX($L$20:$L$95,MATCH(LARGE($N$20:$N$95,38),$N$20:$N$95,0))),"")</f>
        <v/>
      </c>
      <c r="E57" s="291">
        <f>IFERROR(INDEX('계좌현황'!E:E,INDEX($L$20:$L$95,MATCH(LARGE($N$20:$N$95,38),$N$20:$N$95,0))),"")</f>
        <v/>
      </c>
      <c r="F57" s="318">
        <f>IFERROR(INDEX('계좌현황'!F:F,INDEX($L$20:$L$95,MATCH(LARGE($N$20:$N$95,38),$N$20:$N$95,0))),"")</f>
        <v/>
      </c>
      <c r="G57" s="319">
        <f>IFERROR(INDEX('계좌현황'!K:K,INDEX($L$20:$L$95,MATCH(LARGE($N$20:$N$95,38),$N$20:$N$95,0))),0)</f>
        <v/>
      </c>
      <c r="H57" s="320">
        <f>IF($B$3=0,0,G57/$B$3)</f>
        <v/>
      </c>
      <c r="I57" s="320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8" t="n">
        <v>39</v>
      </c>
      <c r="B58" s="288">
        <f>IFERROR(INDEX('계좌현황'!A:A,INDEX($L$20:$L$95,MATCH(LARGE($N$20:$N$95,39),$N$20:$N$95,0))),"")</f>
        <v/>
      </c>
      <c r="C58" s="288">
        <f>IFERROR(INDEX('계좌현황'!C:C,INDEX($L$20:$L$95,MATCH(LARGE($N$20:$N$95,39),$N$20:$N$95,0))),"")</f>
        <v/>
      </c>
      <c r="D58" s="288">
        <f>IFERROR(INDEX('계좌현황'!D:D,INDEX($L$20:$L$95,MATCH(LARGE($N$20:$N$95,39),$N$20:$N$95,0))),"")</f>
        <v/>
      </c>
      <c r="E58" s="288">
        <f>IFERROR(INDEX('계좌현황'!E:E,INDEX($L$20:$L$95,MATCH(LARGE($N$20:$N$95,39),$N$20:$N$95,0))),"")</f>
        <v/>
      </c>
      <c r="F58" s="315">
        <f>IFERROR(INDEX('계좌현황'!F:F,INDEX($L$20:$L$95,MATCH(LARGE($N$20:$N$95,39),$N$20:$N$95,0))),"")</f>
        <v/>
      </c>
      <c r="G58" s="316">
        <f>IFERROR(INDEX('계좌현황'!K:K,INDEX($L$20:$L$95,MATCH(LARGE($N$20:$N$95,39),$N$20:$N$95,0))),0)</f>
        <v/>
      </c>
      <c r="H58" s="317">
        <f>IF($B$3=0,0,G58/$B$3)</f>
        <v/>
      </c>
      <c r="I58" s="317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8" t="n">
        <v>40</v>
      </c>
      <c r="B59" s="288">
        <f>IFERROR(INDEX('계좌현황'!A:A,INDEX($L$20:$L$95,MATCH(LARGE($N$20:$N$95,40),$N$20:$N$95,0))),"")</f>
        <v/>
      </c>
      <c r="C59" s="288">
        <f>IFERROR(INDEX('계좌현황'!C:C,INDEX($L$20:$L$95,MATCH(LARGE($N$20:$N$95,40),$N$20:$N$95,0))),"")</f>
        <v/>
      </c>
      <c r="D59" s="288">
        <f>IFERROR(INDEX('계좌현황'!D:D,INDEX($L$20:$L$95,MATCH(LARGE($N$20:$N$95,40),$N$20:$N$95,0))),"")</f>
        <v/>
      </c>
      <c r="E59" s="288">
        <f>IFERROR(INDEX('계좌현황'!E:E,INDEX($L$20:$L$95,MATCH(LARGE($N$20:$N$95,40),$N$20:$N$95,0))),"")</f>
        <v/>
      </c>
      <c r="F59" s="315">
        <f>IFERROR(INDEX('계좌현황'!F:F,INDEX($L$20:$L$95,MATCH(LARGE($N$20:$N$95,40),$N$20:$N$95,0))),"")</f>
        <v/>
      </c>
      <c r="G59" s="316">
        <f>IFERROR(INDEX('계좌현황'!K:K,INDEX($L$20:$L$95,MATCH(LARGE($N$20:$N$95,40),$N$20:$N$95,0))),0)</f>
        <v/>
      </c>
      <c r="H59" s="317">
        <f>IF($B$3=0,0,G59/$B$3)</f>
        <v/>
      </c>
      <c r="I59" s="317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8" t="n">
        <v>41</v>
      </c>
      <c r="B60" s="288">
        <f>IFERROR(INDEX('계좌현황'!A:A,INDEX($L$20:$L$95,MATCH(LARGE($N$20:$N$95,41),$N$20:$N$95,0))),"")</f>
        <v/>
      </c>
      <c r="C60" s="288">
        <f>IFERROR(INDEX('계좌현황'!C:C,INDEX($L$20:$L$95,MATCH(LARGE($N$20:$N$95,41),$N$20:$N$95,0))),"")</f>
        <v/>
      </c>
      <c r="D60" s="288">
        <f>IFERROR(INDEX('계좌현황'!D:D,INDEX($L$20:$L$95,MATCH(LARGE($N$20:$N$95,41),$N$20:$N$95,0))),"")</f>
        <v/>
      </c>
      <c r="E60" s="288">
        <f>IFERROR(INDEX('계좌현황'!E:E,INDEX($L$20:$L$95,MATCH(LARGE($N$20:$N$95,41),$N$20:$N$95,0))),"")</f>
        <v/>
      </c>
      <c r="F60" s="315">
        <f>IFERROR(INDEX('계좌현황'!F:F,INDEX($L$20:$L$95,MATCH(LARGE($N$20:$N$95,41),$N$20:$N$95,0))),"")</f>
        <v/>
      </c>
      <c r="G60" s="316">
        <f>IFERROR(INDEX('계좌현황'!K:K,INDEX($L$20:$L$95,MATCH(LARGE($N$20:$N$95,41),$N$20:$N$95,0))),0)</f>
        <v/>
      </c>
      <c r="H60" s="317">
        <f>IF($B$3=0,0,G60/$B$3)</f>
        <v/>
      </c>
      <c r="I60" s="317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91" t="n">
        <v>42</v>
      </c>
      <c r="B61" s="291">
        <f>IFERROR(INDEX('계좌현황'!A:A,INDEX($L$20:$L$95,MATCH(LARGE($N$20:$N$95,42),$N$20:$N$95,0))),"")</f>
        <v/>
      </c>
      <c r="C61" s="291">
        <f>IFERROR(INDEX('계좌현황'!C:C,INDEX($L$20:$L$95,MATCH(LARGE($N$20:$N$95,42),$N$20:$N$95,0))),"")</f>
        <v/>
      </c>
      <c r="D61" s="291">
        <f>IFERROR(INDEX('계좌현황'!D:D,INDEX($L$20:$L$95,MATCH(LARGE($N$20:$N$95,42),$N$20:$N$95,0))),"")</f>
        <v/>
      </c>
      <c r="E61" s="291">
        <f>IFERROR(INDEX('계좌현황'!E:E,INDEX($L$20:$L$95,MATCH(LARGE($N$20:$N$95,42),$N$20:$N$95,0))),"")</f>
        <v/>
      </c>
      <c r="F61" s="318">
        <f>IFERROR(INDEX('계좌현황'!F:F,INDEX($L$20:$L$95,MATCH(LARGE($N$20:$N$95,42),$N$20:$N$95,0))),"")</f>
        <v/>
      </c>
      <c r="G61" s="319">
        <f>IFERROR(INDEX('계좌현황'!K:K,INDEX($L$20:$L$95,MATCH(LARGE($N$20:$N$95,42),$N$20:$N$95,0))),0)</f>
        <v/>
      </c>
      <c r="H61" s="320">
        <f>IF($B$3=0,0,G61/$B$3)</f>
        <v/>
      </c>
      <c r="I61" s="320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8" t="n">
        <v>43</v>
      </c>
      <c r="B62" s="288">
        <f>IFERROR(INDEX('계좌현황'!A:A,INDEX($L$20:$L$95,MATCH(LARGE($N$20:$N$95,43),$N$20:$N$95,0))),"")</f>
        <v/>
      </c>
      <c r="C62" s="288">
        <f>IFERROR(INDEX('계좌현황'!C:C,INDEX($L$20:$L$95,MATCH(LARGE($N$20:$N$95,43),$N$20:$N$95,0))),"")</f>
        <v/>
      </c>
      <c r="D62" s="288">
        <f>IFERROR(INDEX('계좌현황'!D:D,INDEX($L$20:$L$95,MATCH(LARGE($N$20:$N$95,43),$N$20:$N$95,0))),"")</f>
        <v/>
      </c>
      <c r="E62" s="288">
        <f>IFERROR(INDEX('계좌현황'!E:E,INDEX($L$20:$L$95,MATCH(LARGE($N$20:$N$95,43),$N$20:$N$95,0))),"")</f>
        <v/>
      </c>
      <c r="F62" s="315">
        <f>IFERROR(INDEX('계좌현황'!F:F,INDEX($L$20:$L$95,MATCH(LARGE($N$20:$N$95,43),$N$20:$N$95,0))),"")</f>
        <v/>
      </c>
      <c r="G62" s="316">
        <f>IFERROR(INDEX('계좌현황'!K:K,INDEX($L$20:$L$95,MATCH(LARGE($N$20:$N$95,43),$N$20:$N$95,0))),0)</f>
        <v/>
      </c>
      <c r="H62" s="317">
        <f>IF($B$3=0,0,G62/$B$3)</f>
        <v/>
      </c>
      <c r="I62" s="317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91" t="n">
        <v>44</v>
      </c>
      <c r="B63" s="291">
        <f>IFERROR(INDEX('계좌현황'!A:A,INDEX($L$20:$L$95,MATCH(LARGE($N$20:$N$95,44),$N$20:$N$95,0))),"")</f>
        <v/>
      </c>
      <c r="C63" s="291">
        <f>IFERROR(INDEX('계좌현황'!C:C,INDEX($L$20:$L$95,MATCH(LARGE($N$20:$N$95,44),$N$20:$N$95,0))),"")</f>
        <v/>
      </c>
      <c r="D63" s="291">
        <f>IFERROR(INDEX('계좌현황'!D:D,INDEX($L$20:$L$95,MATCH(LARGE($N$20:$N$95,44),$N$20:$N$95,0))),"")</f>
        <v/>
      </c>
      <c r="E63" s="291">
        <f>IFERROR(INDEX('계좌현황'!E:E,INDEX($L$20:$L$95,MATCH(LARGE($N$20:$N$95,44),$N$20:$N$95,0))),"")</f>
        <v/>
      </c>
      <c r="F63" s="318">
        <f>IFERROR(INDEX('계좌현황'!F:F,INDEX($L$20:$L$95,MATCH(LARGE($N$20:$N$95,44),$N$20:$N$95,0))),"")</f>
        <v/>
      </c>
      <c r="G63" s="319">
        <f>IFERROR(INDEX('계좌현황'!K:K,INDEX($L$20:$L$95,MATCH(LARGE($N$20:$N$95,44),$N$20:$N$95,0))),0)</f>
        <v/>
      </c>
      <c r="H63" s="320">
        <f>IF($B$3=0,0,G63/$B$3)</f>
        <v/>
      </c>
      <c r="I63" s="320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91" t="n">
        <v>45</v>
      </c>
      <c r="B64" s="291">
        <f>IFERROR(INDEX('계좌현황'!A:A,INDEX($L$20:$L$95,MATCH(LARGE($N$20:$N$95,45),$N$20:$N$95,0))),"")</f>
        <v/>
      </c>
      <c r="C64" s="291">
        <f>IFERROR(INDEX('계좌현황'!C:C,INDEX($L$20:$L$95,MATCH(LARGE($N$20:$N$95,45),$N$20:$N$95,0))),"")</f>
        <v/>
      </c>
      <c r="D64" s="291">
        <f>IFERROR(INDEX('계좌현황'!D:D,INDEX($L$20:$L$95,MATCH(LARGE($N$20:$N$95,45),$N$20:$N$95,0))),"")</f>
        <v/>
      </c>
      <c r="E64" s="291">
        <f>IFERROR(INDEX('계좌현황'!E:E,INDEX($L$20:$L$95,MATCH(LARGE($N$20:$N$95,45),$N$20:$N$95,0))),"")</f>
        <v/>
      </c>
      <c r="F64" s="318">
        <f>IFERROR(INDEX('계좌현황'!F:F,INDEX($L$20:$L$95,MATCH(LARGE($N$20:$N$95,45),$N$20:$N$95,0))),"")</f>
        <v/>
      </c>
      <c r="G64" s="319">
        <f>IFERROR(INDEX('계좌현황'!K:K,INDEX($L$20:$L$95,MATCH(LARGE($N$20:$N$95,45),$N$20:$N$95,0))),0)</f>
        <v/>
      </c>
      <c r="H64" s="320">
        <f>IF($B$3=0,0,G64/$B$3)</f>
        <v/>
      </c>
      <c r="I64" s="320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91" t="n">
        <v>46</v>
      </c>
      <c r="B65" s="291">
        <f>IFERROR(INDEX('계좌현황'!A:A,INDEX($L$20:$L$95,MATCH(LARGE($N$20:$N$95,46),$N$20:$N$95,0))),"")</f>
        <v/>
      </c>
      <c r="C65" s="291">
        <f>IFERROR(INDEX('계좌현황'!C:C,INDEX($L$20:$L$95,MATCH(LARGE($N$20:$N$95,46),$N$20:$N$95,0))),"")</f>
        <v/>
      </c>
      <c r="D65" s="291">
        <f>IFERROR(INDEX('계좌현황'!D:D,INDEX($L$20:$L$95,MATCH(LARGE($N$20:$N$95,46),$N$20:$N$95,0))),"")</f>
        <v/>
      </c>
      <c r="E65" s="291">
        <f>IFERROR(INDEX('계좌현황'!E:E,INDEX($L$20:$L$95,MATCH(LARGE($N$20:$N$95,46),$N$20:$N$95,0))),"")</f>
        <v/>
      </c>
      <c r="F65" s="318">
        <f>IFERROR(INDEX('계좌현황'!F:F,INDEX($L$20:$L$95,MATCH(LARGE($N$20:$N$95,46),$N$20:$N$95,0))),"")</f>
        <v/>
      </c>
      <c r="G65" s="319">
        <f>IFERROR(INDEX('계좌현황'!K:K,INDEX($L$20:$L$95,MATCH(LARGE($N$20:$N$95,46),$N$20:$N$95,0))),0)</f>
        <v/>
      </c>
      <c r="H65" s="320">
        <f>IF($B$3=0,0,G65/$B$3)</f>
        <v/>
      </c>
      <c r="I65" s="320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91" t="n">
        <v>47</v>
      </c>
      <c r="B66" s="291">
        <f>IFERROR(INDEX('계좌현황'!A:A,INDEX($L$20:$L$95,MATCH(LARGE($N$20:$N$95,47),$N$20:$N$95,0))),"")</f>
        <v/>
      </c>
      <c r="C66" s="291">
        <f>IFERROR(INDEX('계좌현황'!C:C,INDEX($L$20:$L$95,MATCH(LARGE($N$20:$N$95,47),$N$20:$N$95,0))),"")</f>
        <v/>
      </c>
      <c r="D66" s="291">
        <f>IFERROR(INDEX('계좌현황'!D:D,INDEX($L$20:$L$95,MATCH(LARGE($N$20:$N$95,47),$N$20:$N$95,0))),"")</f>
        <v/>
      </c>
      <c r="E66" s="291">
        <f>IFERROR(INDEX('계좌현황'!E:E,INDEX($L$20:$L$95,MATCH(LARGE($N$20:$N$95,47),$N$20:$N$95,0))),"")</f>
        <v/>
      </c>
      <c r="F66" s="318">
        <f>IFERROR(INDEX('계좌현황'!F:F,INDEX($L$20:$L$95,MATCH(LARGE($N$20:$N$95,47),$N$20:$N$95,0))),"")</f>
        <v/>
      </c>
      <c r="G66" s="319">
        <f>IFERROR(INDEX('계좌현황'!K:K,INDEX($L$20:$L$95,MATCH(LARGE($N$20:$N$95,47),$N$20:$N$95,0))),0)</f>
        <v/>
      </c>
      <c r="H66" s="320">
        <f>IF($B$3=0,0,G66/$B$3)</f>
        <v/>
      </c>
      <c r="I66" s="320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91" t="n">
        <v>48</v>
      </c>
      <c r="B67" s="291">
        <f>IFERROR(INDEX('계좌현황'!A:A,INDEX($L$20:$L$95,MATCH(LARGE($N$20:$N$95,48),$N$20:$N$95,0))),"")</f>
        <v/>
      </c>
      <c r="C67" s="291">
        <f>IFERROR(INDEX('계좌현황'!C:C,INDEX($L$20:$L$95,MATCH(LARGE($N$20:$N$95,48),$N$20:$N$95,0))),"")</f>
        <v/>
      </c>
      <c r="D67" s="291">
        <f>IFERROR(INDEX('계좌현황'!D:D,INDEX($L$20:$L$95,MATCH(LARGE($N$20:$N$95,48),$N$20:$N$95,0))),"")</f>
        <v/>
      </c>
      <c r="E67" s="291">
        <f>IFERROR(INDEX('계좌현황'!E:E,INDEX($L$20:$L$95,MATCH(LARGE($N$20:$N$95,48),$N$20:$N$95,0))),"")</f>
        <v/>
      </c>
      <c r="F67" s="318">
        <f>IFERROR(INDEX('계좌현황'!F:F,INDEX($L$20:$L$95,MATCH(LARGE($N$20:$N$95,48),$N$20:$N$95,0))),"")</f>
        <v/>
      </c>
      <c r="G67" s="319">
        <f>IFERROR(INDEX('계좌현황'!K:K,INDEX($L$20:$L$95,MATCH(LARGE($N$20:$N$95,48),$N$20:$N$95,0))),0)</f>
        <v/>
      </c>
      <c r="H67" s="320">
        <f>IF($B$3=0,0,G67/$B$3)</f>
        <v/>
      </c>
      <c r="I67" s="320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91" t="n">
        <v>49</v>
      </c>
      <c r="B68" s="291">
        <f>IFERROR(INDEX('계좌현황'!A:A,INDEX($L$20:$L$95,MATCH(LARGE($N$20:$N$95,49),$N$20:$N$95,0))),"")</f>
        <v/>
      </c>
      <c r="C68" s="291">
        <f>IFERROR(INDEX('계좌현황'!C:C,INDEX($L$20:$L$95,MATCH(LARGE($N$20:$N$95,49),$N$20:$N$95,0))),"")</f>
        <v/>
      </c>
      <c r="D68" s="291">
        <f>IFERROR(INDEX('계좌현황'!D:D,INDEX($L$20:$L$95,MATCH(LARGE($N$20:$N$95,49),$N$20:$N$95,0))),"")</f>
        <v/>
      </c>
      <c r="E68" s="291">
        <f>IFERROR(INDEX('계좌현황'!E:E,INDEX($L$20:$L$95,MATCH(LARGE($N$20:$N$95,49),$N$20:$N$95,0))),"")</f>
        <v/>
      </c>
      <c r="F68" s="318">
        <f>IFERROR(INDEX('계좌현황'!F:F,INDEX($L$20:$L$95,MATCH(LARGE($N$20:$N$95,49),$N$20:$N$95,0))),"")</f>
        <v/>
      </c>
      <c r="G68" s="319">
        <f>IFERROR(INDEX('계좌현황'!K:K,INDEX($L$20:$L$95,MATCH(LARGE($N$20:$N$95,49),$N$20:$N$95,0))),0)</f>
        <v/>
      </c>
      <c r="H68" s="320">
        <f>IF($B$3=0,0,G68/$B$3)</f>
        <v/>
      </c>
      <c r="I68" s="320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8" t="n">
        <v>50</v>
      </c>
      <c r="B69" s="288">
        <f>IFERROR(INDEX('계좌현황'!A:A,INDEX($L$20:$L$95,MATCH(LARGE($N$20:$N$95,50),$N$20:$N$95,0))),"")</f>
        <v/>
      </c>
      <c r="C69" s="288">
        <f>IFERROR(INDEX('계좌현황'!C:C,INDEX($L$20:$L$95,MATCH(LARGE($N$20:$N$95,50),$N$20:$N$95,0))),"")</f>
        <v/>
      </c>
      <c r="D69" s="288">
        <f>IFERROR(INDEX('계좌현황'!D:D,INDEX($L$20:$L$95,MATCH(LARGE($N$20:$N$95,50),$N$20:$N$95,0))),"")</f>
        <v/>
      </c>
      <c r="E69" s="288">
        <f>IFERROR(INDEX('계좌현황'!E:E,INDEX($L$20:$L$95,MATCH(LARGE($N$20:$N$95,50),$N$20:$N$95,0))),"")</f>
        <v/>
      </c>
      <c r="F69" s="315">
        <f>IFERROR(INDEX('계좌현황'!F:F,INDEX($L$20:$L$95,MATCH(LARGE($N$20:$N$95,50),$N$20:$N$95,0))),"")</f>
        <v/>
      </c>
      <c r="G69" s="316">
        <f>IFERROR(INDEX('계좌현황'!K:K,INDEX($L$20:$L$95,MATCH(LARGE($N$20:$N$95,50),$N$20:$N$95,0))),0)</f>
        <v/>
      </c>
      <c r="H69" s="317">
        <f>IF($B$3=0,0,G69/$B$3)</f>
        <v/>
      </c>
      <c r="I69" s="317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8" t="n">
        <v>51</v>
      </c>
      <c r="B70" s="288">
        <f>IFERROR(INDEX('계좌현황'!A:A,INDEX($L$20:$L$95,MATCH(LARGE($N$20:$N$95,51),$N$20:$N$95,0))),"")</f>
        <v/>
      </c>
      <c r="C70" s="288">
        <f>IFERROR(INDEX('계좌현황'!C:C,INDEX($L$20:$L$95,MATCH(LARGE($N$20:$N$95,51),$N$20:$N$95,0))),"")</f>
        <v/>
      </c>
      <c r="D70" s="288">
        <f>IFERROR(INDEX('계좌현황'!D:D,INDEX($L$20:$L$95,MATCH(LARGE($N$20:$N$95,51),$N$20:$N$95,0))),"")</f>
        <v/>
      </c>
      <c r="E70" s="288">
        <f>IFERROR(INDEX('계좌현황'!E:E,INDEX($L$20:$L$95,MATCH(LARGE($N$20:$N$95,51),$N$20:$N$95,0))),"")</f>
        <v/>
      </c>
      <c r="F70" s="315">
        <f>IFERROR(INDEX('계좌현황'!F:F,INDEX($L$20:$L$95,MATCH(LARGE($N$20:$N$95,51),$N$20:$N$95,0))),"")</f>
        <v/>
      </c>
      <c r="G70" s="316">
        <f>IFERROR(INDEX('계좌현황'!K:K,INDEX($L$20:$L$95,MATCH(LARGE($N$20:$N$95,51),$N$20:$N$95,0))),0)</f>
        <v/>
      </c>
      <c r="H70" s="317">
        <f>IF($B$3=0,0,G70/$B$3)</f>
        <v/>
      </c>
      <c r="I70" s="317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91" t="n">
        <v>52</v>
      </c>
      <c r="B71" s="291">
        <f>IFERROR(INDEX('계좌현황'!A:A,INDEX($L$20:$L$95,MATCH(LARGE($N$20:$N$95,52),$N$20:$N$95,0))),"")</f>
        <v/>
      </c>
      <c r="C71" s="291">
        <f>IFERROR(INDEX('계좌현황'!C:C,INDEX($L$20:$L$95,MATCH(LARGE($N$20:$N$95,52),$N$20:$N$95,0))),"")</f>
        <v/>
      </c>
      <c r="D71" s="291">
        <f>IFERROR(INDEX('계좌현황'!D:D,INDEX($L$20:$L$95,MATCH(LARGE($N$20:$N$95,52),$N$20:$N$95,0))),"")</f>
        <v/>
      </c>
      <c r="E71" s="291">
        <f>IFERROR(INDEX('계좌현황'!E:E,INDEX($L$20:$L$95,MATCH(LARGE($N$20:$N$95,52),$N$20:$N$95,0))),"")</f>
        <v/>
      </c>
      <c r="F71" s="318">
        <f>IFERROR(INDEX('계좌현황'!F:F,INDEX($L$20:$L$95,MATCH(LARGE($N$20:$N$95,52),$N$20:$N$95,0))),"")</f>
        <v/>
      </c>
      <c r="G71" s="319">
        <f>IFERROR(INDEX('계좌현황'!K:K,INDEX($L$20:$L$95,MATCH(LARGE($N$20:$N$95,52),$N$20:$N$95,0))),0)</f>
        <v/>
      </c>
      <c r="H71" s="320">
        <f>IF($B$3=0,0,G71/$B$3)</f>
        <v/>
      </c>
      <c r="I71" s="320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91" t="n">
        <v>53</v>
      </c>
      <c r="B72" s="291">
        <f>IFERROR(INDEX('계좌현황'!A:A,INDEX($L$20:$L$95,MATCH(LARGE($N$20:$N$95,53),$N$20:$N$95,0))),"")</f>
        <v/>
      </c>
      <c r="C72" s="291">
        <f>IFERROR(INDEX('계좌현황'!C:C,INDEX($L$20:$L$95,MATCH(LARGE($N$20:$N$95,53),$N$20:$N$95,0))),"")</f>
        <v/>
      </c>
      <c r="D72" s="291">
        <f>IFERROR(INDEX('계좌현황'!D:D,INDEX($L$20:$L$95,MATCH(LARGE($N$20:$N$95,53),$N$20:$N$95,0))),"")</f>
        <v/>
      </c>
      <c r="E72" s="291">
        <f>IFERROR(INDEX('계좌현황'!E:E,INDEX($L$20:$L$95,MATCH(LARGE($N$20:$N$95,53),$N$20:$N$95,0))),"")</f>
        <v/>
      </c>
      <c r="F72" s="318">
        <f>IFERROR(INDEX('계좌현황'!F:F,INDEX($L$20:$L$95,MATCH(LARGE($N$20:$N$95,53),$N$20:$N$95,0))),"")</f>
        <v/>
      </c>
      <c r="G72" s="319">
        <f>IFERROR(INDEX('계좌현황'!K:K,INDEX($L$20:$L$95,MATCH(LARGE($N$20:$N$95,53),$N$20:$N$95,0))),0)</f>
        <v/>
      </c>
      <c r="H72" s="320">
        <f>IF($B$3=0,0,G72/$B$3)</f>
        <v/>
      </c>
      <c r="I72" s="320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91" t="n">
        <v>54</v>
      </c>
      <c r="B73" s="291">
        <f>IFERROR(INDEX('계좌현황'!A:A,INDEX($L$20:$L$95,MATCH(LARGE($N$20:$N$95,54),$N$20:$N$95,0))),"")</f>
        <v/>
      </c>
      <c r="C73" s="291">
        <f>IFERROR(INDEX('계좌현황'!C:C,INDEX($L$20:$L$95,MATCH(LARGE($N$20:$N$95,54),$N$20:$N$95,0))),"")</f>
        <v/>
      </c>
      <c r="D73" s="291">
        <f>IFERROR(INDEX('계좌현황'!D:D,INDEX($L$20:$L$95,MATCH(LARGE($N$20:$N$95,54),$N$20:$N$95,0))),"")</f>
        <v/>
      </c>
      <c r="E73" s="291">
        <f>IFERROR(INDEX('계좌현황'!E:E,INDEX($L$20:$L$95,MATCH(LARGE($N$20:$N$95,54),$N$20:$N$95,0))),"")</f>
        <v/>
      </c>
      <c r="F73" s="318">
        <f>IFERROR(INDEX('계좌현황'!F:F,INDEX($L$20:$L$95,MATCH(LARGE($N$20:$N$95,54),$N$20:$N$95,0))),"")</f>
        <v/>
      </c>
      <c r="G73" s="319">
        <f>IFERROR(INDEX('계좌현황'!K:K,INDEX($L$20:$L$95,MATCH(LARGE($N$20:$N$95,54),$N$20:$N$95,0))),0)</f>
        <v/>
      </c>
      <c r="H73" s="320">
        <f>IF($B$3=0,0,G73/$B$3)</f>
        <v/>
      </c>
      <c r="I73" s="320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91" t="n">
        <v>55</v>
      </c>
      <c r="B74" s="291">
        <f>IFERROR(INDEX('계좌현황'!A:A,INDEX($L$20:$L$95,MATCH(LARGE($N$20:$N$95,55),$N$20:$N$95,0))),"")</f>
        <v/>
      </c>
      <c r="C74" s="291">
        <f>IFERROR(INDEX('계좌현황'!C:C,INDEX($L$20:$L$95,MATCH(LARGE($N$20:$N$95,55),$N$20:$N$95,0))),"")</f>
        <v/>
      </c>
      <c r="D74" s="291">
        <f>IFERROR(INDEX('계좌현황'!D:D,INDEX($L$20:$L$95,MATCH(LARGE($N$20:$N$95,55),$N$20:$N$95,0))),"")</f>
        <v/>
      </c>
      <c r="E74" s="291">
        <f>IFERROR(INDEX('계좌현황'!E:E,INDEX($L$20:$L$95,MATCH(LARGE($N$20:$N$95,55),$N$20:$N$95,0))),"")</f>
        <v/>
      </c>
      <c r="F74" s="318">
        <f>IFERROR(INDEX('계좌현황'!F:F,INDEX($L$20:$L$95,MATCH(LARGE($N$20:$N$95,55),$N$20:$N$95,0))),"")</f>
        <v/>
      </c>
      <c r="G74" s="319">
        <f>IFERROR(INDEX('계좌현황'!K:K,INDEX($L$20:$L$95,MATCH(LARGE($N$20:$N$95,55),$N$20:$N$95,0))),0)</f>
        <v/>
      </c>
      <c r="H74" s="320">
        <f>IF($B$3=0,0,G74/$B$3)</f>
        <v/>
      </c>
      <c r="I74" s="320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91" t="n">
        <v>56</v>
      </c>
      <c r="B75" s="291">
        <f>IFERROR(INDEX('계좌현황'!A:A,INDEX($L$20:$L$95,MATCH(LARGE($N$20:$N$95,56),$N$20:$N$95,0))),"")</f>
        <v/>
      </c>
      <c r="C75" s="291">
        <f>IFERROR(INDEX('계좌현황'!C:C,INDEX($L$20:$L$95,MATCH(LARGE($N$20:$N$95,56),$N$20:$N$95,0))),"")</f>
        <v/>
      </c>
      <c r="D75" s="291">
        <f>IFERROR(INDEX('계좌현황'!D:D,INDEX($L$20:$L$95,MATCH(LARGE($N$20:$N$95,56),$N$20:$N$95,0))),"")</f>
        <v/>
      </c>
      <c r="E75" s="291">
        <f>IFERROR(INDEX('계좌현황'!E:E,INDEX($L$20:$L$95,MATCH(LARGE($N$20:$N$95,56),$N$20:$N$95,0))),"")</f>
        <v/>
      </c>
      <c r="F75" s="318">
        <f>IFERROR(INDEX('계좌현황'!F:F,INDEX($L$20:$L$95,MATCH(LARGE($N$20:$N$95,56),$N$20:$N$95,0))),"")</f>
        <v/>
      </c>
      <c r="G75" s="319">
        <f>IFERROR(INDEX('계좌현황'!K:K,INDEX($L$20:$L$95,MATCH(LARGE($N$20:$N$95,56),$N$20:$N$95,0))),0)</f>
        <v/>
      </c>
      <c r="H75" s="320">
        <f>IF($B$3=0,0,G75/$B$3)</f>
        <v/>
      </c>
      <c r="I75" s="320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91" t="n">
        <v>57</v>
      </c>
      <c r="B76" s="291">
        <f>IFERROR(INDEX('계좌현황'!A:A,INDEX($L$20:$L$95,MATCH(LARGE($N$20:$N$95,57),$N$20:$N$95,0))),"")</f>
        <v/>
      </c>
      <c r="C76" s="291">
        <f>IFERROR(INDEX('계좌현황'!C:C,INDEX($L$20:$L$95,MATCH(LARGE($N$20:$N$95,57),$N$20:$N$95,0))),"")</f>
        <v/>
      </c>
      <c r="D76" s="291">
        <f>IFERROR(INDEX('계좌현황'!D:D,INDEX($L$20:$L$95,MATCH(LARGE($N$20:$N$95,57),$N$20:$N$95,0))),"")</f>
        <v/>
      </c>
      <c r="E76" s="291">
        <f>IFERROR(INDEX('계좌현황'!E:E,INDEX($L$20:$L$95,MATCH(LARGE($N$20:$N$95,57),$N$20:$N$95,0))),"")</f>
        <v/>
      </c>
      <c r="F76" s="318">
        <f>IFERROR(INDEX('계좌현황'!F:F,INDEX($L$20:$L$95,MATCH(LARGE($N$20:$N$95,57),$N$20:$N$95,0))),"")</f>
        <v/>
      </c>
      <c r="G76" s="319">
        <f>IFERROR(INDEX('계좌현황'!K:K,INDEX($L$20:$L$95,MATCH(LARGE($N$20:$N$95,57),$N$20:$N$95,0))),0)</f>
        <v/>
      </c>
      <c r="H76" s="320">
        <f>IF($B$3=0,0,G76/$B$3)</f>
        <v/>
      </c>
      <c r="I76" s="320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91" t="n">
        <v>58</v>
      </c>
      <c r="B77" s="291">
        <f>IFERROR(INDEX('계좌현황'!A:A,INDEX($L$20:$L$95,MATCH(LARGE($N$20:$N$95,58),$N$20:$N$95,0))),"")</f>
        <v/>
      </c>
      <c r="C77" s="291">
        <f>IFERROR(INDEX('계좌현황'!C:C,INDEX($L$20:$L$95,MATCH(LARGE($N$20:$N$95,58),$N$20:$N$95,0))),"")</f>
        <v/>
      </c>
      <c r="D77" s="291">
        <f>IFERROR(INDEX('계좌현황'!D:D,INDEX($L$20:$L$95,MATCH(LARGE($N$20:$N$95,58),$N$20:$N$95,0))),"")</f>
        <v/>
      </c>
      <c r="E77" s="291">
        <f>IFERROR(INDEX('계좌현황'!E:E,INDEX($L$20:$L$95,MATCH(LARGE($N$20:$N$95,58),$N$20:$N$95,0))),"")</f>
        <v/>
      </c>
      <c r="F77" s="318">
        <f>IFERROR(INDEX('계좌현황'!F:F,INDEX($L$20:$L$95,MATCH(LARGE($N$20:$N$95,58),$N$20:$N$95,0))),"")</f>
        <v/>
      </c>
      <c r="G77" s="319">
        <f>IFERROR(INDEX('계좌현황'!K:K,INDEX($L$20:$L$95,MATCH(LARGE($N$20:$N$95,58),$N$20:$N$95,0))),0)</f>
        <v/>
      </c>
      <c r="H77" s="320">
        <f>IF($B$3=0,0,G77/$B$3)</f>
        <v/>
      </c>
      <c r="I77" s="320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91" t="n">
        <v>59</v>
      </c>
      <c r="B78" s="291">
        <f>IFERROR(INDEX('계좌현황'!A:A,INDEX($L$20:$L$95,MATCH(LARGE($N$20:$N$95,59),$N$20:$N$95,0))),"")</f>
        <v/>
      </c>
      <c r="C78" s="291">
        <f>IFERROR(INDEX('계좌현황'!C:C,INDEX($L$20:$L$95,MATCH(LARGE($N$20:$N$95,59),$N$20:$N$95,0))),"")</f>
        <v/>
      </c>
      <c r="D78" s="291">
        <f>IFERROR(INDEX('계좌현황'!D:D,INDEX($L$20:$L$95,MATCH(LARGE($N$20:$N$95,59),$N$20:$N$95,0))),"")</f>
        <v/>
      </c>
      <c r="E78" s="291">
        <f>IFERROR(INDEX('계좌현황'!E:E,INDEX($L$20:$L$95,MATCH(LARGE($N$20:$N$95,59),$N$20:$N$95,0))),"")</f>
        <v/>
      </c>
      <c r="F78" s="318">
        <f>IFERROR(INDEX('계좌현황'!F:F,INDEX($L$20:$L$95,MATCH(LARGE($N$20:$N$95,59),$N$20:$N$95,0))),"")</f>
        <v/>
      </c>
      <c r="G78" s="319">
        <f>IFERROR(INDEX('계좌현황'!K:K,INDEX($L$20:$L$95,MATCH(LARGE($N$20:$N$95,59),$N$20:$N$95,0))),0)</f>
        <v/>
      </c>
      <c r="H78" s="320">
        <f>IF($B$3=0,0,G78/$B$3)</f>
        <v/>
      </c>
      <c r="I78" s="320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91" t="n">
        <v>60</v>
      </c>
      <c r="B79" s="291">
        <f>IFERROR(INDEX('계좌현황'!A:A,INDEX($L$20:$L$95,MATCH(LARGE($N$20:$N$95,60),$N$20:$N$95,0))),"")</f>
        <v/>
      </c>
      <c r="C79" s="291">
        <f>IFERROR(INDEX('계좌현황'!C:C,INDEX($L$20:$L$95,MATCH(LARGE($N$20:$N$95,60),$N$20:$N$95,0))),"")</f>
        <v/>
      </c>
      <c r="D79" s="291">
        <f>IFERROR(INDEX('계좌현황'!D:D,INDEX($L$20:$L$95,MATCH(LARGE($N$20:$N$95,60),$N$20:$N$95,0))),"")</f>
        <v/>
      </c>
      <c r="E79" s="291">
        <f>IFERROR(INDEX('계좌현황'!E:E,INDEX($L$20:$L$95,MATCH(LARGE($N$20:$N$95,60),$N$20:$N$95,0))),"")</f>
        <v/>
      </c>
      <c r="F79" s="318">
        <f>IFERROR(INDEX('계좌현황'!F:F,INDEX($L$20:$L$95,MATCH(LARGE($N$20:$N$95,60),$N$20:$N$95,0))),"")</f>
        <v/>
      </c>
      <c r="G79" s="319">
        <f>IFERROR(INDEX('계좌현황'!K:K,INDEX($L$20:$L$95,MATCH(LARGE($N$20:$N$95,60),$N$20:$N$95,0))),0)</f>
        <v/>
      </c>
      <c r="H79" s="320">
        <f>IF($B$3=0,0,G79/$B$3)</f>
        <v/>
      </c>
      <c r="I79" s="320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91" t="n">
        <v>61</v>
      </c>
      <c r="B80" s="291">
        <f>IFERROR(INDEX('계좌현황'!A:A,INDEX($L$20:$L$95,MATCH(LARGE($N$20:$N$95,61),$N$20:$N$95,0))),"")</f>
        <v/>
      </c>
      <c r="C80" s="291">
        <f>IFERROR(INDEX('계좌현황'!C:C,INDEX($L$20:$L$95,MATCH(LARGE($N$20:$N$95,61),$N$20:$N$95,0))),"")</f>
        <v/>
      </c>
      <c r="D80" s="291">
        <f>IFERROR(INDEX('계좌현황'!D:D,INDEX($L$20:$L$95,MATCH(LARGE($N$20:$N$95,61),$N$20:$N$95,0))),"")</f>
        <v/>
      </c>
      <c r="E80" s="291">
        <f>IFERROR(INDEX('계좌현황'!E:E,INDEX($L$20:$L$95,MATCH(LARGE($N$20:$N$95,61),$N$20:$N$95,0))),"")</f>
        <v/>
      </c>
      <c r="F80" s="318">
        <f>IFERROR(INDEX('계좌현황'!F:F,INDEX($L$20:$L$95,MATCH(LARGE($N$20:$N$95,61),$N$20:$N$95,0))),"")</f>
        <v/>
      </c>
      <c r="G80" s="319">
        <f>IFERROR(INDEX('계좌현황'!K:K,INDEX($L$20:$L$95,MATCH(LARGE($N$20:$N$95,61),$N$20:$N$95,0))),0)</f>
        <v/>
      </c>
      <c r="H80" s="320">
        <f>IF($B$3=0,0,G80/$B$3)</f>
        <v/>
      </c>
      <c r="I80" s="320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91" t="n">
        <v>62</v>
      </c>
      <c r="B81" s="291">
        <f>IFERROR(INDEX('계좌현황'!A:A,INDEX($L$20:$L$95,MATCH(LARGE($N$20:$N$95,62),$N$20:$N$95,0))),"")</f>
        <v/>
      </c>
      <c r="C81" s="291">
        <f>IFERROR(INDEX('계좌현황'!C:C,INDEX($L$20:$L$95,MATCH(LARGE($N$20:$N$95,62),$N$20:$N$95,0))),"")</f>
        <v/>
      </c>
      <c r="D81" s="291">
        <f>IFERROR(INDEX('계좌현황'!D:D,INDEX($L$20:$L$95,MATCH(LARGE($N$20:$N$95,62),$N$20:$N$95,0))),"")</f>
        <v/>
      </c>
      <c r="E81" s="291">
        <f>IFERROR(INDEX('계좌현황'!E:E,INDEX($L$20:$L$95,MATCH(LARGE($N$20:$N$95,62),$N$20:$N$95,0))),"")</f>
        <v/>
      </c>
      <c r="F81" s="318">
        <f>IFERROR(INDEX('계좌현황'!F:F,INDEX($L$20:$L$95,MATCH(LARGE($N$20:$N$95,62),$N$20:$N$95,0))),"")</f>
        <v/>
      </c>
      <c r="G81" s="319">
        <f>IFERROR(INDEX('계좌현황'!K:K,INDEX($L$20:$L$95,MATCH(LARGE($N$20:$N$95,62),$N$20:$N$95,0))),0)</f>
        <v/>
      </c>
      <c r="H81" s="320">
        <f>IF($B$3=0,0,G81/$B$3)</f>
        <v/>
      </c>
      <c r="I81" s="320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91" t="n">
        <v>63</v>
      </c>
      <c r="B82" s="291">
        <f>IFERROR(INDEX('계좌현황'!A:A,INDEX($L$20:$L$95,MATCH(LARGE($N$20:$N$95,63),$N$20:$N$95,0))),"")</f>
        <v/>
      </c>
      <c r="C82" s="291">
        <f>IFERROR(INDEX('계좌현황'!C:C,INDEX($L$20:$L$95,MATCH(LARGE($N$20:$N$95,63),$N$20:$N$95,0))),"")</f>
        <v/>
      </c>
      <c r="D82" s="291">
        <f>IFERROR(INDEX('계좌현황'!D:D,INDEX($L$20:$L$95,MATCH(LARGE($N$20:$N$95,63),$N$20:$N$95,0))),"")</f>
        <v/>
      </c>
      <c r="E82" s="291">
        <f>IFERROR(INDEX('계좌현황'!E:E,INDEX($L$20:$L$95,MATCH(LARGE($N$20:$N$95,63),$N$20:$N$95,0))),"")</f>
        <v/>
      </c>
      <c r="F82" s="318">
        <f>IFERROR(INDEX('계좌현황'!F:F,INDEX($L$20:$L$95,MATCH(LARGE($N$20:$N$95,63),$N$20:$N$95,0))),"")</f>
        <v/>
      </c>
      <c r="G82" s="319">
        <f>IFERROR(INDEX('계좌현황'!K:K,INDEX($L$20:$L$95,MATCH(LARGE($N$20:$N$95,63),$N$20:$N$95,0))),0)</f>
        <v/>
      </c>
      <c r="H82" s="320">
        <f>IF($B$3=0,0,G82/$B$3)</f>
        <v/>
      </c>
      <c r="I82" s="320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3" t="n">
        <v>64</v>
      </c>
      <c r="B83" s="303">
        <f>IFERROR(INDEX('계좌현황'!A:A,INDEX($L$20:$L$95,MATCH(LARGE($N$20:$N$95,64),$N$20:$N$95,0))),"")</f>
        <v/>
      </c>
      <c r="C83" s="303">
        <f>IFERROR(INDEX('계좌현황'!C:C,INDEX($L$20:$L$95,MATCH(LARGE($N$20:$N$95,64),$N$20:$N$95,0))),"")</f>
        <v/>
      </c>
      <c r="D83" s="303">
        <f>IFERROR(INDEX('계좌현황'!D:D,INDEX($L$20:$L$95,MATCH(LARGE($N$20:$N$95,64),$N$20:$N$95,0))),"")</f>
        <v/>
      </c>
      <c r="E83" s="303">
        <f>IFERROR(INDEX('계좌현황'!E:E,INDEX($L$20:$L$95,MATCH(LARGE($N$20:$N$95,64),$N$20:$N$95,0))),"")</f>
        <v/>
      </c>
      <c r="F83" s="327">
        <f>IFERROR(INDEX('계좌현황'!F:F,INDEX($L$20:$L$95,MATCH(LARGE($N$20:$N$95,64),$N$20:$N$95,0))),"")</f>
        <v/>
      </c>
      <c r="G83" s="328">
        <f>IFERROR(INDEX('계좌현황'!K:K,INDEX($L$20:$L$95,MATCH(LARGE($N$20:$N$95,64),$N$20:$N$95,0))),0)</f>
        <v/>
      </c>
      <c r="H83" s="329">
        <f>IF($B$3=0,0,G83/$B$3)</f>
        <v/>
      </c>
      <c r="I83" s="329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91" t="n">
        <v>65</v>
      </c>
      <c r="B84" s="291">
        <f>IFERROR(INDEX('계좌현황'!A:A,INDEX($L$20:$L$95,MATCH(LARGE($N$20:$N$95,65),$N$20:$N$95,0))),"")</f>
        <v/>
      </c>
      <c r="C84" s="291">
        <f>IFERROR(INDEX('계좌현황'!C:C,INDEX($L$20:$L$95,MATCH(LARGE($N$20:$N$95,65),$N$20:$N$95,0))),"")</f>
        <v/>
      </c>
      <c r="D84" s="291">
        <f>IFERROR(INDEX('계좌현황'!D:D,INDEX($L$20:$L$95,MATCH(LARGE($N$20:$N$95,65),$N$20:$N$95,0))),"")</f>
        <v/>
      </c>
      <c r="E84" s="291">
        <f>IFERROR(INDEX('계좌현황'!E:E,INDEX($L$20:$L$95,MATCH(LARGE($N$20:$N$95,65),$N$20:$N$95,0))),"")</f>
        <v/>
      </c>
      <c r="F84" s="318">
        <f>IFERROR(INDEX('계좌현황'!F:F,INDEX($L$20:$L$95,MATCH(LARGE($N$20:$N$95,65),$N$20:$N$95,0))),"")</f>
        <v/>
      </c>
      <c r="G84" s="319">
        <f>IFERROR(INDEX('계좌현황'!K:K,INDEX($L$20:$L$95,MATCH(LARGE($N$20:$N$95,65),$N$20:$N$95,0))),0)</f>
        <v/>
      </c>
      <c r="H84" s="320">
        <f>IF($B$3=0,0,G84/$B$3)</f>
        <v/>
      </c>
      <c r="I84" s="320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91" t="n">
        <v>66</v>
      </c>
      <c r="B85" s="291">
        <f>IFERROR(INDEX('계좌현황'!A:A,INDEX($L$20:$L$95,MATCH(LARGE($N$20:$N$95,66),$N$20:$N$95,0))),"")</f>
        <v/>
      </c>
      <c r="C85" s="291">
        <f>IFERROR(INDEX('계좌현황'!C:C,INDEX($L$20:$L$95,MATCH(LARGE($N$20:$N$95,66),$N$20:$N$95,0))),"")</f>
        <v/>
      </c>
      <c r="D85" s="291">
        <f>IFERROR(INDEX('계좌현황'!D:D,INDEX($L$20:$L$95,MATCH(LARGE($N$20:$N$95,66),$N$20:$N$95,0))),"")</f>
        <v/>
      </c>
      <c r="E85" s="291">
        <f>IFERROR(INDEX('계좌현황'!E:E,INDEX($L$20:$L$95,MATCH(LARGE($N$20:$N$95,66),$N$20:$N$95,0))),"")</f>
        <v/>
      </c>
      <c r="F85" s="318">
        <f>IFERROR(INDEX('계좌현황'!F:F,INDEX($L$20:$L$95,MATCH(LARGE($N$20:$N$95,66),$N$20:$N$95,0))),"")</f>
        <v/>
      </c>
      <c r="G85" s="319">
        <f>IFERROR(INDEX('계좌현황'!K:K,INDEX($L$20:$L$95,MATCH(LARGE($N$20:$N$95,66),$N$20:$N$95,0))),0)</f>
        <v/>
      </c>
      <c r="H85" s="320">
        <f>IF($B$3=0,0,G85/$B$3)</f>
        <v/>
      </c>
      <c r="I85" s="320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303" t="n">
        <v>67</v>
      </c>
      <c r="B86" s="303">
        <f>IFERROR(INDEX('계좌현황'!A:A,INDEX($L$20:$L$95,MATCH(LARGE($N$20:$N$95,67),$N$20:$N$95,0))),"")</f>
        <v/>
      </c>
      <c r="C86" s="303">
        <f>IFERROR(INDEX('계좌현황'!C:C,INDEX($L$20:$L$95,MATCH(LARGE($N$20:$N$95,67),$N$20:$N$95,0))),"")</f>
        <v/>
      </c>
      <c r="D86" s="303">
        <f>IFERROR(INDEX('계좌현황'!D:D,INDEX($L$20:$L$95,MATCH(LARGE($N$20:$N$95,67),$N$20:$N$95,0))),"")</f>
        <v/>
      </c>
      <c r="E86" s="303">
        <f>IFERROR(INDEX('계좌현황'!E:E,INDEX($L$20:$L$95,MATCH(LARGE($N$20:$N$95,67),$N$20:$N$95,0))),"")</f>
        <v/>
      </c>
      <c r="F86" s="327">
        <f>IFERROR(INDEX('계좌현황'!F:F,INDEX($L$20:$L$95,MATCH(LARGE($N$20:$N$95,67),$N$20:$N$95,0))),"")</f>
        <v/>
      </c>
      <c r="G86" s="328">
        <f>IFERROR(INDEX('계좌현황'!K:K,INDEX($L$20:$L$95,MATCH(LARGE($N$20:$N$95,67),$N$20:$N$95,0))),0)</f>
        <v/>
      </c>
      <c r="H86" s="329">
        <f>IF($B$3=0,0,G86/$B$3)</f>
        <v/>
      </c>
      <c r="I86" s="329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91" t="n">
        <v>68</v>
      </c>
      <c r="B87" s="291">
        <f>IFERROR(INDEX('계좌현황'!A:A,INDEX($L$20:$L$95,MATCH(LARGE($N$20:$N$95,68),$N$20:$N$95,0))),"")</f>
        <v/>
      </c>
      <c r="C87" s="291">
        <f>IFERROR(INDEX('계좌현황'!C:C,INDEX($L$20:$L$95,MATCH(LARGE($N$20:$N$95,68),$N$20:$N$95,0))),"")</f>
        <v/>
      </c>
      <c r="D87" s="291">
        <f>IFERROR(INDEX('계좌현황'!D:D,INDEX($L$20:$L$95,MATCH(LARGE($N$20:$N$95,68),$N$20:$N$95,0))),"")</f>
        <v/>
      </c>
      <c r="E87" s="291">
        <f>IFERROR(INDEX('계좌현황'!E:E,INDEX($L$20:$L$95,MATCH(LARGE($N$20:$N$95,68),$N$20:$N$95,0))),"")</f>
        <v/>
      </c>
      <c r="F87" s="318">
        <f>IFERROR(INDEX('계좌현황'!F:F,INDEX($L$20:$L$95,MATCH(LARGE($N$20:$N$95,68),$N$20:$N$95,0))),"")</f>
        <v/>
      </c>
      <c r="G87" s="319">
        <f>IFERROR(INDEX('계좌현황'!K:K,INDEX($L$20:$L$95,MATCH(LARGE($N$20:$N$95,68),$N$20:$N$95,0))),0)</f>
        <v/>
      </c>
      <c r="H87" s="320">
        <f>IF($B$3=0,0,G87/$B$3)</f>
        <v/>
      </c>
      <c r="I87" s="320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3" t="n">
        <v>69</v>
      </c>
      <c r="B88" s="303">
        <f>IFERROR(INDEX('계좌현황'!A:A,INDEX($L$20:$L$95,MATCH(LARGE($N$20:$N$95,69),$N$20:$N$95,0))),"")</f>
        <v/>
      </c>
      <c r="C88" s="303">
        <f>IFERROR(INDEX('계좌현황'!C:C,INDEX($L$20:$L$95,MATCH(LARGE($N$20:$N$95,69),$N$20:$N$95,0))),"")</f>
        <v/>
      </c>
      <c r="D88" s="303">
        <f>IFERROR(INDEX('계좌현황'!D:D,INDEX($L$20:$L$95,MATCH(LARGE($N$20:$N$95,69),$N$20:$N$95,0))),"")</f>
        <v/>
      </c>
      <c r="E88" s="303">
        <f>IFERROR(INDEX('계좌현황'!E:E,INDEX($L$20:$L$95,MATCH(LARGE($N$20:$N$95,69),$N$20:$N$95,0))),"")</f>
        <v/>
      </c>
      <c r="F88" s="327">
        <f>IFERROR(INDEX('계좌현황'!F:F,INDEX($L$20:$L$95,MATCH(LARGE($N$20:$N$95,69),$N$20:$N$95,0))),"")</f>
        <v/>
      </c>
      <c r="G88" s="328">
        <f>IFERROR(INDEX('계좌현황'!K:K,INDEX($L$20:$L$95,MATCH(LARGE($N$20:$N$95,69),$N$20:$N$95,0))),0)</f>
        <v/>
      </c>
      <c r="H88" s="329">
        <f>IF($B$3=0,0,G88/$B$3)</f>
        <v/>
      </c>
      <c r="I88" s="329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91" t="n">
        <v>70</v>
      </c>
      <c r="B89" s="291">
        <f>IFERROR(INDEX('계좌현황'!A:A,INDEX($L$20:$L$95,MATCH(LARGE($N$20:$N$95,70),$N$20:$N$95,0))),"")</f>
        <v/>
      </c>
      <c r="C89" s="291">
        <f>IFERROR(INDEX('계좌현황'!C:C,INDEX($L$20:$L$95,MATCH(LARGE($N$20:$N$95,70),$N$20:$N$95,0))),"")</f>
        <v/>
      </c>
      <c r="D89" s="291">
        <f>IFERROR(INDEX('계좌현황'!D:D,INDEX($L$20:$L$95,MATCH(LARGE($N$20:$N$95,70),$N$20:$N$95,0))),"")</f>
        <v/>
      </c>
      <c r="E89" s="291">
        <f>IFERROR(INDEX('계좌현황'!E:E,INDEX($L$20:$L$95,MATCH(LARGE($N$20:$N$95,70),$N$20:$N$95,0))),"")</f>
        <v/>
      </c>
      <c r="F89" s="318">
        <f>IFERROR(INDEX('계좌현황'!F:F,INDEX($L$20:$L$95,MATCH(LARGE($N$20:$N$95,70),$N$20:$N$95,0))),"")</f>
        <v/>
      </c>
      <c r="G89" s="319">
        <f>IFERROR(INDEX('계좌현황'!K:K,INDEX($L$20:$L$95,MATCH(LARGE($N$20:$N$95,70),$N$20:$N$95,0))),0)</f>
        <v/>
      </c>
      <c r="H89" s="320">
        <f>IF($B$3=0,0,G89/$B$3)</f>
        <v/>
      </c>
      <c r="I89" s="320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91" t="n">
        <v>71</v>
      </c>
      <c r="B90" s="291">
        <f>IFERROR(INDEX('계좌현황'!A:A,INDEX($L$20:$L$95,MATCH(LARGE($N$20:$N$95,71),$N$20:$N$95,0))),"")</f>
        <v/>
      </c>
      <c r="C90" s="291">
        <f>IFERROR(INDEX('계좌현황'!C:C,INDEX($L$20:$L$95,MATCH(LARGE($N$20:$N$95,71),$N$20:$N$95,0))),"")</f>
        <v/>
      </c>
      <c r="D90" s="291">
        <f>IFERROR(INDEX('계좌현황'!D:D,INDEX($L$20:$L$95,MATCH(LARGE($N$20:$N$95,71),$N$20:$N$95,0))),"")</f>
        <v/>
      </c>
      <c r="E90" s="291">
        <f>IFERROR(INDEX('계좌현황'!E:E,INDEX($L$20:$L$95,MATCH(LARGE($N$20:$N$95,71),$N$20:$N$95,0))),"")</f>
        <v/>
      </c>
      <c r="F90" s="318">
        <f>IFERROR(INDEX('계좌현황'!F:F,INDEX($L$20:$L$95,MATCH(LARGE($N$20:$N$95,71),$N$20:$N$95,0))),"")</f>
        <v/>
      </c>
      <c r="G90" s="319">
        <f>IFERROR(INDEX('계좌현황'!K:K,INDEX($L$20:$L$95,MATCH(LARGE($N$20:$N$95,71),$N$20:$N$95,0))),0)</f>
        <v/>
      </c>
      <c r="H90" s="320">
        <f>IF($B$3=0,0,G90/$B$3)</f>
        <v/>
      </c>
      <c r="I90" s="320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91" t="n">
        <v>72</v>
      </c>
      <c r="B91" s="291">
        <f>IFERROR(INDEX('계좌현황'!A:A,INDEX($L$20:$L$95,MATCH(LARGE($N$20:$N$95,72),$N$20:$N$95,0))),"")</f>
        <v/>
      </c>
      <c r="C91" s="291">
        <f>IFERROR(INDEX('계좌현황'!C:C,INDEX($L$20:$L$95,MATCH(LARGE($N$20:$N$95,72),$N$20:$N$95,0))),"")</f>
        <v/>
      </c>
      <c r="D91" s="291">
        <f>IFERROR(INDEX('계좌현황'!D:D,INDEX($L$20:$L$95,MATCH(LARGE($N$20:$N$95,72),$N$20:$N$95,0))),"")</f>
        <v/>
      </c>
      <c r="E91" s="291">
        <f>IFERROR(INDEX('계좌현황'!E:E,INDEX($L$20:$L$95,MATCH(LARGE($N$20:$N$95,72),$N$20:$N$95,0))),"")</f>
        <v/>
      </c>
      <c r="F91" s="318">
        <f>IFERROR(INDEX('계좌현황'!F:F,INDEX($L$20:$L$95,MATCH(LARGE($N$20:$N$95,72),$N$20:$N$95,0))),"")</f>
        <v/>
      </c>
      <c r="G91" s="319">
        <f>IFERROR(INDEX('계좌현황'!K:K,INDEX($L$20:$L$95,MATCH(LARGE($N$20:$N$95,72),$N$20:$N$95,0))),0)</f>
        <v/>
      </c>
      <c r="H91" s="320">
        <f>IF($B$3=0,0,G91/$B$3)</f>
        <v/>
      </c>
      <c r="I91" s="320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91" t="n">
        <v>73</v>
      </c>
      <c r="B92" s="291">
        <f>IFERROR(INDEX('계좌현황'!A:A,INDEX($L$20:$L$95,MATCH(LARGE($N$20:$N$95,73),$N$20:$N$95,0))),"")</f>
        <v/>
      </c>
      <c r="C92" s="291">
        <f>IFERROR(INDEX('계좌현황'!C:C,INDEX($L$20:$L$95,MATCH(LARGE($N$20:$N$95,73),$N$20:$N$95,0))),"")</f>
        <v/>
      </c>
      <c r="D92" s="291">
        <f>IFERROR(INDEX('계좌현황'!D:D,INDEX($L$20:$L$95,MATCH(LARGE($N$20:$N$95,73),$N$20:$N$95,0))),"")</f>
        <v/>
      </c>
      <c r="E92" s="291">
        <f>IFERROR(INDEX('계좌현황'!E:E,INDEX($L$20:$L$95,MATCH(LARGE($N$20:$N$95,73),$N$20:$N$95,0))),"")</f>
        <v/>
      </c>
      <c r="F92" s="318">
        <f>IFERROR(INDEX('계좌현황'!F:F,INDEX($L$20:$L$95,MATCH(LARGE($N$20:$N$95,73),$N$20:$N$95,0))),"")</f>
        <v/>
      </c>
      <c r="G92" s="319">
        <f>IFERROR(INDEX('계좌현황'!K:K,INDEX($L$20:$L$95,MATCH(LARGE($N$20:$N$95,73),$N$20:$N$95,0))),0)</f>
        <v/>
      </c>
      <c r="H92" s="320">
        <f>IF($B$3=0,0,G92/$B$3)</f>
        <v/>
      </c>
      <c r="I92" s="320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91" t="n">
        <v>74</v>
      </c>
      <c r="B93" s="291">
        <f>IFERROR(INDEX('계좌현황'!A:A,INDEX($L$20:$L$95,MATCH(LARGE($N$20:$N$95,74),$N$20:$N$95,0))),"")</f>
        <v/>
      </c>
      <c r="C93" s="291">
        <f>IFERROR(INDEX('계좌현황'!C:C,INDEX($L$20:$L$95,MATCH(LARGE($N$20:$N$95,74),$N$20:$N$95,0))),"")</f>
        <v/>
      </c>
      <c r="D93" s="291">
        <f>IFERROR(INDEX('계좌현황'!D:D,INDEX($L$20:$L$95,MATCH(LARGE($N$20:$N$95,74),$N$20:$N$95,0))),"")</f>
        <v/>
      </c>
      <c r="E93" s="291">
        <f>IFERROR(INDEX('계좌현황'!E:E,INDEX($L$20:$L$95,MATCH(LARGE($N$20:$N$95,74),$N$20:$N$95,0))),"")</f>
        <v/>
      </c>
      <c r="F93" s="318">
        <f>IFERROR(INDEX('계좌현황'!F:F,INDEX($L$20:$L$95,MATCH(LARGE($N$20:$N$95,74),$N$20:$N$95,0))),"")</f>
        <v/>
      </c>
      <c r="G93" s="319">
        <f>IFERROR(INDEX('계좌현황'!K:K,INDEX($L$20:$L$95,MATCH(LARGE($N$20:$N$95,74),$N$20:$N$95,0))),0)</f>
        <v/>
      </c>
      <c r="H93" s="320">
        <f>IF($B$3=0,0,G93/$B$3)</f>
        <v/>
      </c>
      <c r="I93" s="320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4" t="n">
        <v>75</v>
      </c>
      <c r="B94" s="294">
        <f>IFERROR(INDEX('계좌현황'!A:A,INDEX($L$20:$L$95,MATCH(LARGE($N$20:$N$95,75),$N$20:$N$95,0))),"")</f>
        <v/>
      </c>
      <c r="C94" s="294">
        <f>IFERROR(INDEX('계좌현황'!C:C,INDEX($L$20:$L$95,MATCH(LARGE($N$20:$N$95,75),$N$20:$N$95,0))),"")</f>
        <v/>
      </c>
      <c r="D94" s="294">
        <f>IFERROR(INDEX('계좌현황'!D:D,INDEX($L$20:$L$95,MATCH(LARGE($N$20:$N$95,75),$N$20:$N$95,0))),"")</f>
        <v/>
      </c>
      <c r="E94" s="294">
        <f>IFERROR(INDEX('계좌현황'!E:E,INDEX($L$20:$L$95,MATCH(LARGE($N$20:$N$95,75),$N$20:$N$95,0))),"")</f>
        <v/>
      </c>
      <c r="F94" s="330">
        <f>IFERROR(INDEX('계좌현황'!F:F,INDEX($L$20:$L$95,MATCH(LARGE($N$20:$N$95,75),$N$20:$N$95,0))),"")</f>
        <v/>
      </c>
      <c r="G94" s="331">
        <f>IFERROR(INDEX('계좌현황'!K:K,INDEX($L$20:$L$95,MATCH(LARGE($N$20:$N$95,75),$N$20:$N$95,0))),0)</f>
        <v/>
      </c>
      <c r="H94" s="332">
        <f>IF($B$3=0,0,G94/$B$3)</f>
        <v/>
      </c>
      <c r="I94" s="332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300" t="n">
        <v>76</v>
      </c>
      <c r="B95" s="300">
        <f>IFERROR(INDEX('계좌현황'!A:A,INDEX($L$20:$L$95,MATCH(LARGE($N$20:$N$95,76),$N$20:$N$95,0))),"")</f>
        <v/>
      </c>
      <c r="C95" s="300">
        <f>IFERROR(INDEX('계좌현황'!C:C,INDEX($L$20:$L$95,MATCH(LARGE($N$20:$N$95,76),$N$20:$N$95,0))),"")</f>
        <v/>
      </c>
      <c r="D95" s="300">
        <f>IFERROR(INDEX('계좌현황'!D:D,INDEX($L$20:$L$95,MATCH(LARGE($N$20:$N$95,76),$N$20:$N$95,0))),"")</f>
        <v/>
      </c>
      <c r="E95" s="300">
        <f>IFERROR(INDEX('계좌현황'!E:E,INDEX($L$20:$L$95,MATCH(LARGE($N$20:$N$95,76),$N$20:$N$95,0))),"")</f>
        <v/>
      </c>
      <c r="F95" s="333">
        <f>IFERROR(INDEX('계좌현황'!F:F,INDEX($L$20:$L$95,MATCH(LARGE($N$20:$N$95,76),$N$20:$N$95,0))),"")</f>
        <v/>
      </c>
      <c r="G95" s="334">
        <f>IFERROR(INDEX('계좌현황'!K:K,INDEX($L$20:$L$95,MATCH(LARGE($N$20:$N$95,76),$N$20:$N$95,0))),0)</f>
        <v/>
      </c>
      <c r="H95" s="335">
        <f>IF($B$3=0,0,G95/$B$3)</f>
        <v/>
      </c>
      <c r="I95" s="335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7" t="inlineStr">
        <is>
          <t>합계</t>
        </is>
      </c>
      <c r="G96" s="336">
        <f>SUM(G20:G95)</f>
        <v/>
      </c>
      <c r="H96" s="337">
        <f>SUM(H20:H95)</f>
        <v/>
      </c>
    </row>
    <row r="99">
      <c r="A99" s="274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5" min="1" max="1"/>
    <col outlineLevel="1" width="12.59765625" customWidth="1" style="205" min="2" max="5"/>
    <col outlineLevel="1" width="11.1328125" customWidth="1" style="205" min="6" max="6"/>
    <col width="15" customWidth="1" style="205" min="7" max="7"/>
    <col width="16.265625" customWidth="1" style="205" min="8" max="8"/>
    <col width="4.3984375" customWidth="1" style="205" min="14" max="16"/>
    <col outlineLevel="1" width="12.59765625" customWidth="1" style="205" min="21" max="33"/>
  </cols>
  <sheetData>
    <row r="1" ht="12.75" customHeight="1" s="205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</row>
    <row r="2" outlineLevel="1" ht="12.75" customHeight="1" s="205">
      <c r="A2" s="204" t="n"/>
      <c r="B2" s="204" t="n"/>
      <c r="C2" s="204" t="n"/>
      <c r="D2" s="204" t="n"/>
      <c r="E2" s="204" t="n"/>
      <c r="F2" s="204" t="n"/>
      <c r="G2" s="16" t="n"/>
      <c r="H2" s="251" t="n"/>
      <c r="I2" s="18" t="n"/>
      <c r="J2" s="18" t="n"/>
      <c r="K2" s="18" t="n"/>
      <c r="L2" s="18" t="n"/>
      <c r="M2" s="18" t="n"/>
      <c r="N2" s="204" t="n"/>
      <c r="O2" s="204" t="n"/>
      <c r="P2" s="204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4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4" t="n"/>
      <c r="Y2" s="204" t="n"/>
      <c r="Z2" s="204" t="n"/>
      <c r="AA2" s="204" t="n"/>
      <c r="AB2" s="204" t="n"/>
      <c r="AC2" s="204" t="n"/>
      <c r="AD2" s="204" t="n"/>
      <c r="AE2" s="204" t="n"/>
      <c r="AF2" s="204" t="n"/>
      <c r="AG2" s="204" t="n"/>
    </row>
    <row r="3" ht="24.75" customHeight="1" s="205">
      <c r="A3" s="204" t="n"/>
      <c r="B3" s="204" t="n"/>
      <c r="C3" s="204" t="n"/>
      <c r="D3" s="204" t="n"/>
      <c r="E3" s="204" t="n"/>
      <c r="F3" s="204" t="n"/>
      <c r="G3" s="201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4" t="n"/>
      <c r="O3" s="204" t="n"/>
      <c r="P3" s="204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4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5">
      <c r="A4" s="204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4">
        <f>"20"&amp;MID(G4,1,2)</f>
        <v/>
      </c>
      <c r="F4" s="204">
        <f>VLOOKUP(RIGHT(G4,2),인덱스!B:D,2,0)</f>
        <v/>
      </c>
      <c r="G4" s="46" t="n">
        <v>17.12</v>
      </c>
      <c r="H4" s="25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4" t="n"/>
      <c r="O4" s="204" t="n"/>
      <c r="P4" s="204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4" t="n"/>
      <c r="U4" s="253">
        <f t="array" ref="U4">IFERROR(INDEX(지수RAW!$AT$7:$AT$12040,MATCH($D4,지수RAW!$AP$7:$AP$12040,0)-1,1),지수RAW!$AU$4)</f>
        <v/>
      </c>
      <c r="V4" s="253">
        <f>IFERROR(__xludf.DUMMYFUNCTION("iferror(index('지수RAW'!$AL$7:$AL$12040,MATCH($D4,'지수RAW'!$AH$7:$AH$12040,0)-1,1),GOOGLEFINANCE(V$2))"),13880.99)</f>
        <v/>
      </c>
      <c r="W4" s="25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5">
      <c r="A5" s="204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4">
        <f>"20"&amp;B5</f>
        <v/>
      </c>
      <c r="F5" s="204">
        <f>C5&amp;"월"</f>
        <v/>
      </c>
      <c r="G5" s="33">
        <f>B5&amp;"."&amp;VLOOKUP(F5,인덱스!$A:$B,2,0)</f>
        <v/>
      </c>
      <c r="H5" s="25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4" t="n"/>
      <c r="O5" s="204" t="n"/>
      <c r="P5" s="204" t="n"/>
      <c r="Q5" s="8">
        <f>IFERROR(__xludf.DUMMYFUNCTION("iferror(index('지수RAW'!$V$7:$V$12040,MATCH($D5,'지수RAW'!$R$7:$R$12040,0)-1,1),GOOGLEFINANCE(Q$2))"),2566.46)</f>
        <v/>
      </c>
      <c r="R5" s="204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4" t="n"/>
      <c r="U5" s="253">
        <f t="array" ref="U5">IFERROR(INDEX(지수RAW!$AT$7:$AT$12040,MATCH($D5,지수RAW!$AP$7:$AP$12040,0)-1,1),지수RAW!$AU$4)</f>
        <v/>
      </c>
      <c r="V5" s="253">
        <f>IFERROR(__xludf.DUMMYFUNCTION("iferror(index('지수RAW'!$AL$7:$AL$12040,MATCH($D5,'지수RAW'!$AH$7:$AH$12040,0)-1,1),GOOGLEFINANCE(V$2))"),10022.51)</f>
        <v/>
      </c>
      <c r="W5" s="25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5">
      <c r="A6" s="204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4">
        <f>"20"&amp;B6</f>
        <v/>
      </c>
      <c r="F6" s="204">
        <f>C6&amp;"월"</f>
        <v/>
      </c>
      <c r="G6" s="37">
        <f>B6&amp;"."&amp;VLOOKUP(F6,인덱스!$A:$B,2,0)</f>
        <v/>
      </c>
      <c r="H6" s="25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4" t="n"/>
      <c r="O6" s="204" t="n"/>
      <c r="P6" s="204" t="n"/>
      <c r="Q6" s="8">
        <f>IFERROR(__xludf.DUMMYFUNCTION("iferror(index('지수RAW'!$V$7:$V$12040,MATCH($D6,'지수RAW'!$R$7:$R$12040,0)-1,1),GOOGLEFINANCE(Q$2))"),2427.36)</f>
        <v/>
      </c>
      <c r="R6" s="204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4" t="n"/>
      <c r="U6" s="253">
        <f t="array" ref="U6">IFERROR(INDEX(지수RAW!$AT$7:$AT$12040,MATCH($D6,지수RAW!$AP$7:$AP$12040,0)-1,1),지수RAW!$AU$4)</f>
        <v/>
      </c>
      <c r="V6" s="253">
        <f>IFERROR(__xludf.DUMMYFUNCTION("iferror(index('지수RAW'!$AL$7:$AL$12040,MATCH($D6,'지수RAW'!$AH$7:$AH$12040,0)-1,1),GOOGLEFINANCE(V$2))"),10542.55)</f>
        <v/>
      </c>
      <c r="W6" s="25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5">
      <c r="A7" s="204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4">
        <f>"20"&amp;B7</f>
        <v/>
      </c>
      <c r="F7" s="204">
        <f>C7&amp;"월"</f>
        <v/>
      </c>
      <c r="G7" s="37">
        <f>B7&amp;"."&amp;VLOOKUP(F7,인덱스!$A:$B,2,0)</f>
        <v/>
      </c>
      <c r="H7" s="25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4" t="n"/>
      <c r="O7" s="204" t="n"/>
      <c r="P7" s="204" t="n"/>
      <c r="Q7" s="8">
        <f>IFERROR(__xludf.DUMMYFUNCTION("iferror(index('지수RAW'!$V$7:$V$12040,MATCH($D7,'지수RAW'!$R$7:$R$12040,0)-1,1),GOOGLEFINANCE(Q$2))"),2445.85)</f>
        <v/>
      </c>
      <c r="R7" s="204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4" t="n"/>
      <c r="U7" s="253">
        <f t="array" ref="U7">IFERROR(INDEX(지수RAW!$AT$7:$AT$12040,MATCH($D7,지수RAW!$AP$7:$AP$12040,0)-1,1),지수RAW!$AU$4)</f>
        <v/>
      </c>
      <c r="V7" s="253">
        <f>IFERROR(__xludf.DUMMYFUNCTION("iferror(index('지수RAW'!$AL$7:$AL$12040,MATCH($D7,'지수RAW'!$AH$7:$AH$12040,0)-1,1),GOOGLEFINANCE(V$2))"),6927.08)</f>
        <v/>
      </c>
      <c r="W7" s="25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5">
      <c r="A8" s="204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4">
        <f>"20"&amp;B8</f>
        <v/>
      </c>
      <c r="F8" s="204">
        <f>C8&amp;"월"</f>
        <v/>
      </c>
      <c r="G8" s="37">
        <f>B8&amp;"."&amp;VLOOKUP(F8,인덱스!$A:$B,2,0)</f>
        <v/>
      </c>
      <c r="H8" s="25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4" t="n"/>
      <c r="O8" s="204" t="n"/>
      <c r="P8" s="204" t="n"/>
      <c r="Q8" s="8">
        <f>IFERROR(__xludf.DUMMYFUNCTION("iferror(index('지수RAW'!$V$7:$V$12040,MATCH($D8,'지수RAW'!$R$7:$R$12040,0)-1,1),GOOGLEFINANCE(Q$2))"),2515.38)</f>
        <v/>
      </c>
      <c r="R8" s="204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4" t="n"/>
      <c r="U8" s="253">
        <f t="array" ref="U8">IFERROR(INDEX(지수RAW!$AT$7:$AT$12040,MATCH($D8,지수RAW!$AP$7:$AP$12040,0)-1,1),지수RAW!$AU$4)</f>
        <v/>
      </c>
      <c r="V8" s="253">
        <f>IFERROR(__xludf.DUMMYFUNCTION("iferror(index('지수RAW'!$AL$7:$AL$12040,MATCH($D8,'지수RAW'!$AH$7:$AH$12040,0)-1,1),GOOGLEFINANCE(V$2))"),9231.28)</f>
        <v/>
      </c>
      <c r="W8" s="25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5">
      <c r="A9" s="204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4">
        <f>"20"&amp;B9</f>
        <v/>
      </c>
      <c r="F9" s="204">
        <f>C9&amp;"월"</f>
        <v/>
      </c>
      <c r="G9" s="37">
        <f>B9&amp;"."&amp;VLOOKUP(F9,인덱스!$A:$B,2,0)</f>
        <v/>
      </c>
      <c r="H9" s="25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4" t="n"/>
      <c r="O9" s="204" t="n"/>
      <c r="P9" s="204" t="n"/>
      <c r="Q9" s="8">
        <f>IFERROR(__xludf.DUMMYFUNCTION("iferror(index('지수RAW'!$V$7:$V$12040,MATCH($D9,'지수RAW'!$R$7:$R$12040,0)-1,1),GOOGLEFINANCE(Q$2))"),2423.01)</f>
        <v/>
      </c>
      <c r="R9" s="204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4" t="n"/>
      <c r="U9" s="253">
        <f t="array" ref="U9">IFERROR(INDEX(지수RAW!$AT$7:$AT$12040,MATCH($D9,지수RAW!$AP$7:$AP$12040,0)-1,1),지수RAW!$AU$4)</f>
        <v/>
      </c>
      <c r="V9" s="253">
        <f>IFERROR(__xludf.DUMMYFUNCTION("iferror(index('지수RAW'!$AL$7:$AL$12040,MATCH($D9,'지수RAW'!$AH$7:$AH$12040,0)-1,1),GOOGLEFINANCE(V$2))"),7318.37)</f>
        <v/>
      </c>
      <c r="W9" s="25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5">
      <c r="A10" s="204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4">
        <f>"20"&amp;B10</f>
        <v/>
      </c>
      <c r="F10" s="204">
        <f>C10&amp;"월"</f>
        <v/>
      </c>
      <c r="G10" s="37">
        <f>B10&amp;"."&amp;VLOOKUP(F10,인덱스!$A:$B,2,0)</f>
        <v/>
      </c>
      <c r="H10" s="25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4" t="n"/>
      <c r="O10" s="204" t="n"/>
      <c r="P10" s="204" t="n"/>
      <c r="Q10" s="8">
        <f>IFERROR(__xludf.DUMMYFUNCTION("iferror(index('지수RAW'!$V$7:$V$12040,MATCH($D10,'지수RAW'!$R$7:$R$12040,0)-1,1),GOOGLEFINANCE(Q$2))"),2326.13)</f>
        <v/>
      </c>
      <c r="R10" s="204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4" t="n"/>
      <c r="U10" s="253">
        <f t="array" ref="U10">IFERROR(INDEX(지수RAW!$AT$7:$AT$12040,MATCH($D10,지수RAW!$AP$7:$AP$12040,0)-1,1),지수RAW!$AU$4)</f>
        <v/>
      </c>
      <c r="V10" s="253">
        <f>IFERROR(__xludf.DUMMYFUNCTION("iferror(index('지수RAW'!$AL$7:$AL$12040,MATCH($D10,'지수RAW'!$AH$7:$AH$12040,0)-1,1),GOOGLEFINANCE(V$2))"),6387.27)</f>
        <v/>
      </c>
      <c r="W10" s="25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5">
      <c r="A11" s="204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4">
        <f>"20"&amp;B11</f>
        <v/>
      </c>
      <c r="F11" s="204">
        <f>C11&amp;"월"</f>
        <v/>
      </c>
      <c r="G11" s="37">
        <f>B11&amp;"."&amp;VLOOKUP(F11,인덱스!$A:$B,2,0)</f>
        <v/>
      </c>
      <c r="H11" s="25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4" t="n"/>
      <c r="O11" s="204" t="n"/>
      <c r="P11" s="204" t="n"/>
      <c r="Q11" s="8">
        <f>IFERROR(__xludf.DUMMYFUNCTION("iferror(index('지수RAW'!$V$7:$V$12040,MATCH($D11,'지수RAW'!$R$7:$R$12040,0)-1,1),GOOGLEFINANCE(Q$2))"),2295.26)</f>
        <v/>
      </c>
      <c r="R11" s="204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4" t="n"/>
      <c r="U11" s="253">
        <f t="array" ref="U11">IFERROR(INDEX(지수RAW!$AT$7:$AT$12040,MATCH($D11,지수RAW!$AP$7:$AP$12040,0)-1,1),지수RAW!$AU$4)</f>
        <v/>
      </c>
      <c r="V11" s="253">
        <f>IFERROR(__xludf.DUMMYFUNCTION("iferror(index('지수RAW'!$AL$7:$AL$12040,MATCH($D11,'지수RAW'!$AH$7:$AH$12040,0)-1,1),GOOGLEFINANCE(V$2))"),7736.32)</f>
        <v/>
      </c>
      <c r="W11" s="25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5">
      <c r="A12" s="204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4">
        <f>"20"&amp;B12</f>
        <v/>
      </c>
      <c r="F12" s="204">
        <f>C12&amp;"월"</f>
        <v/>
      </c>
      <c r="G12" s="37">
        <f>B12&amp;"."&amp;VLOOKUP(F12,인덱스!$A:$B,2,0)</f>
        <v/>
      </c>
      <c r="H12" s="25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4" t="n"/>
      <c r="O12" s="204" t="n"/>
      <c r="P12" s="204" t="n"/>
      <c r="Q12" s="8">
        <f>IFERROR(__xludf.DUMMYFUNCTION("iferror(index('지수RAW'!$V$7:$V$12040,MATCH($D12,'지수RAW'!$R$7:$R$12040,0)-1,1),GOOGLEFINANCE(Q$2))"),2322.88)</f>
        <v/>
      </c>
      <c r="R12" s="204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4" t="n"/>
      <c r="U12" s="253">
        <f t="array" ref="U12">IFERROR(INDEX(지수RAW!$AT$7:$AT$12040,MATCH($D12,지수RAW!$AP$7:$AP$12040,0)-1,1),지수RAW!$AU$4)</f>
        <v/>
      </c>
      <c r="V12" s="253">
        <f>IFERROR(__xludf.DUMMYFUNCTION("iferror(index('지수RAW'!$AL$7:$AL$12040,MATCH($D12,'지수RAW'!$AH$7:$AH$12040,0)-1,1),GOOGLEFINANCE(V$2))"),7012.26)</f>
        <v/>
      </c>
      <c r="W12" s="25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5">
      <c r="A13" s="204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4">
        <f>"20"&amp;B13</f>
        <v/>
      </c>
      <c r="F13" s="204">
        <f>C13&amp;"월"</f>
        <v/>
      </c>
      <c r="G13" s="37">
        <f>B13&amp;"."&amp;VLOOKUP(F13,인덱스!$A:$B,2,0)</f>
        <v/>
      </c>
      <c r="H13" s="25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4" t="n"/>
      <c r="O13" s="204" t="n"/>
      <c r="P13" s="204" t="n"/>
      <c r="Q13" s="8">
        <f>IFERROR(__xludf.DUMMYFUNCTION("iferror(index('지수RAW'!$V$7:$V$12040,MATCH($D13,'지수RAW'!$R$7:$R$12040,0)-1,1),GOOGLEFINANCE(Q$2))"),2343.07)</f>
        <v/>
      </c>
      <c r="R13" s="204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4" t="n"/>
      <c r="U13" s="253">
        <f t="array" ref="U13">IFERROR(INDEX(지수RAW!$AT$7:$AT$12040,MATCH($D13,지수RAW!$AP$7:$AP$12040,0)-1,1),지수RAW!$AU$4)</f>
        <v/>
      </c>
      <c r="V13" s="253">
        <f>IFERROR(__xludf.DUMMYFUNCTION("iferror(index('지수RAW'!$AL$7:$AL$12040,MATCH($D13,'지수RAW'!$AH$7:$AH$12040,0)-1,1),GOOGLEFINANCE(V$2))"),6618.76)</f>
        <v/>
      </c>
      <c r="W13" s="25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5">
      <c r="A14" s="204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4">
        <f>"20"&amp;B14</f>
        <v/>
      </c>
      <c r="F14" s="204">
        <f>C14&amp;"월"</f>
        <v/>
      </c>
      <c r="G14" s="37">
        <f>B14&amp;"."&amp;VLOOKUP(F14,인덱스!$A:$B,2,0)</f>
        <v/>
      </c>
      <c r="H14" s="25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4" t="n"/>
      <c r="O14" s="204" t="n"/>
      <c r="P14" s="204" t="n"/>
      <c r="Q14" s="8">
        <f>IFERROR(__xludf.DUMMYFUNCTION("iferror(index('지수RAW'!$V$7:$V$12040,MATCH($D14,'지수RAW'!$R$7:$R$12040,0)-1,1),GOOGLEFINANCE(Q$2))"),2029.69)</f>
        <v/>
      </c>
      <c r="R14" s="204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4" t="n"/>
      <c r="U14" s="253">
        <f t="array" ref="U14">IFERROR(INDEX(지수RAW!$AT$7:$AT$12040,MATCH($D14,지수RAW!$AP$7:$AP$12040,0)-1,1),지수RAW!$AU$4)</f>
        <v/>
      </c>
      <c r="V14" s="253">
        <f>IFERROR(__xludf.DUMMYFUNCTION("iferror(index('지수RAW'!$AL$7:$AL$12040,MATCH($D14,'지수RAW'!$AH$7:$AH$12040,0)-1,1),GOOGLEFINANCE(V$2))"),6340.38)</f>
        <v/>
      </c>
      <c r="W14" s="25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5">
      <c r="A15" s="204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4">
        <f>"20"&amp;B15</f>
        <v/>
      </c>
      <c r="F15" s="204">
        <f>C15&amp;"월"</f>
        <v/>
      </c>
      <c r="G15" s="37">
        <f>B15&amp;"."&amp;VLOOKUP(F15,인덱스!$A:$B,2,0)</f>
        <v/>
      </c>
      <c r="H15" s="25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4" t="n"/>
      <c r="O15" s="204" t="n"/>
      <c r="P15" s="204" t="n"/>
      <c r="Q15" s="8">
        <f>IFERROR(__xludf.DUMMYFUNCTION("iferror(index('지수RAW'!$V$7:$V$12040,MATCH($D15,'지수RAW'!$R$7:$R$12040,0)-1,1),GOOGLEFINANCE(Q$2))"),2096.86)</f>
        <v/>
      </c>
      <c r="R15" s="204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4" t="n"/>
      <c r="U15" s="253">
        <f t="array" ref="U15">IFERROR(INDEX(지수RAW!$AT$7:$AT$12040,MATCH($D15,지수RAW!$AP$7:$AP$12040,0)-1,1),지수RAW!$AU$4)</f>
        <v/>
      </c>
      <c r="V15" s="253">
        <f>IFERROR(__xludf.DUMMYFUNCTION("iferror(index('지수RAW'!$AL$7:$AL$12040,MATCH($D15,'지수RAW'!$AH$7:$AH$12040,0)-1,1),GOOGLEFINANCE(V$2))"),4021.237)</f>
        <v/>
      </c>
      <c r="W15" s="25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5">
      <c r="A16" s="204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4">
        <f>"20"&amp;B16</f>
        <v/>
      </c>
      <c r="F16" s="204">
        <f>C16&amp;"월"</f>
        <v/>
      </c>
      <c r="G16" s="37">
        <f>B16&amp;"."&amp;VLOOKUP(F16,인덱스!$A:$B,2,0)</f>
        <v/>
      </c>
      <c r="H16" s="25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4" t="n"/>
      <c r="O16" s="204" t="n"/>
      <c r="P16" s="204" t="n"/>
      <c r="Q16" s="8">
        <f>IFERROR(__xludf.DUMMYFUNCTION("iferror(index('지수RAW'!$V$7:$V$12040,MATCH($D16,'지수RAW'!$R$7:$R$12040,0)-1,1),GOOGLEFINANCE(Q$2))"),2041.04)</f>
        <v/>
      </c>
      <c r="R16" s="204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4" t="n"/>
      <c r="U16" s="253">
        <f t="array" ref="U16">IFERROR(INDEX(지수RAW!$AT$7:$AT$12040,MATCH($D16,지수RAW!$AP$7:$AP$12040,0)-1,1),지수RAW!$AU$4)</f>
        <v/>
      </c>
      <c r="V16" s="253">
        <f>IFERROR(__xludf.DUMMYFUNCTION("iferror(index('지수RAW'!$AL$7:$AL$12040,MATCH($D16,'지수RAW'!$AH$7:$AH$12040,0)-1,1),GOOGLEFINANCE(V$2))"),3711.907)</f>
        <v/>
      </c>
      <c r="W16" s="25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5">
      <c r="A17" s="204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4">
        <f>"20"&amp;B17</f>
        <v/>
      </c>
      <c r="F17" s="204">
        <f>C17&amp;"월"</f>
        <v/>
      </c>
      <c r="G17" s="40">
        <f>B17&amp;"."&amp;VLOOKUP(F17,인덱스!$A:$B,2,0)</f>
        <v/>
      </c>
      <c r="H17" s="25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4" t="n"/>
      <c r="O17" s="204" t="n"/>
      <c r="P17" s="204" t="n"/>
      <c r="Q17" s="8">
        <f>IFERROR(__xludf.DUMMYFUNCTION("iferror(index('지수RAW'!$V$7:$V$12040,MATCH($D17,'지수RAW'!$R$7:$R$12040,0)-1,1),GOOGLEFINANCE(Q$2))"),2204.85)</f>
        <v/>
      </c>
      <c r="R17" s="204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4" t="n"/>
      <c r="U17" s="253">
        <f t="array" ref="U17">IFERROR(INDEX(지수RAW!$AT$7:$AT$12040,MATCH($D17,지수RAW!$AP$7:$AP$12040,0)-1,1),지수RAW!$AU$4)</f>
        <v/>
      </c>
      <c r="V17" s="253">
        <f>IFERROR(__xludf.DUMMYFUNCTION("iferror(index('지수RAW'!$AL$7:$AL$12040,MATCH($D17,'지수RAW'!$AH$7:$AH$12040,0)-1,1),GOOGLEFINANCE(V$2))"),3419.343)</f>
        <v/>
      </c>
      <c r="W17" s="25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5">
      <c r="A18" s="204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4">
        <f>"20"&amp;B18</f>
        <v/>
      </c>
      <c r="F18" s="204">
        <f>C18&amp;"월"</f>
        <v/>
      </c>
      <c r="G18" s="37">
        <f>B18&amp;"."&amp;VLOOKUP(F18,인덱스!$A:$B,2,0)</f>
        <v/>
      </c>
      <c r="H18" s="25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4" t="n"/>
      <c r="O18" s="204" t="n"/>
      <c r="P18" s="204" t="n"/>
      <c r="Q18" s="8">
        <f>IFERROR(__xludf.DUMMYFUNCTION("iferror(index('지수RAW'!$V$7:$V$12040,MATCH($D18,'지수RAW'!$R$7:$R$12040,0)-1,1),GOOGLEFINANCE(Q$2))"),2195.44)</f>
        <v/>
      </c>
      <c r="R18" s="204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4" t="n"/>
      <c r="U18" s="253">
        <f t="array" ref="U18">IFERROR(INDEX(지수RAW!$AT$7:$AT$12040,MATCH($D18,지수RAW!$AP$7:$AP$12040,0)-1,1),지수RAW!$AU$4)</f>
        <v/>
      </c>
      <c r="V18" s="253">
        <f>IFERROR(__xludf.DUMMYFUNCTION("iferror(index('지수RAW'!$AL$7:$AL$12040,MATCH($D18,'지수RAW'!$AH$7:$AH$12040,0)-1,1),GOOGLEFINANCE(V$2))"),3801.876)</f>
        <v/>
      </c>
      <c r="W18" s="25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5">
      <c r="A19" s="204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4">
        <f>"20"&amp;B19</f>
        <v/>
      </c>
      <c r="F19" s="204">
        <f>C19&amp;"월"</f>
        <v/>
      </c>
      <c r="G19" s="37">
        <f>B19&amp;"."&amp;VLOOKUP(F19,인덱스!$A:$B,2,0)</f>
        <v/>
      </c>
      <c r="H19" s="25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4" t="n"/>
      <c r="O19" s="204" t="n"/>
      <c r="P19" s="204" t="n"/>
      <c r="Q19" s="8">
        <f>IFERROR(__xludf.DUMMYFUNCTION("iferror(index('지수RAW'!$V$7:$V$12040,MATCH($D19,'지수RAW'!$R$7:$R$12040,0)-1,1),GOOGLEFINANCE(Q$2))"),2140.67)</f>
        <v/>
      </c>
      <c r="R19" s="204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4" t="n"/>
      <c r="U19" s="253">
        <f t="array" ref="U19">IFERROR(INDEX(지수RAW!$AT$7:$AT$12040,MATCH($D19,지수RAW!$AP$7:$AP$12040,0)-1,1),지수RAW!$AU$4)</f>
        <v/>
      </c>
      <c r="V19" s="253">
        <f>IFERROR(__xludf.DUMMYFUNCTION("iferror(index('지수RAW'!$AL$7:$AL$12040,MATCH($D19,'지수RAW'!$AH$7:$AH$12040,0)-1,1),GOOGLEFINANCE(V$2))"),4121.252)</f>
        <v/>
      </c>
      <c r="W19" s="25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5">
      <c r="A20" s="204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4">
        <f>"20"&amp;B20</f>
        <v/>
      </c>
      <c r="F20" s="204">
        <f>C20&amp;"월"</f>
        <v/>
      </c>
      <c r="G20" s="37">
        <f>B20&amp;"."&amp;VLOOKUP(F20,인덱스!$A:$B,2,0)</f>
        <v/>
      </c>
      <c r="H20" s="25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4" t="n"/>
      <c r="O20" s="204" t="n"/>
      <c r="P20" s="204" t="n"/>
      <c r="Q20" s="8">
        <f>IFERROR(__xludf.DUMMYFUNCTION("iferror(index('지수RAW'!$V$7:$V$12040,MATCH($D20,'지수RAW'!$R$7:$R$12040,0)-1,1),GOOGLEFINANCE(Q$2))"),2203.59)</f>
        <v/>
      </c>
      <c r="R20" s="204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4" t="n"/>
      <c r="U20" s="253">
        <f t="array" ref="U20">IFERROR(INDEX(지수RAW!$AT$7:$AT$12040,MATCH($D20,지수RAW!$AP$7:$AP$12040,0)-1,1),지수RAW!$AU$4)</f>
        <v/>
      </c>
      <c r="V20" s="253">
        <f>IFERROR(__xludf.DUMMYFUNCTION("iferror(index('지수RAW'!$AL$7:$AL$12040,MATCH($D20,'지수RAW'!$AH$7:$AH$12040,0)-1,1),GOOGLEFINANCE(V$2))"),5286.545)</f>
        <v/>
      </c>
      <c r="W20" s="25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5">
      <c r="A21" s="204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4">
        <f>"20"&amp;B21</f>
        <v/>
      </c>
      <c r="F21" s="204">
        <f>C21&amp;"월"</f>
        <v/>
      </c>
      <c r="G21" s="37">
        <f>B21&amp;"."&amp;VLOOKUP(F21,인덱스!$A:$B,2,0)</f>
        <v/>
      </c>
      <c r="H21" s="25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4" t="n"/>
      <c r="O21" s="204" t="n"/>
      <c r="P21" s="204" t="n"/>
      <c r="Q21" s="8">
        <f>IFERROR(__xludf.DUMMYFUNCTION("iferror(index('지수RAW'!$V$7:$V$12040,MATCH($D21,'지수RAW'!$R$7:$R$12040,0)-1,1),GOOGLEFINANCE(Q$2))"),2041.74)</f>
        <v/>
      </c>
      <c r="R21" s="204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4" t="n"/>
      <c r="U21" s="253">
        <f t="array" ref="U21">IFERROR(INDEX(지수RAW!$AT$7:$AT$12040,MATCH($D21,지수RAW!$AP$7:$AP$12040,0)-1,1),지수RAW!$AU$4)</f>
        <v/>
      </c>
      <c r="V21" s="253">
        <f>IFERROR(__xludf.DUMMYFUNCTION("iferror(index('지수RAW'!$AL$7:$AL$12040,MATCH($D21,'지수RAW'!$AH$7:$AH$12040,0)-1,1),GOOGLEFINANCE(V$2))"),8554.387)</f>
        <v/>
      </c>
      <c r="W21" s="25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5">
      <c r="A22" s="204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4">
        <f>"20"&amp;B22</f>
        <v/>
      </c>
      <c r="F22" s="204">
        <f>C22&amp;"월"</f>
        <v/>
      </c>
      <c r="G22" s="37">
        <f>B22&amp;"."&amp;VLOOKUP(F22,인덱스!$A:$B,2,0)</f>
        <v/>
      </c>
      <c r="H22" s="25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4" t="n"/>
      <c r="O22" s="204" t="n"/>
      <c r="P22" s="204" t="n"/>
      <c r="Q22" s="8">
        <f>IFERROR(__xludf.DUMMYFUNCTION("iferror(index('지수RAW'!$V$7:$V$12040,MATCH($D22,'지수RAW'!$R$7:$R$12040,0)-1,1),GOOGLEFINANCE(Q$2))"),2130.62)</f>
        <v/>
      </c>
      <c r="R22" s="204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4" t="n"/>
      <c r="U22" s="253">
        <f t="array" ref="U22">IFERROR(INDEX(지수RAW!$AT$7:$AT$12040,MATCH($D22,지수RAW!$AP$7:$AP$12040,0)-1,1),지수RAW!$AU$4)</f>
        <v/>
      </c>
      <c r="V22" s="253">
        <f>IFERROR(__xludf.DUMMYFUNCTION("iferror(index('지수RAW'!$AL$7:$AL$12040,MATCH($D22,'지수RAW'!$AH$7:$AH$12040,0)-1,1),GOOGLEFINANCE(V$2))"),10769.18)</f>
        <v/>
      </c>
      <c r="W22" s="25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5">
      <c r="A23" s="204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4">
        <f>"20"&amp;B23</f>
        <v/>
      </c>
      <c r="F23" s="204">
        <f>C23&amp;"월"</f>
        <v/>
      </c>
      <c r="G23" s="37">
        <f>B23&amp;"."&amp;VLOOKUP(F23,인덱스!$A:$B,2,0)</f>
        <v/>
      </c>
      <c r="H23" s="25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4" t="n"/>
      <c r="O23" s="204" t="n"/>
      <c r="P23" s="204" t="n"/>
      <c r="Q23" s="8">
        <f>IFERROR(__xludf.DUMMYFUNCTION("iferror(index('지수RAW'!$V$7:$V$12040,MATCH($D23,'지수RAW'!$R$7:$R$12040,0)-1,1),GOOGLEFINANCE(Q$2))"),2024.55)</f>
        <v/>
      </c>
      <c r="R23" s="204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4" t="n"/>
      <c r="U23" s="253">
        <f t="array" ref="U23">IFERROR(INDEX(지수RAW!$AT$7:$AT$12040,MATCH($D23,지수RAW!$AP$7:$AP$12040,0)-1,1),지수RAW!$AU$4)</f>
        <v/>
      </c>
      <c r="V23" s="253">
        <f>IFERROR(__xludf.DUMMYFUNCTION("iferror(index('지수RAW'!$AL$7:$AL$12040,MATCH($D23,'지수RAW'!$AH$7:$AH$12040,0)-1,1),GOOGLEFINANCE(V$2))"),10084.75)</f>
        <v/>
      </c>
      <c r="W23" s="25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5">
      <c r="A24" s="204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4">
        <f>"20"&amp;B24</f>
        <v/>
      </c>
      <c r="F24" s="204">
        <f>C24&amp;"월"</f>
        <v/>
      </c>
      <c r="G24" s="37">
        <f>B24&amp;"."&amp;VLOOKUP(F24,인덱스!$A:$B,2,0)</f>
        <v/>
      </c>
      <c r="H24" s="25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4" t="n"/>
      <c r="O24" s="204" t="n"/>
      <c r="P24" s="204" t="n"/>
      <c r="Q24" s="8">
        <f>IFERROR(__xludf.DUMMYFUNCTION("iferror(index('지수RAW'!$V$7:$V$12040,MATCH($D24,'지수RAW'!$R$7:$R$12040,0)-1,1),GOOGLEFINANCE(Q$2))"),1967.79)</f>
        <v/>
      </c>
      <c r="R24" s="204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4" t="n"/>
      <c r="U24" s="253">
        <f t="array" ref="U24">IFERROR(INDEX(지수RAW!$AT$7:$AT$12040,MATCH($D24,지수RAW!$AP$7:$AP$12040,0)-1,1),지수RAW!$AU$4)</f>
        <v/>
      </c>
      <c r="V24" s="253">
        <f>IFERROR(__xludf.DUMMYFUNCTION("iferror(index('지수RAW'!$AL$7:$AL$12040,MATCH($D24,'지수RAW'!$AH$7:$AH$12040,0)-1,1),GOOGLEFINANCE(V$2))"),9619.062)</f>
        <v/>
      </c>
      <c r="W24" s="25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5">
      <c r="A25" s="204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4">
        <f>"20"&amp;B25</f>
        <v/>
      </c>
      <c r="F25" s="204">
        <f>C25&amp;"월"</f>
        <v/>
      </c>
      <c r="G25" s="37">
        <f>B25&amp;"."&amp;VLOOKUP(F25,인덱스!$A:$B,2,0)</f>
        <v/>
      </c>
      <c r="H25" s="25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4" t="n"/>
      <c r="O25" s="204" t="n"/>
      <c r="P25" s="204" t="n"/>
      <c r="Q25" s="8">
        <f>IFERROR(__xludf.DUMMYFUNCTION("iferror(index('지수RAW'!$V$7:$V$12040,MATCH($D25,'지수RAW'!$R$7:$R$12040,0)-1,1),GOOGLEFINANCE(Q$2))"),2063.05)</f>
        <v/>
      </c>
      <c r="R25" s="204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4" t="n"/>
      <c r="U25" s="253">
        <f t="array" ref="U25">IFERROR(INDEX(지수RAW!$AT$7:$AT$12040,MATCH($D25,지수RAW!$AP$7:$AP$12040,0)-1,1),지수RAW!$AU$4)</f>
        <v/>
      </c>
      <c r="V25" s="253">
        <f>IFERROR(__xludf.DUMMYFUNCTION("iferror(index('지수RAW'!$AL$7:$AL$12040,MATCH($D25,'지수RAW'!$AH$7:$AH$12040,0)-1,1),GOOGLEFINANCE(V$2))"),8296.118)</f>
        <v/>
      </c>
      <c r="W25" s="25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5">
      <c r="A26" s="204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4">
        <f>"20"&amp;B26</f>
        <v/>
      </c>
      <c r="F26" s="204">
        <f>C26&amp;"월"</f>
        <v/>
      </c>
      <c r="G26" s="37">
        <f>B26&amp;"."&amp;VLOOKUP(F26,인덱스!$A:$B,2,0)</f>
        <v/>
      </c>
      <c r="H26" s="25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4" t="n"/>
      <c r="O26" s="204" t="n"/>
      <c r="P26" s="204" t="n"/>
      <c r="Q26" s="8">
        <f>IFERROR(__xludf.DUMMYFUNCTION("iferror(index('지수RAW'!$V$7:$V$12040,MATCH($D26,'지수RAW'!$R$7:$R$12040,0)-1,1),GOOGLEFINANCE(Q$2))"),2083.48)</f>
        <v/>
      </c>
      <c r="R26" s="204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4" t="n"/>
      <c r="U26" s="253">
        <f t="array" ref="U26">IFERROR(INDEX(지수RAW!$AT$7:$AT$12040,MATCH($D26,지수RAW!$AP$7:$AP$12040,0)-1,1),지수RAW!$AU$4)</f>
        <v/>
      </c>
      <c r="V26" s="253">
        <f>IFERROR(__xludf.DUMMYFUNCTION("iferror(index('지수RAW'!$AL$7:$AL$12040,MATCH($D26,'지수RAW'!$AH$7:$AH$12040,0)-1,1),GOOGLEFINANCE(V$2))"),9159.36)</f>
        <v/>
      </c>
      <c r="W26" s="25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5">
      <c r="A27" s="204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4">
        <f>"20"&amp;B27</f>
        <v/>
      </c>
      <c r="F27" s="204">
        <f>C27&amp;"월"</f>
        <v/>
      </c>
      <c r="G27" s="37">
        <f>B27&amp;"."&amp;VLOOKUP(F27,인덱스!$A:$B,2,0)</f>
        <v/>
      </c>
      <c r="H27" s="25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4" t="n"/>
      <c r="O27" s="204" t="n"/>
      <c r="P27" s="204" t="n"/>
      <c r="Q27" s="8">
        <f>IFERROR(__xludf.DUMMYFUNCTION("iferror(index('지수RAW'!$V$7:$V$12040,MATCH($D27,'지수RAW'!$R$7:$R$12040,0)-1,1),GOOGLEFINANCE(Q$2))"),2087.96)</f>
        <v/>
      </c>
      <c r="R27" s="204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4" t="n"/>
      <c r="U27" s="253">
        <f t="array" ref="U27">IFERROR(INDEX(지수RAW!$AT$7:$AT$12040,MATCH($D27,지수RAW!$AP$7:$AP$12040,0)-1,1),지수RAW!$AU$4)</f>
        <v/>
      </c>
      <c r="V27" s="253">
        <f>IFERROR(__xludf.DUMMYFUNCTION("iferror(index('지수RAW'!$AL$7:$AL$12040,MATCH($D27,'지수RAW'!$AH$7:$AH$12040,0)-1,1),GOOGLEFINANCE(V$2))"),7573.91)</f>
        <v/>
      </c>
      <c r="W27" s="25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5">
      <c r="A28" s="204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4">
        <f>"20"&amp;B28</f>
        <v/>
      </c>
      <c r="F28" s="204">
        <f>C28&amp;"월"</f>
        <v/>
      </c>
      <c r="G28" s="37">
        <f>B28&amp;"."&amp;VLOOKUP(F28,인덱스!$A:$B,2,0)</f>
        <v/>
      </c>
      <c r="H28" s="25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4" t="n"/>
      <c r="O28" s="204" t="n"/>
      <c r="P28" s="204" t="n"/>
      <c r="Q28" s="8">
        <f>IFERROR(__xludf.DUMMYFUNCTION("iferror(index('지수RAW'!$V$7:$V$12040,MATCH($D28,'지수RAW'!$R$7:$R$12040,0)-1,1),GOOGLEFINANCE(Q$2))"),2197.67)</f>
        <v/>
      </c>
      <c r="R28" s="204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4" t="n"/>
      <c r="U28" s="253">
        <f t="array" ref="U28">IFERROR(INDEX(지수RAW!$AT$7:$AT$12040,MATCH($D28,지수RAW!$AP$7:$AP$12040,0)-1,1),지수RAW!$AU$4)</f>
        <v/>
      </c>
      <c r="V28" s="253">
        <f>IFERROR(__xludf.DUMMYFUNCTION("iferror(index('지수RAW'!$AL$7:$AL$12040,MATCH($D28,'지수RAW'!$AH$7:$AH$12040,0)-1,1),GOOGLEFINANCE(V$2))"),7174.535)</f>
        <v/>
      </c>
      <c r="W28" s="25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5">
      <c r="A29" s="204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4">
        <f>"20"&amp;B29</f>
        <v/>
      </c>
      <c r="F29" s="204">
        <f>C29&amp;"월"</f>
        <v/>
      </c>
      <c r="G29" s="40">
        <f>B29&amp;"."&amp;VLOOKUP(F29,인덱스!$A:$B,2,0)</f>
        <v/>
      </c>
      <c r="H29" s="25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4" t="n"/>
      <c r="O29" s="204" t="n"/>
      <c r="P29" s="204" t="n"/>
      <c r="Q29" s="8">
        <f>IFERROR(__xludf.DUMMYFUNCTION("iferror(index('지수RAW'!$V$7:$V$12040,MATCH($D29,'지수RAW'!$R$7:$R$12040,0)-1,1),GOOGLEFINANCE(Q$2))"),2119.01)</f>
        <v/>
      </c>
      <c r="R29" s="204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4" t="n"/>
      <c r="U29" s="253">
        <f t="array" ref="U29">IFERROR(INDEX(지수RAW!$AT$7:$AT$12040,MATCH($D29,지수RAW!$AP$7:$AP$12040,0)-1,1),지수RAW!$AU$4)</f>
        <v/>
      </c>
      <c r="V29" s="253">
        <f>IFERROR(__xludf.DUMMYFUNCTION("iferror(index('지수RAW'!$AL$7:$AL$12040,MATCH($D29,'지수RAW'!$AH$7:$AH$12040,0)-1,1),GOOGLEFINANCE(V$2))"),9338.332)</f>
        <v/>
      </c>
      <c r="W29" s="25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5">
      <c r="A30" s="204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4">
        <f>"20"&amp;B30</f>
        <v/>
      </c>
      <c r="F30" s="204">
        <f>C30&amp;"월"</f>
        <v/>
      </c>
      <c r="G30" s="37">
        <f>B30&amp;"."&amp;VLOOKUP(F30,인덱스!$A:$B,2,0)</f>
        <v/>
      </c>
      <c r="H30" s="25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4" t="n"/>
      <c r="O30" s="204" t="n"/>
      <c r="P30" s="204" t="n"/>
      <c r="Q30" s="8">
        <f>IFERROR(__xludf.DUMMYFUNCTION("iferror(index('지수RAW'!$V$7:$V$12040,MATCH($D30,'지수RAW'!$R$7:$R$12040,0)-1,1),GOOGLEFINANCE(Q$2))"),1987.01)</f>
        <v/>
      </c>
      <c r="R30" s="204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4" t="n"/>
      <c r="U30" s="253">
        <f t="array" ref="U30">IFERROR(INDEX(지수RAW!$AT$7:$AT$12040,MATCH($D30,지수RAW!$AP$7:$AP$12040,0)-1,1),지수RAW!$AU$4)</f>
        <v/>
      </c>
      <c r="V30" s="253">
        <f>IFERROR(__xludf.DUMMYFUNCTION("iferror(index('지수RAW'!$AL$7:$AL$12040,MATCH($D30,'지수RAW'!$AH$7:$AH$12040,0)-1,1),GOOGLEFINANCE(V$2))"),8531.393)</f>
        <v/>
      </c>
      <c r="W30" s="25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5">
      <c r="A31" s="204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4">
        <f>"20"&amp;B31</f>
        <v/>
      </c>
      <c r="F31" s="204">
        <f>C31&amp;"월"</f>
        <v/>
      </c>
      <c r="G31" s="37">
        <f>B31&amp;"."&amp;VLOOKUP(F31,인덱스!$A:$B,2,0)</f>
        <v/>
      </c>
      <c r="H31" s="25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4" t="n"/>
      <c r="O31" s="204" t="n"/>
      <c r="P31" s="204" t="n"/>
      <c r="Q31" s="8">
        <f>IFERROR(__xludf.DUMMYFUNCTION("iferror(index('지수RAW'!$V$7:$V$12040,MATCH($D31,'지수RAW'!$R$7:$R$12040,0)-1,1),GOOGLEFINANCE(Q$2))"),1754.64)</f>
        <v/>
      </c>
      <c r="R31" s="204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4" t="n"/>
      <c r="U31" s="253">
        <f t="array" ref="U31">IFERROR(INDEX(지수RAW!$AT$7:$AT$12040,MATCH($D31,지수RAW!$AP$7:$AP$12040,0)-1,1),지수RAW!$AU$4)</f>
        <v/>
      </c>
      <c r="V31" s="253">
        <f>IFERROR(__xludf.DUMMYFUNCTION("iferror(index('지수RAW'!$AL$7:$AL$12040,MATCH($D31,'지수RAW'!$AH$7:$AH$12040,0)-1,1),GOOGLEFINANCE(V$2))"),6422.229)</f>
        <v/>
      </c>
      <c r="W31" s="25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5">
      <c r="A32" s="204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4">
        <f>"20"&amp;B32</f>
        <v/>
      </c>
      <c r="F32" s="204">
        <f>C32&amp;"월"</f>
        <v/>
      </c>
      <c r="G32" s="37">
        <f>B32&amp;"."&amp;VLOOKUP(F32,인덱스!$A:$B,2,0)</f>
        <v/>
      </c>
      <c r="H32" s="25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4" t="n"/>
      <c r="O32" s="204" t="n"/>
      <c r="P32" s="204" t="n"/>
      <c r="Q32" s="8">
        <f>IFERROR(__xludf.DUMMYFUNCTION("iferror(index('지수RAW'!$V$7:$V$12040,MATCH($D32,'지수RAW'!$R$7:$R$12040,0)-1,1),GOOGLEFINANCE(Q$2))"),1947.56)</f>
        <v/>
      </c>
      <c r="R32" s="204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4" t="n"/>
      <c r="U32" s="253">
        <f t="array" ref="U32">IFERROR(INDEX(지수RAW!$AT$7:$AT$12040,MATCH($D32,지수RAW!$AP$7:$AP$12040,0)-1,1),지수RAW!$AU$4)</f>
        <v/>
      </c>
      <c r="V32" s="253">
        <f>IFERROR(__xludf.DUMMYFUNCTION("iferror(index('지수RAW'!$AL$7:$AL$12040,MATCH($D32,'지수RAW'!$AH$7:$AH$12040,0)-1,1),GOOGLEFINANCE(V$2))"),8631.604)</f>
        <v/>
      </c>
      <c r="W32" s="25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5">
      <c r="A33" s="204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4">
        <f>"20"&amp;B33</f>
        <v/>
      </c>
      <c r="F33" s="204">
        <f>C33&amp;"월"</f>
        <v/>
      </c>
      <c r="G33" s="37">
        <f>B33&amp;"."&amp;VLOOKUP(F33,인덱스!$A:$B,2,0)</f>
        <v/>
      </c>
      <c r="H33" s="25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4" t="n"/>
      <c r="O33" s="204" t="n"/>
      <c r="P33" s="204" t="n"/>
      <c r="Q33" s="8">
        <f>IFERROR(__xludf.DUMMYFUNCTION("iferror(index('지수RAW'!$V$7:$V$12040,MATCH($D33,'지수RAW'!$R$7:$R$12040,0)-1,1),GOOGLEFINANCE(Q$2))"),2029.6)</f>
        <v/>
      </c>
      <c r="R33" s="204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4" t="n"/>
      <c r="U33" s="253">
        <f t="array" ref="U33">IFERROR(INDEX(지수RAW!$AT$7:$AT$12040,MATCH($D33,지수RAW!$AP$7:$AP$12040,0)-1,1),지수RAW!$AU$4)</f>
        <v/>
      </c>
      <c r="V33" s="253">
        <f>IFERROR(__xludf.DUMMYFUNCTION("iferror(index('지수RAW'!$AL$7:$AL$12040,MATCH($D33,'지수RAW'!$AH$7:$AH$12040,0)-1,1),GOOGLEFINANCE(V$2))"),9447.014)</f>
        <v/>
      </c>
      <c r="W33" s="25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5">
      <c r="A34" s="204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4">
        <f>"20"&amp;B34</f>
        <v/>
      </c>
      <c r="F34" s="204">
        <f>C34&amp;"월"</f>
        <v/>
      </c>
      <c r="G34" s="37">
        <f>B34&amp;"."&amp;VLOOKUP(F34,인덱스!$A:$B,2,0)</f>
        <v/>
      </c>
      <c r="H34" s="25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4" t="n"/>
      <c r="O34" s="204" t="n"/>
      <c r="P34" s="204" t="n"/>
      <c r="Q34" s="8">
        <f>IFERROR(__xludf.DUMMYFUNCTION("iferror(index('지수RAW'!$V$7:$V$12040,MATCH($D34,'지수RAW'!$R$7:$R$12040,0)-1,1),GOOGLEFINANCE(Q$2))"),2108.33)</f>
        <v/>
      </c>
      <c r="R34" s="204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4" t="n"/>
      <c r="U34" s="253">
        <f t="array" ref="U34">IFERROR(INDEX(지수RAW!$AT$7:$AT$12040,MATCH($D34,지수RAW!$AP$7:$AP$12040,0)-1,1),지수RAW!$AU$4)</f>
        <v/>
      </c>
      <c r="V34" s="253">
        <f>IFERROR(__xludf.DUMMYFUNCTION("iferror(index('지수RAW'!$AL$7:$AL$12040,MATCH($D34,'지수RAW'!$AH$7:$AH$12040,0)-1,1),GOOGLEFINANCE(V$2))"),9136.464)</f>
        <v/>
      </c>
      <c r="W34" s="25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5">
      <c r="A35" s="204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4">
        <f>"20"&amp;B35</f>
        <v/>
      </c>
      <c r="F35" s="204">
        <f>C35&amp;"월"</f>
        <v/>
      </c>
      <c r="G35" s="37">
        <f>B35&amp;"."&amp;VLOOKUP(F35,인덱스!$A:$B,2,0)</f>
        <v/>
      </c>
      <c r="H35" s="25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4" t="n"/>
      <c r="O35" s="204" t="n"/>
      <c r="P35" s="204" t="n"/>
      <c r="Q35" s="8">
        <f>IFERROR(__xludf.DUMMYFUNCTION("iferror(index('지수RAW'!$V$7:$V$12040,MATCH($D35,'지수RAW'!$R$7:$R$12040,0)-1,1),GOOGLEFINANCE(Q$2))"),2249.37)</f>
        <v/>
      </c>
      <c r="R35" s="204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4" t="n"/>
      <c r="U35" s="253">
        <f t="array" ref="U35">IFERROR(INDEX(지수RAW!$AT$7:$AT$12040,MATCH($D35,지수RAW!$AP$7:$AP$12040,0)-1,1),지수RAW!$AU$4)</f>
        <v/>
      </c>
      <c r="V35" s="253">
        <f>IFERROR(__xludf.DUMMYFUNCTION("iferror(index('지수RAW'!$AL$7:$AL$12040,MATCH($D35,'지수RAW'!$AH$7:$AH$12040,0)-1,1),GOOGLEFINANCE(V$2))"),11350.44)</f>
        <v/>
      </c>
      <c r="W35" s="25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5">
      <c r="A36" s="204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4">
        <f>"20"&amp;B36</f>
        <v/>
      </c>
      <c r="F36" s="204">
        <f>C36&amp;"월"</f>
        <v/>
      </c>
      <c r="G36" s="37">
        <f>B36&amp;"."&amp;VLOOKUP(F36,인덱스!$A:$B,2,0)</f>
        <v/>
      </c>
      <c r="H36" s="25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4" t="n"/>
      <c r="O36" s="204" t="n"/>
      <c r="P36" s="204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4" t="n"/>
      <c r="U36" s="253">
        <f t="array" ref="U36">IFERROR(INDEX(지수RAW!$AT$7:$AT$12040,MATCH($D36,지수RAW!$AP$7:$AP$12040,0)-1,1),지수RAW!$AU$4)</f>
        <v/>
      </c>
      <c r="V36" s="253">
        <f>IFERROR(__xludf.DUMMYFUNCTION("iferror(index('지수RAW'!$AL$7:$AL$12040,MATCH($D36,'지수RAW'!$AH$7:$AH$12040,0)-1,1),GOOGLEFINANCE(V$2))"),11656.86)</f>
        <v/>
      </c>
      <c r="W36" s="25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5">
      <c r="A37" s="204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4">
        <f>"20"&amp;B37</f>
        <v/>
      </c>
      <c r="F37" s="204">
        <f>C37&amp;"월"</f>
        <v/>
      </c>
      <c r="G37" s="37">
        <f>B37&amp;"."&amp;VLOOKUP(F37,인덱스!$A:$B,2,0)</f>
        <v/>
      </c>
      <c r="H37" s="25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4" t="n"/>
      <c r="O37" s="204" t="n"/>
      <c r="P37" s="204" t="n"/>
      <c r="Q37" s="8">
        <f>IFERROR(__xludf.DUMMYFUNCTION("iferror(index('지수RAW'!$V$7:$V$12040,MATCH($D37,'지수RAW'!$R$7:$R$12040,0)-1,1),GOOGLEFINANCE(Q$2))"),2327.89)</f>
        <v/>
      </c>
      <c r="R37" s="204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4" t="n"/>
      <c r="U37" s="253">
        <f t="array" ref="U37">IFERROR(INDEX(지수RAW!$AT$7:$AT$12040,MATCH($D37,지수RAW!$AP$7:$AP$12040,0)-1,1),지수RAW!$AU$4)</f>
        <v/>
      </c>
      <c r="V37" s="253">
        <f>IFERROR(__xludf.DUMMYFUNCTION("iferror(index('지수RAW'!$AL$7:$AL$12040,MATCH($D37,'지수RAW'!$AH$7:$AH$12040,0)-1,1),GOOGLEFINANCE(V$2))"),10779.78)</f>
        <v/>
      </c>
      <c r="W37" s="25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5">
      <c r="A38" s="204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4">
        <f>"20"&amp;B38</f>
        <v/>
      </c>
      <c r="F38" s="204">
        <f>C38&amp;"월"</f>
        <v/>
      </c>
      <c r="G38" s="37">
        <f>B38&amp;"."&amp;VLOOKUP(F38,인덱스!$A:$B,2,0)</f>
        <v/>
      </c>
      <c r="H38" s="25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4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4" t="n"/>
      <c r="U38" s="253">
        <f t="array" ref="U38">IFERROR(INDEX(지수RAW!$AT$7:$AT$12040,MATCH($D38,지수RAW!$AP$7:$AP$12040,0)-1,1),지수RAW!$AU$4)</f>
        <v/>
      </c>
      <c r="V38" s="253">
        <f>IFERROR(__xludf.DUMMYFUNCTION("iferror(index('지수RAW'!$AL$7:$AL$12040,MATCH($D38,'지수RAW'!$AH$7:$AH$12040,0)-1,1),GOOGLEFINANCE(V$2))"),13798.8)</f>
        <v/>
      </c>
      <c r="W38" s="25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5">
      <c r="A39" s="204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4">
        <f>"20"&amp;B39</f>
        <v/>
      </c>
      <c r="F39" s="204">
        <f>C39&amp;"월"</f>
        <v/>
      </c>
      <c r="G39" s="37">
        <f>B39&amp;"."&amp;VLOOKUP(F39,인덱스!$A:$B,2,0)</f>
        <v/>
      </c>
      <c r="H39" s="25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4" t="n"/>
      <c r="O39" s="204" t="n"/>
      <c r="P39" s="204" t="n"/>
      <c r="Q39" s="8">
        <f>IFERROR(__xludf.DUMMYFUNCTION("iferror(index('지수RAW'!$V$7:$V$12040,MATCH($D39,'지수RAW'!$R$7:$R$12040,0)-1,1),GOOGLEFINANCE(Q$2))"),2591.34)</f>
        <v/>
      </c>
      <c r="R39" s="204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4" t="n"/>
      <c r="U39" s="253">
        <f t="array" ref="U39">IFERROR(INDEX(지수RAW!$AT$7:$AT$12040,MATCH($D39,지수RAW!$AP$7:$AP$12040,0)-1,1),지수RAW!$AU$4)</f>
        <v/>
      </c>
      <c r="V39" s="253">
        <f>IFERROR(__xludf.DUMMYFUNCTION("iferror(index('지수RAW'!$AL$7:$AL$12040,MATCH($D39,'지수RAW'!$AH$7:$AH$12040,0)-1,1),GOOGLEFINANCE(V$2))"),19704.15)</f>
        <v/>
      </c>
      <c r="W39" s="25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5">
      <c r="A40" s="204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4">
        <f>"20"&amp;B40</f>
        <v/>
      </c>
      <c r="F40" s="204">
        <f>C40&amp;"월"</f>
        <v/>
      </c>
      <c r="G40" s="37">
        <f>B40&amp;"."&amp;VLOOKUP(F40,인덱스!$A:$B,2,0)</f>
        <v/>
      </c>
      <c r="H40" s="25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4" t="n"/>
      <c r="O40" s="204" t="n"/>
      <c r="P40" s="204" t="n"/>
      <c r="Q40" s="8">
        <f>IFERROR(__xludf.DUMMYFUNCTION("iferror(index('지수RAW'!$V$7:$V$12040,MATCH($D40,'지수RAW'!$R$7:$R$12040,0)-1,1),GOOGLEFINANCE(Q$2))"),2873.47)</f>
        <v/>
      </c>
      <c r="R40" s="204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4" t="n"/>
      <c r="U40" s="253">
        <f t="array" ref="U40">IFERROR(INDEX(지수RAW!$AT$7:$AT$12040,MATCH($D40,지수RAW!$AP$7:$AP$12040,0)-1,1),지수RAW!$AU$4)</f>
        <v/>
      </c>
      <c r="V40" s="253">
        <f>IFERROR(__xludf.DUMMYFUNCTION("iferror(index('지수RAW'!$AL$7:$AL$12040,MATCH($D40,'지수RAW'!$AH$7:$AH$12040,0)-1,1),GOOGLEFINANCE(V$2))"),28943.58)</f>
        <v/>
      </c>
      <c r="W40" s="25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5">
      <c r="A41" s="204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4">
        <f>"20"&amp;B41</f>
        <v/>
      </c>
      <c r="F41" s="204">
        <f>C41&amp;"월"</f>
        <v/>
      </c>
      <c r="G41" s="40">
        <f>B41&amp;"."&amp;VLOOKUP(F41,인덱스!$A:$B,2,0)</f>
        <v/>
      </c>
      <c r="H41" s="25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4" t="n"/>
      <c r="O41" s="204" t="n"/>
      <c r="P41" s="204" t="n"/>
      <c r="Q41" s="8">
        <f>IFERROR(__xludf.DUMMYFUNCTION("iferror(index('지수RAW'!$V$7:$V$12040,MATCH($D41,'지수RAW'!$R$7:$R$12040,0)-1,1),GOOGLEFINANCE(Q$2))"),2976.21)</f>
        <v/>
      </c>
      <c r="R41" s="204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4" t="n"/>
      <c r="U41" s="253">
        <f t="array" ref="U41">IFERROR(INDEX(지수RAW!$AT$7:$AT$12040,MATCH($D41,지수RAW!$AP$7:$AP$12040,0)-1,1),지수RAW!$AU$4)</f>
        <v/>
      </c>
      <c r="V41" s="253">
        <f>IFERROR(__xludf.DUMMYFUNCTION("iferror(index('지수RAW'!$AL$7:$AL$12040,MATCH($D41,'지수RAW'!$AH$7:$AH$12040,0)-1,1),GOOGLEFINANCE(V$2))"),33119.93)</f>
        <v/>
      </c>
      <c r="W41" s="25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5">
      <c r="A42" s="204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4">
        <f>"20"&amp;B42</f>
        <v/>
      </c>
      <c r="F42" s="204">
        <f>C42&amp;"월"</f>
        <v/>
      </c>
      <c r="G42" s="37">
        <f>B42&amp;"."&amp;VLOOKUP(F42,인덱스!$A:$B,2,0)</f>
        <v/>
      </c>
      <c r="H42" s="25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4" t="n"/>
      <c r="O42" s="204" t="n"/>
      <c r="P42" s="204" t="n"/>
      <c r="Q42" s="8">
        <f>IFERROR(__xludf.DUMMYFUNCTION("iferror(index('지수RAW'!$V$7:$V$12040,MATCH($D42,'지수RAW'!$R$7:$R$12040,0)-1,1),GOOGLEFINANCE(Q$2))"),3012.95)</f>
        <v/>
      </c>
      <c r="R42" s="204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4" t="n"/>
      <c r="U42" s="253">
        <f t="array" ref="U42">IFERROR(INDEX(지수RAW!$AT$7:$AT$12040,MATCH($D42,지수RAW!$AP$7:$AP$12040,0)-1,1),지수RAW!$AU$4)</f>
        <v/>
      </c>
      <c r="V42" s="253">
        <f>IFERROR(__xludf.DUMMYFUNCTION("iferror(index('지수RAW'!$AL$7:$AL$12040,MATCH($D42,'지수RAW'!$AH$7:$AH$12040,0)-1,1),GOOGLEFINANCE(V$2))"),45203.05)</f>
        <v/>
      </c>
      <c r="W42" s="25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5">
      <c r="A43" s="204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4">
        <f>"20"&amp;B43</f>
        <v/>
      </c>
      <c r="F43" s="204">
        <f>C43&amp;"월"</f>
        <v/>
      </c>
      <c r="G43" s="37">
        <f>B43&amp;"."&amp;VLOOKUP(F43,인덱스!$A:$B,2,0)</f>
        <v/>
      </c>
      <c r="H43" s="25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4" t="n"/>
      <c r="O43" s="204" t="n"/>
      <c r="P43" s="204" t="n"/>
      <c r="Q43" s="8">
        <f>IFERROR(__xludf.DUMMYFUNCTION("iferror(index('지수RAW'!$V$7:$V$12040,MATCH($D43,'지수RAW'!$R$7:$R$12040,0)-1,1),GOOGLEFINANCE(Q$2))"),3061.42)</f>
        <v/>
      </c>
      <c r="R43" s="204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4" t="n"/>
      <c r="U43" s="253">
        <f t="array" ref="U43">IFERROR(INDEX(지수RAW!$AT$7:$AT$12040,MATCH($D43,지수RAW!$AP$7:$AP$12040,0)-1,1),지수RAW!$AU$4)</f>
        <v/>
      </c>
      <c r="V43" s="253">
        <f>IFERROR(__xludf.DUMMYFUNCTION("iferror(index('지수RAW'!$AL$7:$AL$12040,MATCH($D43,'지수RAW'!$AH$7:$AH$12040,0)-1,1),GOOGLEFINANCE(V$2))"),58794.94)</f>
        <v/>
      </c>
      <c r="W43" s="25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5">
      <c r="A44" s="204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4">
        <f>"20"&amp;B44</f>
        <v/>
      </c>
      <c r="F44" s="204">
        <f>C44&amp;"월"</f>
        <v/>
      </c>
      <c r="G44" s="37">
        <f>B44&amp;"."&amp;VLOOKUP(F44,인덱스!$A:$B,2,0)</f>
        <v/>
      </c>
      <c r="H44" s="25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4" t="n"/>
      <c r="O44" s="204" t="n"/>
      <c r="P44" s="204" t="n"/>
      <c r="Q44" s="8">
        <f>IFERROR(__xludf.DUMMYFUNCTION("iferror(index('지수RAW'!$V$7:$V$12040,MATCH($D44,'지수RAW'!$R$7:$R$12040,0)-1,1),GOOGLEFINANCE(Q$2))"),3147.86)</f>
        <v/>
      </c>
      <c r="R44" s="204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4" t="n"/>
      <c r="U44" s="253">
        <f t="array" ref="U44">IFERROR(INDEX(지수RAW!$AT$7:$AT$12040,MATCH($D44,지수RAW!$AP$7:$AP$12040,0)-1,1),지수RAW!$AU$4)</f>
        <v/>
      </c>
      <c r="V44" s="253">
        <f>IFERROR(__xludf.DUMMYFUNCTION("iferror(index('지수RAW'!$AL$7:$AL$12040,MATCH($D44,'지수RAW'!$AH$7:$AH$12040,0)-1,1),GOOGLEFINANCE(V$2))"),57766.05)</f>
        <v/>
      </c>
      <c r="W44" s="25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5">
      <c r="A45" s="204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4">
        <f>"20"&amp;B45</f>
        <v/>
      </c>
      <c r="F45" s="204">
        <f>C45&amp;"월"</f>
        <v/>
      </c>
      <c r="G45" s="37">
        <f>B45&amp;"."&amp;VLOOKUP(F45,인덱스!$A:$B,2,0)</f>
        <v/>
      </c>
      <c r="H45" s="25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4" t="n"/>
      <c r="O45" s="204" t="n"/>
      <c r="P45" s="204" t="n"/>
      <c r="Q45" s="8">
        <f>IFERROR(__xludf.DUMMYFUNCTION("iferror(index('지수RAW'!$V$7:$V$12040,MATCH($D45,'지수RAW'!$R$7:$R$12040,0)-1,1),GOOGLEFINANCE(Q$2))"),3203.92)</f>
        <v/>
      </c>
      <c r="R45" s="204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4" t="n"/>
      <c r="U45" s="253">
        <f t="array" ref="U45">IFERROR(INDEX(지수RAW!$AT$7:$AT$12040,MATCH($D45,지수RAW!$AP$7:$AP$12040,0)-1,1),지수RAW!$AU$4)</f>
        <v/>
      </c>
      <c r="V45" s="253">
        <f>IFERROR(__xludf.DUMMYFUNCTION("iferror(index('지수RAW'!$AL$7:$AL$12040,MATCH($D45,'지수RAW'!$AH$7:$AH$12040,0)-1,1),GOOGLEFINANCE(V$2))"),37309.36)</f>
        <v/>
      </c>
      <c r="W45" s="25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5">
      <c r="A46" s="204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4">
        <f>"20"&amp;B46</f>
        <v/>
      </c>
      <c r="F46" s="204">
        <f>C46&amp;"월"</f>
        <v/>
      </c>
      <c r="G46" s="37">
        <f>B46&amp;"."&amp;VLOOKUP(F46,인덱스!$A:$B,2,0)</f>
        <v/>
      </c>
      <c r="H46" s="25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4" t="n"/>
      <c r="O46" s="204" t="n"/>
      <c r="P46" s="204" t="n"/>
      <c r="Q46" s="8">
        <f>IFERROR(__xludf.DUMMYFUNCTION("iferror(index('지수RAW'!$V$7:$V$12040,MATCH($D46,'지수RAW'!$R$7:$R$12040,0)-1,1),GOOGLEFINANCE(Q$2))"),3296.68)</f>
        <v/>
      </c>
      <c r="R46" s="204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4" t="n"/>
      <c r="U46" s="253">
        <f t="array" ref="U46">IFERROR(INDEX(지수RAW!$AT$7:$AT$12040,MATCH($D46,지수RAW!$AP$7:$AP$12040,0)-1,1),지수RAW!$AU$4)</f>
        <v/>
      </c>
      <c r="V46" s="253">
        <f>IFERROR(__xludf.DUMMYFUNCTION("iferror(index('지수RAW'!$AL$7:$AL$12040,MATCH($D46,'지수RAW'!$AH$7:$AH$12040,0)-1,1),GOOGLEFINANCE(V$2))"),35031.71)</f>
        <v/>
      </c>
      <c r="W46" s="25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5">
      <c r="A47" s="204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4">
        <f>"20"&amp;B47</f>
        <v/>
      </c>
      <c r="F47" s="204">
        <f>C47&amp;"월"</f>
        <v/>
      </c>
      <c r="G47" s="37">
        <f>B47&amp;"."&amp;VLOOKUP(F47,인덱스!$A:$B,2,0)</f>
        <v/>
      </c>
      <c r="H47" s="25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4" t="n"/>
      <c r="O47" s="204" t="n"/>
      <c r="P47" s="204" t="n"/>
      <c r="Q47" s="8">
        <f>IFERROR(__xludf.DUMMYFUNCTION("iferror(index('지수RAW'!$V$7:$V$12040,MATCH($D47,'지수RAW'!$R$7:$R$12040,0)-1,1),GOOGLEFINANCE(Q$2))"),3202.32)</f>
        <v/>
      </c>
      <c r="R47" s="204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4" t="n"/>
      <c r="U47" s="253">
        <f t="array" ref="U47">IFERROR(INDEX(지수RAW!$AT$7:$AT$12040,MATCH($D47,지수RAW!$AP$7:$AP$12040,0)-1,1),지수RAW!$AU$4)</f>
        <v/>
      </c>
      <c r="V47" s="253">
        <f>IFERROR(__xludf.DUMMYFUNCTION("iferror(index('지수RAW'!$AL$7:$AL$12040,MATCH($D47,'지수RAW'!$AH$7:$AH$12040,0)-1,1),GOOGLEFINANCE(V$2))"),41538.9)</f>
        <v/>
      </c>
      <c r="W47" s="25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5">
      <c r="A48" s="204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4">
        <f>"20"&amp;B48</f>
        <v/>
      </c>
      <c r="F48" s="204">
        <f>C48&amp;"월"</f>
        <v/>
      </c>
      <c r="G48" s="37">
        <f>B48&amp;"."&amp;VLOOKUP(F48,인덱스!$A:$B,2,0)</f>
        <v/>
      </c>
      <c r="H48" s="25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4" t="n"/>
      <c r="O48" s="204" t="n"/>
      <c r="P48" s="204" t="n"/>
      <c r="Q48" s="8">
        <f>IFERROR(__xludf.DUMMYFUNCTION("iferror(index('지수RAW'!$V$7:$V$12040,MATCH($D48,'지수RAW'!$R$7:$R$12040,0)-1,1),GOOGLEFINANCE(Q$2))"),3199.27)</f>
        <v/>
      </c>
      <c r="R48" s="204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4" t="n"/>
      <c r="U48" s="253">
        <f t="array" ref="U48">IFERROR(INDEX(지수RAW!$AT$7:$AT$12040,MATCH($D48,지수RAW!$AP$7:$AP$12040,0)-1,1),지수RAW!$AU$4)</f>
        <v/>
      </c>
      <c r="V48" s="253">
        <f>IFERROR(__xludf.DUMMYFUNCTION("iferror(index('지수RAW'!$AL$7:$AL$12040,MATCH($D48,'지수RAW'!$AH$7:$AH$12040,0)-1,1),GOOGLEFINANCE(V$2))"),47135.83)</f>
        <v/>
      </c>
      <c r="W48" s="25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5">
      <c r="A49" s="204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4">
        <f>"20"&amp;B49</f>
        <v/>
      </c>
      <c r="F49" s="204">
        <f>C49&amp;"월"</f>
        <v/>
      </c>
      <c r="G49" s="37">
        <f>B49&amp;"."&amp;VLOOKUP(F49,인덱스!$A:$B,2,0)</f>
        <v/>
      </c>
      <c r="H49" s="25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4" t="n"/>
      <c r="O49" s="204" t="n"/>
      <c r="P49" s="204" t="n"/>
      <c r="Q49" s="8">
        <f>IFERROR(__xludf.DUMMYFUNCTION("iferror(index('지수RAW'!$V$7:$V$12040,MATCH($D49,'지수RAW'!$R$7:$R$12040,0)-1,1),GOOGLEFINANCE(Q$2))"),3068.82)</f>
        <v/>
      </c>
      <c r="R49" s="204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4" t="n"/>
      <c r="U49" s="253">
        <f t="array" ref="U49">IFERROR(INDEX(지수RAW!$AT$7:$AT$12040,MATCH($D49,지수RAW!$AP$7:$AP$12040,0)-1,1),지수RAW!$AU$4)</f>
        <v/>
      </c>
      <c r="V49" s="253">
        <f>IFERROR(__xludf.DUMMYFUNCTION("iferror(index('지수RAW'!$AL$7:$AL$12040,MATCH($D49,'지수RAW'!$AH$7:$AH$12040,0)-1,1),GOOGLEFINANCE(V$2))"),43788.04)</f>
        <v/>
      </c>
      <c r="W49" s="25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5">
      <c r="A50" s="204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4">
        <f>"20"&amp;B50</f>
        <v/>
      </c>
      <c r="F50" s="204">
        <f>C50&amp;"월"</f>
        <v/>
      </c>
      <c r="G50" s="37">
        <f>B50&amp;"."&amp;VLOOKUP(F50,인덱스!$A:$B,2,0)</f>
        <v/>
      </c>
      <c r="H50" s="25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4" t="n"/>
      <c r="O50" s="204" t="n"/>
      <c r="P50" s="204" t="n"/>
      <c r="Q50" s="8">
        <f>IFERROR(__xludf.DUMMYFUNCTION("iferror(index('지수RAW'!$V$7:$V$12040,MATCH($D50,'지수RAW'!$R$7:$R$12040,0)-1,1),GOOGLEFINANCE(Q$2))"),2970.68)</f>
        <v/>
      </c>
      <c r="R50" s="204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4" t="n"/>
      <c r="U50" s="253">
        <f t="array" ref="U50">IFERROR(INDEX(지수RAW!$AT$7:$AT$12040,MATCH($D50,지수RAW!$AP$7:$AP$12040,0)-1,1),지수RAW!$AU$4)</f>
        <v/>
      </c>
      <c r="V50" s="253">
        <f>IFERROR(__xludf.DUMMYFUNCTION("iferror(index('지수RAW'!$AL$7:$AL$12040,MATCH($D50,'지수RAW'!$AH$7:$AH$12040,0)-1,1),GOOGLEFINANCE(V$2))"),61340.66)</f>
        <v/>
      </c>
      <c r="W50" s="25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5">
      <c r="A51" s="204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4">
        <f>"20"&amp;B51</f>
        <v/>
      </c>
      <c r="F51" s="204">
        <f>C51&amp;"월"</f>
        <v/>
      </c>
      <c r="G51" s="37">
        <f>B51&amp;"."&amp;VLOOKUP(F51,인덱스!$A:$B,2,0)</f>
        <v/>
      </c>
      <c r="H51" s="25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4" t="n"/>
      <c r="O51" s="204" t="n"/>
      <c r="P51" s="204" t="n"/>
      <c r="Q51" s="8">
        <f>IFERROR(__xludf.DUMMYFUNCTION("iferror(index('지수RAW'!$V$7:$V$12040,MATCH($D51,'지수RAW'!$R$7:$R$12040,0)-1,1),GOOGLEFINANCE(Q$2))"),2839.01)</f>
        <v/>
      </c>
      <c r="R51" s="204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4" t="n"/>
      <c r="U51" s="253">
        <f t="array" ref="U51">IFERROR(INDEX(지수RAW!$AT$7:$AT$12040,MATCH($D51,지수RAW!$AP$7:$AP$12040,0)-1,1),지수RAW!$AU$4)</f>
        <v/>
      </c>
      <c r="V51" s="253">
        <f>IFERROR(__xludf.DUMMYFUNCTION("iferror(index('지수RAW'!$AL$7:$AL$12040,MATCH($D51,'지수RAW'!$AH$7:$AH$12040,0)-1,1),GOOGLEFINANCE(V$2))"),56959.33)</f>
        <v/>
      </c>
      <c r="W51" s="25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5">
      <c r="A52" s="204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4">
        <f>"20"&amp;B52</f>
        <v/>
      </c>
      <c r="F52" s="204">
        <f>C52&amp;"월"</f>
        <v/>
      </c>
      <c r="G52" s="37">
        <f>B52&amp;"."&amp;VLOOKUP(F52,인덱스!$A:$B,2,0)</f>
        <v/>
      </c>
      <c r="H52" s="25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4" t="n"/>
      <c r="O52" s="204" t="n"/>
      <c r="P52" s="204" t="n"/>
      <c r="Q52" s="8">
        <f>IFERROR(__xludf.DUMMYFUNCTION("iferror(index('지수RAW'!$V$7:$V$12040,MATCH($D52,'지수RAW'!$R$7:$R$12040,0)-1,1),GOOGLEFINANCE(Q$2))"),2977.65)</f>
        <v/>
      </c>
      <c r="R52" s="204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4" t="n"/>
      <c r="U52" s="253">
        <f t="array" ref="U52">IFERROR(INDEX(지수RAW!$AT$7:$AT$12040,MATCH($D52,지수RAW!$AP$7:$AP$12040,0)-1,1),지수RAW!$AU$4)</f>
        <v/>
      </c>
      <c r="V52" s="253">
        <f>IFERROR(__xludf.DUMMYFUNCTION("iferror(index('지수RAW'!$AL$7:$AL$12040,MATCH($D52,'지수RAW'!$AH$7:$AH$12040,0)-1,1),GOOGLEFINANCE(V$2))"),46203.3)</f>
        <v/>
      </c>
      <c r="W52" s="25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5">
      <c r="A53" s="204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4">
        <f>"20"&amp;B53</f>
        <v/>
      </c>
      <c r="F53" s="204">
        <f>C53&amp;"월"</f>
        <v/>
      </c>
      <c r="G53" s="40">
        <f>B53&amp;"."&amp;VLOOKUP(F53,인덱스!$A:$B,2,0)</f>
        <v/>
      </c>
      <c r="H53" s="25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4" t="n"/>
      <c r="O53" s="204" t="n"/>
      <c r="P53" s="204" t="n"/>
      <c r="Q53" s="8">
        <f>IFERROR(__xludf.DUMMYFUNCTION("iferror(index('지수RAW'!$V$7:$V$12040,MATCH($D53,'지수RAW'!$R$7:$R$12040,0)-1,1),GOOGLEFINANCE(Q$2))"),2663.34)</f>
        <v/>
      </c>
      <c r="R53" s="204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4" t="n"/>
      <c r="U53" s="253">
        <f t="array" ref="U53">IFERROR(INDEX(지수RAW!$AT$7:$AT$12040,MATCH($D53,지수RAW!$AP$7:$AP$12040,0)-1,1),지수RAW!$AU$4)</f>
        <v/>
      </c>
      <c r="V53" s="253">
        <f>IFERROR(__xludf.DUMMYFUNCTION("iferror(index('지수RAW'!$AL$7:$AL$12040,MATCH($D53,'지수RAW'!$AH$7:$AH$12040,0)-1,1),GOOGLEFINANCE(V$2))"),38494.39)</f>
        <v/>
      </c>
      <c r="W53" s="25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5">
      <c r="A54" s="204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4">
        <f>"20"&amp;B54</f>
        <v/>
      </c>
      <c r="F54" s="204">
        <f>C54&amp;"월"</f>
        <v/>
      </c>
      <c r="G54" s="37">
        <f>B54&amp;"."&amp;VLOOKUP(F54,인덱스!$A:$B,2,0)</f>
        <v/>
      </c>
      <c r="H54" s="25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4" t="n"/>
      <c r="O54" s="204" t="n"/>
      <c r="P54" s="204" t="n"/>
      <c r="Q54" s="8">
        <f>IFERROR(__xludf.DUMMYFUNCTION("iferror(index('지수RAW'!$V$7:$V$12040,MATCH($D54,'지수RAW'!$R$7:$R$12040,0)-1,1),GOOGLEFINANCE(Q$2))"),2699.18)</f>
        <v/>
      </c>
      <c r="R54" s="204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4" t="n"/>
      <c r="U54" s="253">
        <f t="array" ref="U54">IFERROR(INDEX(지수RAW!$AT$7:$AT$12040,MATCH($D54,지수RAW!$AP$7:$AP$12040,0)-1,1),지수RAW!$AU$4)</f>
        <v/>
      </c>
      <c r="V54" s="253">
        <f>IFERROR(__xludf.DUMMYFUNCTION("iferror(index('지수RAW'!$AL$7:$AL$12040,MATCH($D54,'지수RAW'!$AH$7:$AH$12040,0)-1,1),GOOGLEFINANCE(V$2))"),43193.8)</f>
        <v/>
      </c>
      <c r="W54" s="25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5">
      <c r="A55" s="204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4">
        <f>"20"&amp;B55</f>
        <v/>
      </c>
      <c r="F55" s="204">
        <f>C55&amp;"월"</f>
        <v/>
      </c>
      <c r="G55" s="37">
        <f>B55&amp;"."&amp;VLOOKUP(F55,인덱스!$A:$B,2,0)</f>
        <v/>
      </c>
      <c r="H55" s="25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4" t="n"/>
      <c r="O55" s="204" t="n"/>
      <c r="P55" s="204" t="n"/>
      <c r="Q55" s="8">
        <f>IFERROR(__xludf.DUMMYFUNCTION("iferror(index('지수RAW'!$V$7:$V$12040,MATCH($D55,'지수RAW'!$R$7:$R$12040,0)-1,1),GOOGLEFINANCE(Q$2))"),2757.65)</f>
        <v/>
      </c>
      <c r="R55" s="204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4" t="n"/>
      <c r="U55" s="253">
        <f t="array" ref="U55">IFERROR(INDEX(지수RAW!$AT$7:$AT$12040,MATCH($D55,지수RAW!$AP$7:$AP$12040,0)-1,1),지수RAW!$AU$4)</f>
        <v/>
      </c>
      <c r="V55" s="253">
        <f>IFERROR(__xludf.DUMMYFUNCTION("iferror(index('지수RAW'!$AL$7:$AL$12040,MATCH($D55,'지수RAW'!$AH$7:$AH$12040,0)-1,1),GOOGLEFINANCE(V$2))"),45521.5)</f>
        <v/>
      </c>
      <c r="W55" s="25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5">
      <c r="A56" s="204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4">
        <f>"20"&amp;B56</f>
        <v/>
      </c>
      <c r="F56" s="204">
        <f>C56&amp;"월"</f>
        <v/>
      </c>
      <c r="G56" s="37">
        <f>B56&amp;"."&amp;VLOOKUP(F56,인덱스!$A:$B,2,0)</f>
        <v/>
      </c>
      <c r="H56" s="25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4" t="n"/>
      <c r="O56" s="204" t="n"/>
      <c r="P56" s="204" t="n"/>
      <c r="Q56" s="8">
        <f>IFERROR(__xludf.DUMMYFUNCTION("iferror(index('지수RAW'!$V$7:$V$12040,MATCH($D56,'지수RAW'!$R$7:$R$12040,0)-1,1),GOOGLEFINANCE(Q$2))"),2695.05)</f>
        <v/>
      </c>
      <c r="R56" s="204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4" t="n"/>
      <c r="U56" s="253">
        <f t="array" ref="U56">IFERROR(INDEX(지수RAW!$AT$7:$AT$12040,MATCH($D56,지수RAW!$AP$7:$AP$12040,0)-1,1),지수RAW!$AU$4)</f>
        <v/>
      </c>
      <c r="V56" s="253">
        <f>IFERROR(__xludf.DUMMYFUNCTION("iferror(index('지수RAW'!$AL$7:$AL$12040,MATCH($D56,'지수RAW'!$AH$7:$AH$12040,0)-1,1),GOOGLEFINANCE(V$2))"),37648.9)</f>
        <v/>
      </c>
      <c r="W56" s="25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5">
      <c r="A57" s="204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4">
        <f>"20"&amp;B57</f>
        <v/>
      </c>
      <c r="F57" s="204">
        <f>C57&amp;"월"</f>
        <v/>
      </c>
      <c r="G57" s="37">
        <f>B57&amp;"."&amp;VLOOKUP(F57,인덱스!$A:$B,2,0)</f>
        <v/>
      </c>
      <c r="H57" s="25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4" t="n"/>
      <c r="O57" s="204" t="n"/>
      <c r="P57" s="204" t="n"/>
      <c r="Q57" s="8">
        <f>IFERROR(__xludf.DUMMYFUNCTION("iferror(index('지수RAW'!$V$7:$V$12040,MATCH($D57,'지수RAW'!$R$7:$R$12040,0)-1,1),GOOGLEFINANCE(Q$2))"),2685.9)</f>
        <v/>
      </c>
      <c r="R57" s="204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4" t="n"/>
      <c r="U57" s="253">
        <f t="array" ref="U57">IFERROR(INDEX(지수RAW!$AT$7:$AT$12040,MATCH($D57,지수RAW!$AP$7:$AP$12040,0)-1,1),지수RAW!$AU$4)</f>
        <v/>
      </c>
      <c r="V57" s="253">
        <f>IFERROR(__xludf.DUMMYFUNCTION("iferror(index('지수RAW'!$AL$7:$AL$12040,MATCH($D57,'지수RAW'!$AH$7:$AH$12040,0)-1,1),GOOGLEFINANCE(V$2))"),31772.85)</f>
        <v/>
      </c>
      <c r="W57" s="25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5">
      <c r="A58" s="204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4">
        <f>"20"&amp;B58</f>
        <v/>
      </c>
      <c r="F58" s="204">
        <f>C58&amp;"월"</f>
        <v/>
      </c>
      <c r="G58" s="37">
        <f>B58&amp;"."&amp;VLOOKUP(F58,인덱스!$A:$B,2,0)</f>
        <v/>
      </c>
      <c r="H58" s="25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4" t="n"/>
      <c r="O58" s="204" t="n"/>
      <c r="P58" s="204" t="n"/>
      <c r="Q58" s="8">
        <f>IFERROR(__xludf.DUMMYFUNCTION("iferror(index('지수RAW'!$V$7:$V$12040,MATCH($D58,'지수RAW'!$R$7:$R$12040,0)-1,1),GOOGLEFINANCE(Q$2))"),2332.64)</f>
        <v/>
      </c>
      <c r="R58" s="204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4" t="n"/>
      <c r="U58" s="253">
        <f t="array" ref="U58">IFERROR(INDEX(지수RAW!$AT$7:$AT$12040,MATCH($D58,지수RAW!$AP$7:$AP$12040,0)-1,1),지수RAW!$AU$4)</f>
        <v/>
      </c>
      <c r="V58" s="253">
        <f>IFERROR(__xludf.DUMMYFUNCTION("iferror(index('지수RAW'!$AL$7:$AL$12040,MATCH($D58,'지수RAW'!$AH$7:$AH$12040,0)-1,1),GOOGLEFINANCE(V$2))"),19913.14)</f>
        <v/>
      </c>
      <c r="W58" s="25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5">
      <c r="A59" s="204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4">
        <f>"20"&amp;B59</f>
        <v/>
      </c>
      <c r="F59" s="204">
        <f>C59&amp;"월"</f>
        <v/>
      </c>
      <c r="G59" s="37">
        <f>B59&amp;"."&amp;VLOOKUP(F59,인덱스!$A:$B,2,0)</f>
        <v/>
      </c>
      <c r="H59" s="25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4" t="n"/>
      <c r="O59" s="204" t="n"/>
      <c r="P59" s="204" t="n"/>
      <c r="Q59" s="8">
        <f>IFERROR(__xludf.DUMMYFUNCTION("iferror(index('지수RAW'!$V$7:$V$12040,MATCH($D59,'지수RAW'!$R$7:$R$12040,0)-1,1),GOOGLEFINANCE(Q$2))"),2451.5)</f>
        <v/>
      </c>
      <c r="R59" s="204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4" t="n"/>
      <c r="U59" s="253">
        <f t="array" ref="U59">IFERROR(INDEX(지수RAW!$AT$7:$AT$12040,MATCH($D59,지수RAW!$AP$7:$AP$12040,0)-1,1),지수RAW!$AU$4)</f>
        <v/>
      </c>
      <c r="V59" s="253">
        <f>IFERROR(__xludf.DUMMYFUNCTION("iferror(index('지수RAW'!$AL$7:$AL$12040,MATCH($D59,'지수RAW'!$AH$7:$AH$12040,0)-1,1),GOOGLEFINANCE(V$2))"),23308.66)</f>
        <v/>
      </c>
      <c r="W59" s="25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5">
      <c r="A60" s="204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4">
        <f>"20"&amp;B60</f>
        <v/>
      </c>
      <c r="F60" s="204">
        <f>C60&amp;"월"</f>
        <v/>
      </c>
      <c r="G60" s="37">
        <f>B60&amp;"."&amp;VLOOKUP(F60,인덱스!$A:$B,2,0)</f>
        <v/>
      </c>
      <c r="H60" s="25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4" t="n"/>
      <c r="O60" s="204" t="n"/>
      <c r="P60" s="204" t="n"/>
      <c r="Q60" s="8">
        <f>IFERROR(__xludf.DUMMYFUNCTION("iferror(index('지수RAW'!$V$7:$V$12040,MATCH($D60,'지수RAW'!$R$7:$R$12040,0)-1,1),GOOGLEFINANCE(Q$2))"),2472.05)</f>
        <v/>
      </c>
      <c r="R60" s="204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4" t="n"/>
      <c r="U60" s="253">
        <f t="array" ref="U60">IFERROR(INDEX(지수RAW!$AT$7:$AT$12040,MATCH($D60,지수RAW!$AP$7:$AP$12040,0)-1,1),지수RAW!$AU$4)</f>
        <v/>
      </c>
      <c r="V60" s="253">
        <f>IFERROR(__xludf.DUMMYFUNCTION("iferror(index('지수RAW'!$AL$7:$AL$12040,MATCH($D60,'지수RAW'!$AH$7:$AH$12040,0)-1,1),GOOGLEFINANCE(V$2))"),20049.38)</f>
        <v/>
      </c>
      <c r="W60" s="25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5">
      <c r="A61" s="204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4">
        <f>"20"&amp;B61</f>
        <v/>
      </c>
      <c r="F61" s="204">
        <f>C61&amp;"월"</f>
        <v/>
      </c>
      <c r="G61" s="37">
        <f>B61&amp;"."&amp;VLOOKUP(F61,인덱스!$A:$B,2,0)</f>
        <v/>
      </c>
      <c r="H61" s="25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4" t="n"/>
      <c r="O61" s="204" t="n"/>
      <c r="P61" s="204" t="n"/>
      <c r="Q61" s="8">
        <f>IFERROR(__xludf.DUMMYFUNCTION("iferror(index('지수RAW'!$V$7:$V$12040,MATCH($D61,'지수RAW'!$R$7:$R$12040,0)-1,1),GOOGLEFINANCE(Q$2))"),2155.49)</f>
        <v/>
      </c>
      <c r="R61" s="204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4" t="n"/>
      <c r="U61" s="253">
        <f t="array" ref="U61">IFERROR(INDEX(지수RAW!$AT$7:$AT$12040,MATCH($D61,지수RAW!$AP$7:$AP$12040,0)-1,1),지수RAW!$AU$4)</f>
        <v/>
      </c>
      <c r="V61" s="253">
        <f>IFERROR(__xludf.DUMMYFUNCTION("iferror(index('지수RAW'!$AL$7:$AL$12040,MATCH($D61,'지수RAW'!$AH$7:$AH$12040,0)-1,1),GOOGLEFINANCE(V$2))"),19424.58)</f>
        <v/>
      </c>
      <c r="W61" s="25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5">
      <c r="A62" s="204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4">
        <f>"20"&amp;B62</f>
        <v/>
      </c>
      <c r="F62" s="204">
        <f>C62&amp;"월"</f>
        <v/>
      </c>
      <c r="G62" s="37">
        <f>B62&amp;"."&amp;VLOOKUP(F62,인덱스!$A:$B,2,0)</f>
        <v/>
      </c>
      <c r="H62" s="25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4" t="n"/>
      <c r="O62" s="204" t="n"/>
      <c r="P62" s="204" t="n"/>
      <c r="Q62" s="8">
        <f>IFERROR(__xludf.DUMMYFUNCTION("iferror(index('지수RAW'!$V$7:$V$12040,MATCH($D62,'지수RAW'!$R$7:$R$12040,0)-1,1),GOOGLEFINANCE(Q$2))"),2293.61)</f>
        <v/>
      </c>
      <c r="R62" s="204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4" t="n"/>
      <c r="U62" s="253">
        <f t="array" ref="U62">IFERROR(INDEX(지수RAW!$AT$7:$AT$12040,MATCH($D62,지수RAW!$AP$7:$AP$12040,0)-1,1),지수RAW!$AU$4)</f>
        <v/>
      </c>
      <c r="V62" s="253">
        <f>IFERROR(__xludf.DUMMYFUNCTION("iferror(index('지수RAW'!$AL$7:$AL$12040,MATCH($D62,'지수RAW'!$AH$7:$AH$12040,0)-1,1),GOOGLEFINANCE(V$2))"),20492.16)</f>
        <v/>
      </c>
      <c r="W62" s="25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5">
      <c r="A63" s="204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4">
        <f>"20"&amp;B63</f>
        <v/>
      </c>
      <c r="F63" s="204">
        <f>C63&amp;"월"</f>
        <v/>
      </c>
      <c r="G63" s="37">
        <f>B63&amp;"."&amp;VLOOKUP(F63,인덱스!$A:$B,2,0)</f>
        <v/>
      </c>
      <c r="H63" s="25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4" t="n"/>
      <c r="O63" s="204" t="n"/>
      <c r="P63" s="204" t="n"/>
      <c r="Q63" s="8">
        <f>IFERROR(__xludf.DUMMYFUNCTION("iferror(index('지수RAW'!$V$7:$V$12040,MATCH($D63,'지수RAW'!$R$7:$R$12040,0)-1,1),GOOGLEFINANCE(Q$2))"),2472.53)</f>
        <v/>
      </c>
      <c r="R63" s="204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4" t="n"/>
      <c r="U63" s="253">
        <f t="array" ref="U63">IFERROR(INDEX(지수RAW!$AT$7:$AT$12040,MATCH($D63,지수RAW!$AP$7:$AP$12040,0)-1,1),지수RAW!$AU$4)</f>
        <v/>
      </c>
      <c r="V63" s="253">
        <f>IFERROR(__xludf.DUMMYFUNCTION("iferror(index('지수RAW'!$AL$7:$AL$12040,MATCH($D63,'지수RAW'!$AH$7:$AH$12040,0)-1,1),GOOGLEFINANCE(V$2))"),17162.97)</f>
        <v/>
      </c>
      <c r="W63" s="25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5">
      <c r="A64" s="204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4">
        <f>"20"&amp;B64</f>
        <v/>
      </c>
      <c r="F64" s="204">
        <f>C64&amp;"월"</f>
        <v/>
      </c>
      <c r="G64" s="37">
        <f>B64&amp;"."&amp;VLOOKUP(F64,인덱스!$A:$B,2,0)</f>
        <v/>
      </c>
      <c r="H64" s="25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4" t="n"/>
      <c r="O64" s="204" t="n"/>
      <c r="P64" s="204" t="n"/>
      <c r="Q64" s="8">
        <f>IFERROR(__xludf.DUMMYFUNCTION("iferror(index('지수RAW'!$V$7:$V$12040,MATCH($D64,'지수RAW'!$R$7:$R$12040,0)-1,1),GOOGLEFINANCE(Q$2))"),2236.4)</f>
        <v/>
      </c>
      <c r="R64" s="204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4" t="n"/>
      <c r="U64" s="253">
        <f t="array" ref="U64">IFERROR(INDEX(지수RAW!$AT$7:$AT$12040,MATCH($D64,지수RAW!$AP$7:$AP$12040,0)-1,1),지수RAW!$AU$4)</f>
        <v/>
      </c>
      <c r="V64" s="253">
        <f>IFERROR(__xludf.DUMMYFUNCTION("iferror(index('지수RAW'!$AL$7:$AL$12040,MATCH($D64,'지수RAW'!$AH$7:$AH$12040,0)-1,1),GOOGLEFINANCE(V$2))"),16529.2)</f>
        <v/>
      </c>
      <c r="W64" s="25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5">
      <c r="A65" s="204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4">
        <f>"20"&amp;B65</f>
        <v/>
      </c>
      <c r="F65" s="204">
        <f>C65&amp;"월"</f>
        <v/>
      </c>
      <c r="G65" s="40">
        <f>B65&amp;"."&amp;VLOOKUP(F65,인덱스!$A:$B,2,0)</f>
        <v/>
      </c>
      <c r="H65" s="25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4" t="n"/>
      <c r="O65" s="204" t="n"/>
      <c r="P65" s="204" t="n"/>
      <c r="Q65" s="8">
        <f>IFERROR(__xludf.DUMMYFUNCTION("iferror(index('지수RAW'!$V$7:$V$12040,MATCH($D65,'지수RAW'!$R$7:$R$12040,0)-1,1),GOOGLEFINANCE(Q$2))"),2425.08)</f>
        <v/>
      </c>
      <c r="R65" s="204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4" t="n"/>
      <c r="U65" s="253">
        <f t="array" ref="U65">IFERROR(INDEX(지수RAW!$AT$7:$AT$12040,MATCH($D65,지수RAW!$AP$7:$AP$12040,0)-1,1),지수RAW!$AU$4)</f>
        <v/>
      </c>
      <c r="V65" s="253">
        <f>IFERROR(__xludf.DUMMYFUNCTION("iferror(index('지수RAW'!$AL$7:$AL$12040,MATCH($D65,'지수RAW'!$AH$7:$AH$12040,0)-1,1),GOOGLEFINANCE(V$2))"),23129.07)</f>
        <v/>
      </c>
      <c r="W65" s="25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5">
      <c r="A66" s="204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4">
        <f>"20"&amp;B66</f>
        <v/>
      </c>
      <c r="F66" s="204">
        <f>C66&amp;"월"</f>
        <v/>
      </c>
      <c r="G66" s="37">
        <f>B66&amp;"."&amp;VLOOKUP(F66,인덱스!$A:$B,2,0)</f>
        <v/>
      </c>
      <c r="H66" s="25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4" t="n"/>
      <c r="O66" s="204" t="n"/>
      <c r="P66" s="204" t="n"/>
      <c r="Q66" s="8">
        <f>IFERROR(__xludf.DUMMYFUNCTION("iferror(index('지수RAW'!$V$7:$V$12040,MATCH($D66,'지수RAW'!$R$7:$R$12040,0)-1,1),GOOGLEFINANCE(Q$2))"),2412.85)</f>
        <v/>
      </c>
      <c r="R66" s="204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4" t="n"/>
      <c r="U66" s="253">
        <f t="array" ref="U66">IFERROR(INDEX(지수RAW!$AT$7:$AT$12040,MATCH($D66,지수RAW!$AP$7:$AP$12040,0)-1,1),지수RAW!$AU$4)</f>
        <v/>
      </c>
      <c r="V66" s="253">
        <f>IFERROR(__xludf.DUMMYFUNCTION("iferror(index('지수RAW'!$AL$7:$AL$12040,MATCH($D66,'지수RAW'!$AH$7:$AH$12040,0)-1,1),GOOGLEFINANCE(V$2))"),23131.85)</f>
        <v/>
      </c>
      <c r="W66" s="25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5">
      <c r="A67" s="204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4">
        <f>"20"&amp;B67</f>
        <v/>
      </c>
      <c r="F67" s="204">
        <f>C67&amp;"월"</f>
        <v/>
      </c>
      <c r="G67" s="37">
        <f>B67&amp;"."&amp;VLOOKUP(F67,인덱스!$A:$B,2,0)</f>
        <v/>
      </c>
      <c r="H67" s="25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4" t="n"/>
      <c r="O67" s="204" t="n"/>
      <c r="P67" s="204" t="n"/>
      <c r="Q67" s="8">
        <f>IFERROR(__xludf.DUMMYFUNCTION("iferror(index('지수RAW'!$V$7:$V$12040,MATCH($D67,'지수RAW'!$R$7:$R$12040,0)-1,1),GOOGLEFINANCE(Q$2))"),2476.86)</f>
        <v/>
      </c>
      <c r="R67" s="204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4" t="n"/>
      <c r="U67" s="253">
        <f t="array" ref="U67">IFERROR(INDEX(지수RAW!$AT$7:$AT$12040,MATCH($D67,지수RAW!$AP$7:$AP$12040,0)-1,1),지수RAW!$AU$4)</f>
        <v/>
      </c>
      <c r="V67" s="253">
        <f>IFERROR(__xludf.DUMMYFUNCTION("iferror(index('지수RAW'!$AL$7:$AL$12040,MATCH($D67,'지수RAW'!$AH$7:$AH$12040,0)-1,1),GOOGLEFINANCE(V$2))"),28474.26)</f>
        <v/>
      </c>
      <c r="W67" s="25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5">
      <c r="A68" s="204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4">
        <f>"20"&amp;B68</f>
        <v/>
      </c>
      <c r="F68" s="204">
        <f>C68&amp;"월"</f>
        <v/>
      </c>
      <c r="G68" s="37">
        <f>B68&amp;"."&amp;VLOOKUP(F68,인덱스!$A:$B,2,0)</f>
        <v/>
      </c>
      <c r="H68" s="25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4" t="n"/>
      <c r="O68" s="204" t="n"/>
      <c r="P68" s="204" t="n"/>
      <c r="Q68" s="8">
        <f>IFERROR(__xludf.DUMMYFUNCTION("iferror(index('지수RAW'!$V$7:$V$12040,MATCH($D68,'지수RAW'!$R$7:$R$12040,0)-1,1),GOOGLEFINANCE(Q$2))"),2501.53)</f>
        <v/>
      </c>
      <c r="R68" s="204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4" t="n"/>
      <c r="U68" s="253">
        <f t="array" ref="U68">IFERROR(INDEX(지수RAW!$AT$7:$AT$12040,MATCH($D68,지수RAW!$AP$7:$AP$12040,0)-1,1),지수RAW!$AU$4)</f>
        <v/>
      </c>
      <c r="V68" s="253">
        <f>IFERROR(__xludf.DUMMYFUNCTION("iferror(index('지수RAW'!$AL$7:$AL$12040,MATCH($D68,'지수RAW'!$AH$7:$AH$12040,0)-1,1),GOOGLEFINANCE(V$2))"),29253.14)</f>
        <v/>
      </c>
      <c r="W68" s="25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5">
      <c r="A69" s="204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4">
        <f>"20"&amp;B69</f>
        <v/>
      </c>
      <c r="F69" s="204">
        <f>C69&amp;"월"</f>
        <v/>
      </c>
      <c r="G69" s="37">
        <f>B69&amp;"."&amp;VLOOKUP(F69,인덱스!$A:$B,2,0)</f>
        <v/>
      </c>
      <c r="H69" s="25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4" t="n"/>
      <c r="O69" s="204" t="n"/>
      <c r="P69" s="204" t="n"/>
      <c r="Q69" s="8">
        <f>IFERROR(__xludf.DUMMYFUNCTION("iferror(index('지수RAW'!$V$7:$V$12040,MATCH($D69,'지수RAW'!$R$7:$R$12040,0)-1,1),GOOGLEFINANCE(Q$2))"),2577.12)</f>
        <v/>
      </c>
      <c r="R69" s="204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4" t="n"/>
      <c r="U69" s="253">
        <f t="array" ref="U69">IFERROR(INDEX(지수RAW!$AT$7:$AT$12040,MATCH($D69,지수RAW!$AP$7:$AP$12040,0)-1,1),지수RAW!$AU$4)</f>
        <v/>
      </c>
      <c r="V69" s="253">
        <f>IFERROR(__xludf.DUMMYFUNCTION("iferror(index('지수RAW'!$AL$7:$AL$12040,MATCH($D69,'지수RAW'!$AH$7:$AH$12040,0)-1,1),GOOGLEFINANCE(V$2))"),27218.21)</f>
        <v/>
      </c>
      <c r="W69" s="25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5">
      <c r="A70" s="204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4">
        <f>"20"&amp;B70</f>
        <v/>
      </c>
      <c r="F70" s="204">
        <f>C70&amp;"월"</f>
        <v/>
      </c>
      <c r="G70" s="37">
        <f>B70&amp;"."&amp;VLOOKUP(F70,인덱스!$A:$B,2,0)</f>
        <v/>
      </c>
      <c r="H70" s="25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4" t="n"/>
      <c r="O70" s="204" t="n"/>
      <c r="P70" s="204" t="n"/>
      <c r="Q70" s="8">
        <f>IFERROR(__xludf.DUMMYFUNCTION("iferror(index('지수RAW'!$V$7:$V$12040,MATCH($D70,'지수RAW'!$R$7:$R$12040,0)-1,1),GOOGLEFINANCE(Q$2))"),2564.28)</f>
        <v/>
      </c>
      <c r="R70" s="204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4" t="n"/>
      <c r="U70" s="253">
        <f t="array" ref="U70">IFERROR(INDEX(지수RAW!$AT$7:$AT$12040,MATCH($D70,지수RAW!$AP$7:$AP$12040,0)-1,1),지수RAW!$AU$4)</f>
        <v/>
      </c>
      <c r="V70" s="253">
        <f>IFERROR(__xludf.DUMMYFUNCTION("iferror(index('지수RAW'!$AL$7:$AL$12040,MATCH($D70,'지수RAW'!$AH$7:$AH$12040,0)-1,1),GOOGLEFINANCE(V$2))"),30472.82)</f>
        <v/>
      </c>
      <c r="W70" s="25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5">
      <c r="A71" s="204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4">
        <f>"20"&amp;B71</f>
        <v/>
      </c>
      <c r="F71" s="204">
        <f>C71&amp;"월"</f>
        <v/>
      </c>
      <c r="G71" s="37">
        <f>B71&amp;"."&amp;VLOOKUP(F71,인덱스!$A:$B,2,0)</f>
        <v/>
      </c>
      <c r="H71" s="25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4" t="n"/>
      <c r="O71" s="204" t="n"/>
      <c r="P71" s="204" t="n"/>
      <c r="Q71" s="8">
        <f>IFERROR(__xludf.DUMMYFUNCTION("iferror(index('지수RAW'!$V$7:$V$12040,MATCH($D71,'지수RAW'!$R$7:$R$12040,0)-1,1),GOOGLEFINANCE(Q$2))"),2632.58)</f>
        <v/>
      </c>
      <c r="R71" s="204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4" t="n"/>
      <c r="U71" s="253">
        <f t="array" ref="U71">IFERROR(INDEX(지수RAW!$AT$7:$AT$12040,MATCH($D71,지수RAW!$AP$7:$AP$12040,0)-1,1),지수RAW!$AU$4)</f>
        <v/>
      </c>
      <c r="V71" s="253">
        <f>IFERROR(__xludf.DUMMYFUNCTION("iferror(index('지수RAW'!$AL$7:$AL$12040,MATCH($D71,'지수RAW'!$AH$7:$AH$12040,0)-1,1),GOOGLEFINANCE(V$2))"),29244.09)</f>
        <v/>
      </c>
      <c r="W71" s="25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5">
      <c r="A72" s="204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4">
        <f>"20"&amp;B72</f>
        <v/>
      </c>
      <c r="F72" s="204">
        <f>C72&amp;"월"</f>
        <v/>
      </c>
      <c r="G72" s="37">
        <f>B72&amp;"."&amp;VLOOKUP(F72,인덱스!$A:$B,2,0)</f>
        <v/>
      </c>
      <c r="H72" s="25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4" t="n"/>
      <c r="O72" s="204" t="n"/>
      <c r="P72" s="204" t="n"/>
      <c r="Q72" s="8">
        <f>IFERROR(__xludf.DUMMYFUNCTION("iferror(index('지수RAW'!$V$7:$V$12040,MATCH($D72,'지수RAW'!$R$7:$R$12040,0)-1,1),GOOGLEFINANCE(Q$2))"),2556.27)</f>
        <v/>
      </c>
      <c r="R72" s="204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4" t="n"/>
      <c r="U72" s="253">
        <f t="array" ref="U72">IFERROR(INDEX(지수RAW!$AT$7:$AT$12040,MATCH($D72,지수RAW!$AP$7:$AP$12040,0)-1,1),지수RAW!$AU$4)</f>
        <v/>
      </c>
      <c r="V72" s="253">
        <f>IFERROR(__xludf.DUMMYFUNCTION("iferror(index('지수RAW'!$AL$7:$AL$12040,MATCH($D72,'지수RAW'!$AH$7:$AH$12040,0)-1,1),GOOGLEFINANCE(V$2))"),25936.08)</f>
        <v/>
      </c>
      <c r="W72" s="25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5">
      <c r="A73" s="204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4">
        <f>"20"&amp;B73</f>
        <v/>
      </c>
      <c r="F73" s="204">
        <f>C73&amp;"월"</f>
        <v/>
      </c>
      <c r="G73" s="37">
        <f>B73&amp;"."&amp;VLOOKUP(F73,인덱스!$A:$B,2,0)</f>
        <v/>
      </c>
      <c r="H73" s="25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4" t="n"/>
      <c r="O73" s="204" t="n"/>
      <c r="P73" s="204" t="n"/>
      <c r="Q73" s="8">
        <f>IFERROR(__xludf.DUMMYFUNCTION("iferror(index('지수RAW'!$V$7:$V$12040,MATCH($D73,'지수RAW'!$R$7:$R$12040,0)-1,1),GOOGLEFINANCE(Q$2))"),2465.07)</f>
        <v/>
      </c>
      <c r="R73" s="204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4" t="n"/>
      <c r="U73" s="253">
        <f t="array" ref="U73">IFERROR(INDEX(지수RAW!$AT$7:$AT$12040,MATCH($D73,지수RAW!$AP$7:$AP$12040,0)-1,1),지수RAW!$AU$4)</f>
        <v/>
      </c>
      <c r="V73" s="253">
        <f>IFERROR(__xludf.DUMMYFUNCTION("iferror(index('지수RAW'!$AL$7:$AL$12040,MATCH($D73,'지수RAW'!$AH$7:$AH$12040,0)-1,1),GOOGLEFINANCE(V$2))"),26968.96)</f>
        <v/>
      </c>
      <c r="W73" s="25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5">
      <c r="A74" s="204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4">
        <f>"20"&amp;B74</f>
        <v/>
      </c>
      <c r="F74" s="204">
        <f>C74&amp;"월"</f>
        <v/>
      </c>
      <c r="G74" s="37">
        <f>B74&amp;"."&amp;VLOOKUP(F74,인덱스!$A:$B,2,0)</f>
        <v/>
      </c>
      <c r="H74" s="25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4" t="n"/>
      <c r="O74" s="204" t="n"/>
      <c r="P74" s="204" t="n"/>
      <c r="Q74" s="8">
        <f>IFERROR(__xludf.DUMMYFUNCTION("iferror(index('지수RAW'!$V$7:$V$12040,MATCH($D74,'지수RAW'!$R$7:$R$12040,0)-1,1),GOOGLEFINANCE(Q$2))"),2277.99)</f>
        <v/>
      </c>
      <c r="R74" s="204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4" t="n"/>
      <c r="U74" s="253">
        <f t="array" ref="U74">IFERROR(INDEX(지수RAW!$AT$7:$AT$12040,MATCH($D74,지수RAW!$AP$7:$AP$12040,0)-1,1),지수RAW!$AU$4)</f>
        <v/>
      </c>
      <c r="V74" s="253">
        <f>IFERROR(__xludf.DUMMYFUNCTION("iferror(index('지수RAW'!$AL$7:$AL$12040,MATCH($D74,'지수RAW'!$AH$7:$AH$12040,0)-1,1),GOOGLEFINANCE(V$2))"),34661.5)</f>
        <v/>
      </c>
      <c r="W74" s="25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5">
      <c r="A75" s="204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4">
        <f>"20"&amp;B75</f>
        <v/>
      </c>
      <c r="F75" s="204">
        <f>C75&amp;"월"</f>
        <v/>
      </c>
      <c r="G75" s="37">
        <f>B75&amp;"."&amp;VLOOKUP(F75,인덱스!$A:$B,2,0)</f>
        <v/>
      </c>
      <c r="H75" s="25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4" t="n"/>
      <c r="O75" s="204" t="n"/>
      <c r="P75" s="204" t="n"/>
      <c r="Q75" s="8">
        <f>IFERROR(__xludf.DUMMYFUNCTION("iferror(index('지수RAW'!$V$7:$V$12040,MATCH($D75,'지수RAW'!$R$7:$R$12040,0)-1,1),GOOGLEFINANCE(Q$2))"),2535.29)</f>
        <v/>
      </c>
      <c r="R75" s="204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4" t="n"/>
      <c r="U75" s="253">
        <f t="array" ref="U75">IFERROR(INDEX(지수RAW!$AT$7:$AT$12040,MATCH($D75,지수RAW!$AP$7:$AP$12040,0)-1,1),지수RAW!$AU$4)</f>
        <v/>
      </c>
      <c r="V75" s="253">
        <f>IFERROR(__xludf.DUMMYFUNCTION("iferror(index('지수RAW'!$AL$7:$AL$12040,MATCH($D75,'지수RAW'!$AH$7:$AH$12040,0)-1,1),GOOGLEFINANCE(V$2))"),37723.79)</f>
        <v/>
      </c>
      <c r="W75" s="25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5">
      <c r="A76" s="204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4">
        <f>"20"&amp;B76</f>
        <v/>
      </c>
      <c r="F76" s="204">
        <f>C76&amp;"월"</f>
        <v/>
      </c>
      <c r="G76" s="37">
        <f>B76&amp;"."&amp;VLOOKUP(F76,인덱스!$A:$B,2,0)</f>
        <v/>
      </c>
      <c r="H76" s="25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4" t="n"/>
      <c r="O76" s="204" t="n"/>
      <c r="P76" s="204" t="n"/>
      <c r="Q76" s="8">
        <f>IFERROR(__xludf.DUMMYFUNCTION("iferror(index('지수RAW'!$V$7:$V$12040,MATCH($D76,'지수RAW'!$R$7:$R$12040,0)-1,1),GOOGLEFINANCE(Q$2))"),2655.28)</f>
        <v/>
      </c>
      <c r="R76" s="204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4" t="n"/>
      <c r="U76" s="253">
        <f t="array" ref="U76">IFERROR(INDEX(지수RAW!$AT$7:$AT$12040,MATCH($D76,지수RAW!$AP$7:$AP$12040,0)-1,1),지수RAW!$AU$4)</f>
        <v/>
      </c>
      <c r="V76" s="253">
        <f>IFERROR(__xludf.DUMMYFUNCTION("iferror(index('지수RAW'!$AL$7:$AL$12040,MATCH($D76,'지수RAW'!$AH$7:$AH$12040,0)-1,1),GOOGLEFINANCE(V$2))"),42291.37)</f>
        <v/>
      </c>
      <c r="W76" s="25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5">
      <c r="A77" s="204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4">
        <f>"20"&amp;B77</f>
        <v/>
      </c>
      <c r="F77" s="204">
        <f>C77&amp;"월"</f>
        <v/>
      </c>
      <c r="G77" s="40">
        <f>B77&amp;"."&amp;VLOOKUP(F77,인덱스!$A:$B,2,0)</f>
        <v/>
      </c>
      <c r="H77" s="25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4" t="n"/>
      <c r="O77" s="204" t="n"/>
      <c r="P77" s="204" t="n"/>
      <c r="Q77" s="8">
        <f>IFERROR(__xludf.DUMMYFUNCTION("iferror(index('지수RAW'!$V$7:$V$12040,MATCH($D77,'지수RAW'!$R$7:$R$12040,0)-1,1),GOOGLEFINANCE(Q$2))"),2497.09)</f>
        <v/>
      </c>
      <c r="R77" s="204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4" t="n"/>
      <c r="U77" s="253">
        <f t="array" ref="U77">IFERROR(INDEX(지수RAW!$AT$7:$AT$12040,MATCH($D77,지수RAW!$AP$7:$AP$12040,0)-1,1),지수RAW!$AU$4)</f>
        <v/>
      </c>
      <c r="V77" s="253">
        <f>IFERROR(__xludf.DUMMYFUNCTION("iferror(index('지수RAW'!$AL$7:$AL$12040,MATCH($D77,'지수RAW'!$AH$7:$AH$12040,0)-1,1),GOOGLEFINANCE(V$2))"),42582.21)</f>
        <v/>
      </c>
      <c r="W77" s="25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5">
      <c r="A78" s="204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4">
        <f>"20"&amp;B78</f>
        <v/>
      </c>
      <c r="F78" s="204">
        <f>C78&amp;"월"</f>
        <v/>
      </c>
      <c r="G78" s="37">
        <f>B78&amp;"."&amp;VLOOKUP(F78,인덱스!$A:$B,2,0)</f>
        <v/>
      </c>
      <c r="H78" s="25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4" t="n"/>
      <c r="O78" s="204" t="n"/>
      <c r="P78" s="204" t="n"/>
      <c r="Q78" s="8">
        <f>IFERROR(__xludf.DUMMYFUNCTION("iferror(index('지수RAW'!$V$7:$V$12040,MATCH($D78,'지수RAW'!$R$7:$R$12040,0)-1,1),GOOGLEFINANCE(Q$2))"),2642.36)</f>
        <v/>
      </c>
      <c r="R78" s="204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4" t="n"/>
      <c r="U78" s="253">
        <f t="array" ref="U78">IFERROR(INDEX(지수RAW!$AT$7:$AT$12040,MATCH($D78,지수RAW!$AP$7:$AP$12040,0)-1,1),지수RAW!$AU$4)</f>
        <v/>
      </c>
      <c r="V78" s="253">
        <f>IFERROR(__xludf.DUMMYFUNCTION("iferror(index('지수RAW'!$AL$7:$AL$12040,MATCH($D78,'지수RAW'!$AH$7:$AH$12040,0)-1,1),GOOGLEFINANCE(V$2))"),61253.9)</f>
        <v/>
      </c>
      <c r="W78" s="25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5">
      <c r="A79" s="204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4">
        <f>"20"&amp;B79</f>
        <v/>
      </c>
      <c r="F79" s="204">
        <f>C79&amp;"월"</f>
        <v/>
      </c>
      <c r="G79" s="37">
        <f>B79&amp;"."&amp;VLOOKUP(F79,인덱스!$A:$B,2,0)</f>
        <v/>
      </c>
      <c r="H79" s="25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4" t="n"/>
      <c r="O79" s="204" t="n"/>
      <c r="P79" s="204" t="n"/>
      <c r="Q79" s="8">
        <f>IFERROR(__xludf.DUMMYFUNCTION("iferror(index('지수RAW'!$V$7:$V$12040,MATCH($D79,'지수RAW'!$R$7:$R$12040,0)-1,1),GOOGLEFINANCE(Q$2))"),2746.63)</f>
        <v/>
      </c>
      <c r="R79" s="204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4" t="n"/>
      <c r="U79" s="253">
        <f t="array" ref="U79">IFERROR(INDEX(지수RAW!$AT$7:$AT$12040,MATCH($D79,지수RAW!$AP$7:$AP$12040,0)-1,1),지수RAW!$AU$4)</f>
        <v/>
      </c>
      <c r="V79" s="253">
        <f>IFERROR(__xludf.DUMMYFUNCTION("iferror(index('지수RAW'!$AL$7:$AL$12040,MATCH($D79,'지수RAW'!$AH$7:$AH$12040,0)-1,1),GOOGLEFINANCE(V$2))"),71341.71)</f>
        <v/>
      </c>
      <c r="W79" s="25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5">
      <c r="A80" s="204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4">
        <f>"20"&amp;B80</f>
        <v/>
      </c>
      <c r="F80" s="204">
        <f>C80&amp;"월"</f>
        <v/>
      </c>
      <c r="G80" s="37">
        <f>B80&amp;"."&amp;VLOOKUP(F80,인덱스!$A:$B,2,0)</f>
        <v/>
      </c>
      <c r="H80" s="25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4" t="n"/>
      <c r="O80" s="204" t="n"/>
      <c r="P80" s="204" t="n"/>
      <c r="Q80" s="8">
        <f>IFERROR(__xludf.DUMMYFUNCTION("iferror(index('지수RAW'!$V$7:$V$12040,MATCH($D80,'지수RAW'!$R$7:$R$12040,0)-1,1),GOOGLEFINANCE(Q$2))"),2692.06)</f>
        <v/>
      </c>
      <c r="R80" s="204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4" t="n"/>
      <c r="U80" s="253">
        <f t="array" ref="U80">IFERROR(INDEX(지수RAW!$AT$7:$AT$12040,MATCH($D80,지수RAW!$AP$7:$AP$12040,0)-1,1),지수RAW!$AU$4)</f>
        <v/>
      </c>
      <c r="V80" s="253">
        <f>IFERROR(__xludf.DUMMYFUNCTION("iferror(index('지수RAW'!$AL$7:$AL$12040,MATCH($D80,'지수RAW'!$AH$7:$AH$12040,0)-1,1),GOOGLEFINANCE(V$2))"),60751.65)</f>
        <v/>
      </c>
      <c r="W80" s="25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5">
      <c r="A81" s="204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4">
        <f>"20"&amp;B81</f>
        <v/>
      </c>
      <c r="F81" s="204">
        <f>C81&amp;"월"</f>
        <v/>
      </c>
      <c r="G81" s="37">
        <f>B81&amp;"."&amp;VLOOKUP(F81,인덱스!$A:$B,2,0)</f>
        <v/>
      </c>
      <c r="H81" s="25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4" t="n"/>
      <c r="O81" s="204" t="n"/>
      <c r="P81" s="204" t="n"/>
      <c r="Q81" s="8">
        <f>IFERROR(__xludf.DUMMYFUNCTION("iferror(index('지수RAW'!$V$7:$V$12040,MATCH($D81,'지수RAW'!$R$7:$R$12040,0)-1,1),GOOGLEFINANCE(Q$2))"),2636.52)</f>
        <v/>
      </c>
      <c r="R81" s="204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4" t="n"/>
      <c r="U81" s="253">
        <f t="array" ref="U81">IFERROR(INDEX(지수RAW!$AT$7:$AT$12040,MATCH($D81,지수RAW!$AP$7:$AP$12040,0)-1,1),지수RAW!$AU$4)</f>
        <v/>
      </c>
      <c r="V81" s="253">
        <f>IFERROR(__xludf.DUMMYFUNCTION("iferror(index('지수RAW'!$AL$7:$AL$12040,MATCH($D81,'지수RAW'!$AH$7:$AH$12040,0)-1,1),GOOGLEFINANCE(V$2))"),68571.17)</f>
        <v/>
      </c>
      <c r="W81" s="25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5">
      <c r="A82" s="204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4">
        <f>"20"&amp;B82</f>
        <v/>
      </c>
      <c r="F82" s="204">
        <f>C82&amp;"월"</f>
        <v/>
      </c>
      <c r="G82" s="37">
        <f>B82&amp;"."&amp;VLOOKUP(F82,인덱스!$A:$B,2,0)</f>
        <v/>
      </c>
      <c r="H82" s="25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4" t="n"/>
      <c r="O82" s="204" t="n"/>
      <c r="P82" s="204" t="n"/>
      <c r="Q82" s="8">
        <f>IFERROR(__xludf.DUMMYFUNCTION("iferror(index('지수RAW'!$V$7:$V$12040,MATCH($D82,'지수RAW'!$R$7:$R$12040,0)-1,1),GOOGLEFINANCE(Q$2))"),2797.82)</f>
        <v/>
      </c>
      <c r="R82" s="204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4" t="n"/>
      <c r="U82" s="253">
        <f t="array" ref="U82">IFERROR(INDEX(지수RAW!$AT$7:$AT$12040,MATCH($D82,지수RAW!$AP$7:$AP$12040,0)-1,1),지수RAW!$AU$4)</f>
        <v/>
      </c>
      <c r="V82" s="253">
        <f>IFERROR(__xludf.DUMMYFUNCTION("iferror(index('지수RAW'!$AL$7:$AL$12040,MATCH($D82,'지수RAW'!$AH$7:$AH$12040,0)-1,1),GOOGLEFINANCE(V$2))"),60860.1)</f>
        <v/>
      </c>
      <c r="W82" s="25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5">
      <c r="A83" s="204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4">
        <f>"20"&amp;B83</f>
        <v/>
      </c>
      <c r="F83" s="204">
        <f>C83&amp;"월"</f>
        <v/>
      </c>
      <c r="G83" s="37">
        <f>B83&amp;"."&amp;VLOOKUP(F83,인덱스!$A:$B,2,0)</f>
        <v/>
      </c>
      <c r="H83" s="25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4" t="n"/>
      <c r="O83" s="204" t="n"/>
      <c r="P83" s="204" t="n"/>
      <c r="Q83" s="8">
        <f>IFERROR(__xludf.DUMMYFUNCTION("iferror(index('지수RAW'!$V$7:$V$12040,MATCH($D83,'지수RAW'!$R$7:$R$12040,0)-1,1),GOOGLEFINANCE(Q$2))"),2770.69)</f>
        <v/>
      </c>
      <c r="R83" s="204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4" t="n"/>
      <c r="U83" s="253">
        <f t="array" ref="U83">IFERROR(INDEX(지수RAW!$AT$7:$AT$12040,MATCH($D83,지수RAW!$AP$7:$AP$12040,0)-1,1),지수RAW!$AU$4)</f>
        <v/>
      </c>
      <c r="V83" s="253">
        <f>IFERROR(__xludf.DUMMYFUNCTION("iferror(index('지수RAW'!$AL$7:$AL$12040,MATCH($D83,'지수RAW'!$AH$7:$AH$12040,0)-1,1),GOOGLEFINANCE(V$2))"),66110.05)</f>
        <v/>
      </c>
      <c r="W83" s="25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5">
      <c r="A84" s="204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4">
        <f>"20"&amp;B84</f>
        <v/>
      </c>
      <c r="F84" s="204">
        <f>C84&amp;"월"</f>
        <v/>
      </c>
      <c r="G84" s="37">
        <f>B84&amp;"."&amp;VLOOKUP(F84,인덱스!$A:$B,2,0)</f>
        <v/>
      </c>
      <c r="H84" s="25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4" t="n"/>
      <c r="O84" s="204" t="n"/>
      <c r="P84" s="204" t="n"/>
      <c r="Q84" s="8">
        <f>IFERROR(__xludf.DUMMYFUNCTION("iferror(index('지수RAW'!$V$7:$V$12040,MATCH($D84,'지수RAW'!$R$7:$R$12040,0)-1,1),GOOGLEFINANCE(Q$2))"),2674.31)</f>
        <v/>
      </c>
      <c r="R84" s="204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4" t="n"/>
      <c r="U84" s="253">
        <f t="array" ref="U84">IFERROR(INDEX(지수RAW!$AT$7:$AT$12040,MATCH($D84,지수RAW!$AP$7:$AP$12040,0)-1,1),지수RAW!$AU$4)</f>
        <v/>
      </c>
      <c r="V84" s="253">
        <f>IFERROR(__xludf.DUMMYFUNCTION("iferror(index('지수RAW'!$AL$7:$AL$12040,MATCH($D84,'지수RAW'!$AH$7:$AH$12040,0)-1,1),GOOGLEFINANCE(V$2))"),59244.12)</f>
        <v/>
      </c>
      <c r="W84" s="25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5">
      <c r="A85" s="204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4">
        <f>"20"&amp;B85</f>
        <v/>
      </c>
      <c r="F85" s="204">
        <f>C85&amp;"월"</f>
        <v/>
      </c>
      <c r="G85" s="37">
        <f>B85&amp;"."&amp;VLOOKUP(F85,인덱스!$A:$B,2,0)</f>
        <v/>
      </c>
      <c r="H85" s="25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4" t="n"/>
      <c r="O85" s="204" t="n"/>
      <c r="P85" s="204" t="n"/>
      <c r="Q85" s="8">
        <f>IFERROR(__xludf.DUMMYFUNCTION("iferror(index('지수RAW'!$V$7:$V$12040,MATCH($D85,'지수RAW'!$R$7:$R$12040,0)-1,1),GOOGLEFINANCE(Q$2))"),2593.27)</f>
        <v/>
      </c>
      <c r="R85" s="204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4" t="n"/>
      <c r="U85" s="253">
        <f t="array" ref="U85">IFERROR(INDEX(지수RAW!$AT$7:$AT$12040,MATCH($D85,지수RAW!$AP$7:$AP$12040,0)-1,1),지수RAW!$AU$4)</f>
        <v/>
      </c>
      <c r="V85" s="253">
        <f>IFERROR(__xludf.DUMMYFUNCTION("iferror(index('지수RAW'!$AL$7:$AL$12040,MATCH($D85,'지수RAW'!$AH$7:$AH$12040,0)-1,1),GOOGLEFINANCE(V$2))"),64544.22)</f>
        <v/>
      </c>
      <c r="W85" s="25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5">
      <c r="A86" s="204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4">
        <f>"20"&amp;B86</f>
        <v/>
      </c>
      <c r="F86" s="204">
        <f>C86&amp;"월"</f>
        <v/>
      </c>
      <c r="G86" s="37">
        <f>B86&amp;"."&amp;VLOOKUP(F86,인덱스!$A:$B,2,0)</f>
        <v/>
      </c>
      <c r="H86" s="25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4" t="n"/>
      <c r="O86" s="204" t="n"/>
      <c r="P86" s="204" t="n"/>
      <c r="Q86" s="8">
        <f>IFERROR(__xludf.DUMMYFUNCTION("iferror(index('지수RAW'!$V$7:$V$12040,MATCH($D86,'지수RAW'!$R$7:$R$12040,0)-1,1),GOOGLEFINANCE(Q$2))"),2556.15)</f>
        <v/>
      </c>
      <c r="R86" s="204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4" t="n"/>
      <c r="U86" s="253">
        <f t="array" ref="U86">IFERROR(INDEX(지수RAW!$AT$7:$AT$12040,MATCH($D86,지수RAW!$AP$7:$AP$12040,0)-1,1),지수RAW!$AU$4)</f>
        <v/>
      </c>
      <c r="V86" s="253">
        <f>IFERROR(__xludf.DUMMYFUNCTION("iferror(index('지수RAW'!$AL$7:$AL$12040,MATCH($D86,'지수RAW'!$AH$7:$AH$12040,0)-1,1),GOOGLEFINANCE(V$2))"),72327.32)</f>
        <v/>
      </c>
      <c r="W86" s="25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5">
      <c r="A87" s="204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4">
        <f>"20"&amp;B87</f>
        <v/>
      </c>
      <c r="F87" s="204">
        <f>C87&amp;"월"</f>
        <v/>
      </c>
      <c r="G87" s="37">
        <f>B87&amp;"."&amp;VLOOKUP(F87,인덱스!$A:$B,2,0)</f>
        <v/>
      </c>
      <c r="H87" s="25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4" t="n"/>
      <c r="O87" s="204" t="n"/>
      <c r="P87" s="204" t="n"/>
      <c r="Q87" s="8">
        <f>IFERROR(__xludf.DUMMYFUNCTION("iferror(index('지수RAW'!$V$7:$V$12040,MATCH($D87,'지수RAW'!$R$7:$R$12040,0)-1,1),GOOGLEFINANCE(Q$2))"),2455.91)</f>
        <v/>
      </c>
      <c r="R87" s="204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4" t="n"/>
      <c r="U87" s="253">
        <f t="array" ref="U87">IFERROR(INDEX(지수RAW!$AT$7:$AT$12040,MATCH($D87,지수RAW!$AP$7:$AP$12040,0)-1,1),지수RAW!$AU$4)</f>
        <v/>
      </c>
      <c r="V87" s="253">
        <f>IFERROR(__xludf.DUMMYFUNCTION("iferror(index('지수RAW'!$AL$7:$AL$12040,MATCH($D87,'지수RAW'!$AH$7:$AH$12040,0)-1,1),GOOGLEFINANCE(V$2))"),96716.79)</f>
        <v/>
      </c>
      <c r="W87" s="25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5">
      <c r="A88" s="204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4">
        <f>"20"&amp;B88</f>
        <v/>
      </c>
      <c r="F88" s="204">
        <f>C88&amp;"월"</f>
        <v/>
      </c>
      <c r="G88" s="37">
        <f>B88&amp;"."&amp;VLOOKUP(F88,인덱스!$A:$B,2,0)</f>
        <v/>
      </c>
      <c r="H88" s="25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4" t="n"/>
      <c r="O88" s="204" t="n"/>
      <c r="P88" s="204" t="n"/>
      <c r="Q88" s="8">
        <f>IFERROR(__xludf.DUMMYFUNCTION("iferror(index('지수RAW'!$V$7:$V$12040,MATCH($D88,'지수RAW'!$R$7:$R$12040,0)-1,1),GOOGLEFINANCE(Q$2))"),2399.49)</f>
        <v/>
      </c>
      <c r="R88" s="204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4" t="n"/>
      <c r="U88" s="253">
        <f t="array" ref="U88">IFERROR(INDEX(지수RAW!$AT$7:$AT$12040,MATCH($D88,지수RAW!$AP$7:$AP$12040,0)-1,1),지수RAW!$AU$4)</f>
        <v/>
      </c>
      <c r="V88" s="253">
        <f>IFERROR(__xludf.DUMMYFUNCTION("iferror(index('지수RAW'!$AL$7:$AL$12040,MATCH($D88,'지수RAW'!$AH$7:$AH$12040,0)-1,1),GOOGLEFINANCE(V$2))"),92382.89)</f>
        <v/>
      </c>
      <c r="W88" s="25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5">
      <c r="A89" s="204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4">
        <f>"20"&amp;B89</f>
        <v/>
      </c>
      <c r="F89" s="204">
        <f>C89&amp;"월"</f>
        <v/>
      </c>
      <c r="G89" s="37">
        <f>B89&amp;"."&amp;VLOOKUP(F89,인덱스!$A:$B,2,0)</f>
        <v/>
      </c>
      <c r="H89" s="25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4" t="n"/>
      <c r="O89" s="204" t="n"/>
      <c r="P89" s="204" t="n"/>
      <c r="Q89" s="8">
        <f>IFERROR(__xludf.DUMMYFUNCTION("iferror(index('지수RAW'!$V$7:$V$12040,MATCH($D89,'지수RAW'!$R$7:$R$12040,0)-1,1),GOOGLEFINANCE(Q$2))"),2517.37)</f>
        <v/>
      </c>
      <c r="R89" s="204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4" t="n"/>
      <c r="U89" s="253">
        <f t="array" ref="U89">IFERROR(INDEX(지수RAW!$AT$7:$AT$12040,MATCH($D89,지수RAW!$AP$7:$AP$12040,0)-1,1),지수RAW!$AU$4)</f>
        <v/>
      </c>
      <c r="V89" s="253">
        <f>IFERROR(__xludf.DUMMYFUNCTION("iferror(index('지수RAW'!$AL$7:$AL$12040,MATCH($D89,'지수RAW'!$AH$7:$AH$12040,0)-1,1),GOOGLEFINANCE(V$2))"),104008.8)</f>
        <v/>
      </c>
      <c r="W89" s="25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5">
      <c r="A90" s="204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4">
        <f>"20"&amp;B90</f>
        <v/>
      </c>
      <c r="F90" s="204">
        <f>C90&amp;"월"</f>
        <v/>
      </c>
      <c r="G90" s="37">
        <f>B90&amp;"."&amp;VLOOKUP(F90,인덱스!$A:$B,2,0)</f>
        <v/>
      </c>
      <c r="H90" s="25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4" t="n"/>
      <c r="O90" s="204" t="n"/>
      <c r="P90" s="204" t="n"/>
      <c r="Q90" s="8">
        <f>IFERROR(__xludf.DUMMYFUNCTION("iferror(index('지수RAW'!$V$7:$V$12040,MATCH($D90,'지수RAW'!$R$7:$R$12040,0)-1,1),GOOGLEFINANCE(Q$2))"),2532.78)</f>
        <v/>
      </c>
      <c r="R90" s="204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4" t="n"/>
      <c r="U90" s="253">
        <f t="array" ref="U90">IFERROR(INDEX(지수RAW!$AT$7:$AT$12040,MATCH($D90,지수RAW!$AP$7:$AP$12040,0)-1,1),지수RAW!$AU$4)</f>
        <v/>
      </c>
      <c r="V90" s="253">
        <f>IFERROR(__xludf.DUMMYFUNCTION("iferror(index('지수RAW'!$AL$7:$AL$12040,MATCH($D90,'지수RAW'!$AH$7:$AH$12040,0)-1,1),GOOGLEFINANCE(V$2))"),80376.5)</f>
        <v/>
      </c>
      <c r="W90" s="25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5">
      <c r="A91" s="204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4">
        <f>"20"&amp;B91</f>
        <v/>
      </c>
      <c r="F91" s="204">
        <f>C91&amp;"월"</f>
        <v/>
      </c>
      <c r="G91" s="37">
        <f>B91&amp;"."&amp;VLOOKUP(F91,인덱스!$A:$B,2,0)</f>
        <v/>
      </c>
      <c r="H91" s="25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4" t="n"/>
      <c r="O91" s="204" t="n"/>
      <c r="P91" s="204" t="n"/>
      <c r="Q91" s="8">
        <f>IFERROR(__xludf.DUMMYFUNCTION("iferror(index('지수RAW'!$V$7:$V$12040,MATCH($D91,'지수RAW'!$R$7:$R$12040,0)-1,1),GOOGLEFINANCE(Q$2))"),2481.12)</f>
        <v/>
      </c>
      <c r="R91" s="204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4" t="n"/>
      <c r="U91" s="253">
        <f t="array" ref="U91">IFERROR(INDEX(지수RAW!$AT$7:$AT$12040,MATCH($D91,지수RAW!$AP$7:$AP$12040,0)-1,1),지수RAW!$AU$4)</f>
        <v/>
      </c>
      <c r="V91" s="253">
        <f>IFERROR(__xludf.DUMMYFUNCTION("iferror(index('지수RAW'!$AL$7:$AL$12040,MATCH($D91,'지수RAW'!$AH$7:$AH$12040,0)-1,1),GOOGLEFINANCE(V$2))"),81559.22)</f>
        <v/>
      </c>
      <c r="W91" s="25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5">
      <c r="A92" s="204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4">
        <f>"20"&amp;B92</f>
        <v/>
      </c>
      <c r="F92" s="204">
        <f>C92&amp;"월"</f>
        <v/>
      </c>
      <c r="G92" s="37">
        <f>B92&amp;"."&amp;VLOOKUP(F92,인덱스!$A:$B,2,0)</f>
        <v/>
      </c>
      <c r="H92" s="25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4" t="n"/>
      <c r="O92" s="204" t="n"/>
      <c r="P92" s="204" t="n"/>
      <c r="Q92" s="8">
        <f>IFERROR(__xludf.DUMMYFUNCTION("iferror(index('지수RAW'!$V$7:$V$12040,MATCH($D92,'지수RAW'!$R$7:$R$12040,0)-1,1),GOOGLEFINANCE(Q$2))"),2556.61)</f>
        <v/>
      </c>
      <c r="R92" s="204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4" t="n"/>
      <c r="U92" s="253">
        <f t="array" ref="U92">IFERROR(INDEX(지수RAW!$AT$7:$AT$12040,MATCH($D92,지수RAW!$AP$7:$AP$12040,0)-1,1),지수RAW!$AU$4)</f>
        <v/>
      </c>
      <c r="V92" s="253">
        <f>IFERROR(__xludf.DUMMYFUNCTION("iferror(index('지수RAW'!$AL$7:$AL$12040,MATCH($D92,'지수RAW'!$AH$7:$AH$12040,0)-1,1),GOOGLEFINANCE(V$2))"),95041.93)</f>
        <v/>
      </c>
      <c r="W92" s="25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5">
      <c r="A93" s="204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4">
        <f>"20"&amp;B93</f>
        <v/>
      </c>
      <c r="F93" s="204">
        <f>C93&amp;"월"</f>
        <v/>
      </c>
      <c r="G93" s="37">
        <f>B93&amp;"."&amp;VLOOKUP(F93,인덱스!$A:$B,2,0)</f>
        <v/>
      </c>
      <c r="H93" s="25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4" t="n"/>
      <c r="O93" s="204" t="n"/>
      <c r="P93" s="204" t="n"/>
      <c r="Q93" s="8">
        <f>IFERROR(__xludf.DUMMYFUNCTION("iferror(index('지수RAW'!$V$7:$V$12040,MATCH($D93,'지수RAW'!$R$7:$R$12040,0)-1,1),GOOGLEFINANCE(Q$2))"),2697.67)</f>
        <v/>
      </c>
      <c r="R93" s="204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4" t="n"/>
      <c r="U93" s="253">
        <f t="array" ref="U93">IFERROR(INDEX(지수RAW!$AT$7:$AT$12040,MATCH($D93,지수RAW!$AP$7:$AP$12040,0)-1,1),지수RAW!$AU$4)</f>
        <v/>
      </c>
      <c r="V93" s="253">
        <f>IFERROR(__xludf.DUMMYFUNCTION("iferror(index('지수RAW'!$AL$7:$AL$12040,MATCH($D93,'지수RAW'!$AH$7:$AH$12040,0)-1,1),GOOGLEFINANCE(V$2))"),103735.2)</f>
        <v/>
      </c>
      <c r="W93" s="25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5">
      <c r="A94" s="204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4">
        <f>"20"&amp;B94</f>
        <v/>
      </c>
      <c r="F94" s="204">
        <f>C94&amp;"월"</f>
        <v/>
      </c>
      <c r="G94" s="37">
        <f>B94&amp;"."&amp;VLOOKUP(F94,인덱스!$A:$B,2,0)</f>
        <v/>
      </c>
      <c r="H94" s="25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4" t="n"/>
      <c r="O94" s="204" t="n"/>
      <c r="P94" s="204" t="n"/>
      <c r="Q94" s="8">
        <f>IFERROR(__xludf.DUMMYFUNCTION("iferror(index('지수RAW'!$V$7:$V$12040,MATCH($D94,'지수RAW'!$R$7:$R$12040,0)-1,1),GOOGLEFINANCE(Q$2))"),3071.7)</f>
        <v/>
      </c>
      <c r="R94" s="204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4" t="n"/>
      <c r="U94" s="253">
        <f t="array" ref="U94">IFERROR(INDEX(지수RAW!$AT$7:$AT$12040,MATCH($D94,지수RAW!$AP$7:$AP$12040,0)-1,1),지수RAW!$AU$4)</f>
        <v/>
      </c>
      <c r="V94" s="253">
        <f>IFERROR(__xludf.DUMMYFUNCTION("iferror(index('지수RAW'!$AL$7:$AL$12040,MATCH($D94,'지수RAW'!$AH$7:$AH$12040,0)-1,1),GOOGLEFINANCE(V$2))"),108527.5)</f>
        <v/>
      </c>
      <c r="W94" s="25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5">
      <c r="A95" s="204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4">
        <f>"20"&amp;B95</f>
        <v/>
      </c>
      <c r="F95" s="204">
        <f>C95&amp;"월"</f>
        <v/>
      </c>
      <c r="G95" s="37">
        <f>B95&amp;"."&amp;VLOOKUP(F95,인덱스!$A:$B,2,0)</f>
        <v/>
      </c>
      <c r="H95" s="25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4" t="n"/>
      <c r="O95" s="204" t="n"/>
      <c r="P95" s="204" t="n"/>
      <c r="Q95" s="8">
        <f>IFERROR(__xludf.DUMMYFUNCTION("iferror(index('지수RAW'!$V$7:$V$12040,MATCH($D95,'지수RAW'!$R$7:$R$12040,0)-1,1),GOOGLEFINANCE(Q$2))"),3245.44)</f>
        <v/>
      </c>
      <c r="R95" s="204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4" t="n"/>
      <c r="U95" s="253">
        <f t="array" ref="U95">IFERROR(INDEX(지수RAW!$AT$7:$AT$12040,MATCH($D95,지수RAW!$AP$7:$AP$12040,0)-1,1),지수RAW!$AU$4)</f>
        <v/>
      </c>
      <c r="V95" s="253">
        <f>IFERROR(__xludf.DUMMYFUNCTION("iferror(index('지수RAW'!$AL$7:$AL$12040,MATCH($D95,'지수RAW'!$AH$7:$AH$12040,0)-1,1),GOOGLEFINANCE(V$2))"),118454.4)</f>
        <v/>
      </c>
      <c r="W95" s="25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5">
      <c r="A96" s="204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4">
        <f>"20"&amp;B96</f>
        <v/>
      </c>
      <c r="F96" s="204">
        <f>C96&amp;"월"</f>
        <v/>
      </c>
      <c r="G96" s="37">
        <f>B96&amp;"."&amp;VLOOKUP(F96,인덱스!$A:$B,2,0)</f>
        <v/>
      </c>
      <c r="H96" s="25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4" t="n"/>
      <c r="O96" s="204" t="n"/>
      <c r="P96" s="204" t="n"/>
      <c r="Q96" s="8">
        <f>IFERROR(__xludf.DUMMYFUNCTION("iferror(index('지수RAW'!$V$7:$V$12040,MATCH($D96,'지수RAW'!$R$7:$R$12040,0)-1,1),GOOGLEFINANCE(Q$2))"),3186.01)</f>
        <v/>
      </c>
      <c r="R96" s="204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4" t="n"/>
      <c r="U96" s="253">
        <f t="array" ref="U96">IFERROR(INDEX(지수RAW!$AT$7:$AT$12040,MATCH($D96,지수RAW!$AP$7:$AP$12040,0)-1,1),지수RAW!$AU$4)</f>
        <v/>
      </c>
      <c r="V96" s="253">
        <f>IFERROR(__xludf.DUMMYFUNCTION("iferror(index('지수RAW'!$AL$7:$AL$12040,MATCH($D96,'지수RAW'!$AH$7:$AH$12040,0)-1,1),GOOGLEFINANCE(V$2))"),109251.6)</f>
        <v/>
      </c>
      <c r="W96" s="25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5">
      <c r="A97" s="204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4">
        <f>"20"&amp;B97</f>
        <v/>
      </c>
      <c r="F97" s="204">
        <f>C97&amp;"월"</f>
        <v/>
      </c>
      <c r="G97" s="37">
        <f>B97&amp;"."&amp;VLOOKUP(F97,인덱스!$A:$B,2,0)</f>
        <v/>
      </c>
      <c r="H97" s="25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4" t="n"/>
      <c r="O97" s="204" t="n"/>
      <c r="P97" s="204" t="n"/>
      <c r="Q97" s="8">
        <f>IFERROR(__xludf.DUMMYFUNCTION("iferror(index('지수RAW'!$V$7:$V$12040,MATCH($D97,'지수RAW'!$R$7:$R$12040,0)-1,1),GOOGLEFINANCE(Q$2))"),3424.6)</f>
        <v/>
      </c>
      <c r="R97" s="204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4" t="n"/>
      <c r="U97" s="253">
        <f t="array" ref="U97">IFERROR(INDEX(지수RAW!$AT$7:$AT$12040,MATCH($D97,지수RAW!$AP$7:$AP$12040,0)-1,1),지수RAW!$AU$4)</f>
        <v/>
      </c>
      <c r="V97" s="253">
        <f>IFERROR(__xludf.DUMMYFUNCTION("iferror(index('지수RAW'!$AL$7:$AL$12040,MATCH($D97,'지수RAW'!$AH$7:$AH$12040,0)-1,1),GOOGLEFINANCE(V$2))"),114433.1)</f>
        <v/>
      </c>
      <c r="W97" s="25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5">
      <c r="A98" s="204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4">
        <f>"20"&amp;B98</f>
        <v/>
      </c>
      <c r="F98" s="204">
        <f>C98&amp;"월"</f>
        <v/>
      </c>
      <c r="G98" s="37">
        <f>B98&amp;"."&amp;VLOOKUP(F98,인덱스!$A:$B,2,0)</f>
        <v/>
      </c>
      <c r="H98" s="25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4" t="n"/>
      <c r="O98" s="204" t="n"/>
      <c r="P98" s="204" t="n"/>
      <c r="Q98" s="8">
        <f>IFERROR(__xludf.DUMMYFUNCTION("iferror(index('지수RAW'!$V$7:$V$12040,MATCH($D98,'지수RAW'!$R$7:$R$12040,0)-1,1),GOOGLEFINANCE(Q$2))"),4107.5)</f>
        <v/>
      </c>
      <c r="R98" s="204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4" t="n"/>
      <c r="U98" s="253">
        <f t="array" ref="U98">IFERROR(INDEX(지수RAW!$AT$7:$AT$12040,MATCH($D98,지수RAW!$AP$7:$AP$12040,0)-1,1),지수RAW!$AU$4)</f>
        <v/>
      </c>
      <c r="V98" s="253">
        <f>IFERROR(__xludf.DUMMYFUNCTION("iferror(index('지수RAW'!$AL$7:$AL$12040,MATCH($D98,'지수RAW'!$AH$7:$AH$12040,0)-1,1),GOOGLEFINANCE(V$2))"),109243.2)</f>
        <v/>
      </c>
      <c r="W98" s="25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5">
      <c r="A99" s="204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4">
        <f>"20"&amp;B99</f>
        <v/>
      </c>
      <c r="F99" s="204">
        <f>C99&amp;"월"</f>
        <v/>
      </c>
      <c r="G99" s="37">
        <f>B99&amp;"."&amp;VLOOKUP(F99,인덱스!$A:$B,2,0)</f>
        <v/>
      </c>
      <c r="H99" s="25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4" t="n"/>
      <c r="O99" s="204" t="n"/>
      <c r="P99" s="204" t="n"/>
      <c r="Q99" s="8">
        <f>IFERROR(__xludf.DUMMYFUNCTION("iferror(index('지수RAW'!$V$7:$V$12040,MATCH($D99,'지수RAW'!$R$7:$R$12040,0)-1,1),GOOGLEFINANCE(Q$2))"),3926.59)</f>
        <v/>
      </c>
      <c r="R99" s="204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4" t="n"/>
      <c r="U99" s="253">
        <f t="array" ref="U99">IFERROR(INDEX(지수RAW!$AT$7:$AT$12040,MATCH($D99,지수RAW!$AP$7:$AP$12040,0)-1,1),지수RAW!$AU$4)</f>
        <v/>
      </c>
      <c r="V99" s="253">
        <f>IFERROR(__xludf.DUMMYFUNCTION("iferror(index('지수RAW'!$AL$7:$AL$12040,MATCH($D99,'지수RAW'!$AH$7:$AH$12040,0)-1,1),GOOGLEFINANCE(V$2))"),90899.38)</f>
        <v/>
      </c>
      <c r="W99" s="25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5">
      <c r="A100" s="204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4">
        <f>"20"&amp;B100</f>
        <v/>
      </c>
      <c r="F100" s="204">
        <f>C100&amp;"월"</f>
        <v/>
      </c>
      <c r="G100" s="37">
        <f>B100&amp;"."&amp;VLOOKUP(F100,인덱스!$A:$B,2,0)</f>
        <v/>
      </c>
      <c r="H100" s="25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4" t="n"/>
      <c r="O100" s="204" t="n"/>
      <c r="P100" s="204" t="n"/>
      <c r="Q100" s="8">
        <f>IFERROR(__xludf.DUMMYFUNCTION("iferror(index('지수RAW'!$V$7:$V$12040,MATCH($D100,'지수RAW'!$R$7:$R$12040,0)-1,1),GOOGLEFINANCE(Q$2))"),4214.17)</f>
        <v/>
      </c>
      <c r="R100" s="204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4" t="n"/>
      <c r="U100" s="253">
        <f t="array" ref="U100">IFERROR(INDEX(지수RAW!$AT$7:$AT$12040,MATCH($D100,지수RAW!$AP$7:$AP$12040,0)-1,1),지수RAW!$AU$4)</f>
        <v/>
      </c>
      <c r="V100" s="253">
        <f>IFERROR(__xludf.DUMMYFUNCTION("iferror(index('지수RAW'!$AL$7:$AL$12040,MATCH($D100,'지수RAW'!$AH$7:$AH$12040,0)-1,1),GOOGLEFINANCE(V$2))"),88262.84)</f>
        <v/>
      </c>
      <c r="W100" s="25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5">
      <c r="A101" s="204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4">
        <f>"20"&amp;B101</f>
        <v/>
      </c>
      <c r="F101" s="204">
        <f>C101&amp;"월"</f>
        <v/>
      </c>
      <c r="G101" s="37">
        <f>B101&amp;"."&amp;VLOOKUP(F101,인덱스!$A:$B,2,0)</f>
        <v/>
      </c>
      <c r="H101" s="25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4" t="n"/>
      <c r="O101" s="204" t="n"/>
      <c r="P101" s="204" t="n"/>
      <c r="Q101" s="8">
        <f>IFERROR(__xludf.DUMMYFUNCTION("iferror(index('지수RAW'!$V$7:$V$12040,MATCH($D101,'지수RAW'!$R$7:$R$12040,0)-1,1),GOOGLEFINANCE(Q$2))"),5224.36)</f>
        <v/>
      </c>
      <c r="R101" s="204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4" t="n"/>
      <c r="U101" s="253">
        <f t="array" ref="U101">IFERROR(INDEX(지수RAW!$AT$7:$AT$12040,MATCH($D101,지수RAW!$AP$7:$AP$12040,0)-1,1),지수RAW!$AU$4)</f>
        <v/>
      </c>
      <c r="V101" s="253">
        <f>IFERROR(__xludf.DUMMYFUNCTION("iferror(index('지수RAW'!$AL$7:$AL$12040,MATCH($D101,'지수RAW'!$AH$7:$AH$12040,0)-1,1),GOOGLEFINANCE(V$2))"),83894.56)</f>
        <v/>
      </c>
      <c r="W101" s="25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5">
      <c r="A102" s="204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4">
        <f>"20"&amp;B102</f>
        <v/>
      </c>
      <c r="F102" s="204">
        <f>C102&amp;"월"</f>
        <v/>
      </c>
      <c r="G102" s="37">
        <f>B102&amp;"."&amp;VLOOKUP(F102,인덱스!$A:$B,2,0)</f>
        <v/>
      </c>
      <c r="H102" s="25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4" t="n"/>
      <c r="O102" s="204" t="n"/>
      <c r="P102" s="204" t="n"/>
      <c r="Q102" s="8">
        <f>IFERROR(__xludf.DUMMYFUNCTION("iferror(index('지수RAW'!$V$7:$V$12040,MATCH($D102,'지수RAW'!$R$7:$R$12040,0)-1,1),GOOGLEFINANCE(Q$2))"),6244.13)</f>
        <v/>
      </c>
      <c r="R102" s="204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4" t="n"/>
      <c r="U102" s="253">
        <f t="array" ref="U102">IFERROR(INDEX(지수RAW!$AT$7:$AT$12040,MATCH($D102,지수RAW!$AP$7:$AP$12040,0)-1,1),지수RAW!$AU$4)</f>
        <v/>
      </c>
      <c r="V102" s="253">
        <f>IFERROR(__xludf.DUMMYFUNCTION("iferror(index('지수RAW'!$AL$7:$AL$12040,MATCH($D102,'지수RAW'!$AH$7:$AH$12040,0)-1,1),GOOGLEFINANCE(V$2))"),65696.42)</f>
        <v/>
      </c>
      <c r="W102" s="25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5">
      <c r="A103" s="204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4">
        <f>"20"&amp;B103</f>
        <v/>
      </c>
      <c r="F103" s="204">
        <f>C103&amp;"월"</f>
        <v/>
      </c>
      <c r="G103" s="37">
        <f>B103&amp;"."&amp;VLOOKUP(F103,인덱스!$A:$B,2,0)</f>
        <v/>
      </c>
      <c r="H103" s="25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4" t="n"/>
      <c r="O103" s="204" t="n"/>
      <c r="P103" s="204" t="n"/>
      <c r="Q103" s="8">
        <f>IFERROR(__xludf.DUMMYFUNCTION("iferror(index('지수RAW'!$V$7:$V$12040,MATCH($D103,'지수RAW'!$R$7:$R$12040,0)-1,1),GOOGLEFINANCE(Q$2))"),5052.46)</f>
        <v/>
      </c>
      <c r="R103" s="204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4" t="n"/>
      <c r="U103" s="253">
        <f t="array" ref="U103">IFERROR(INDEX(지수RAW!$AT$7:$AT$12040,MATCH($D103,지수RAW!$AP$7:$AP$12040,0)-1,1),지수RAW!$AU$4)</f>
        <v/>
      </c>
      <c r="V103" s="253">
        <f>IFERROR(__xludf.DUMMYFUNCTION("iferror(index('지수RAW'!$AL$7:$AL$12040,MATCH($D103,'지수RAW'!$AH$7:$AH$12040,0)-1,1),GOOGLEFINANCE(V$2))"),67647.5)</f>
        <v/>
      </c>
      <c r="W103" s="25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5">
      <c r="A104" s="204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4">
        <f>"20"&amp;B104</f>
        <v/>
      </c>
      <c r="F104" s="204">
        <f>C104&amp;"월"</f>
        <v/>
      </c>
      <c r="G104" s="37">
        <f>B104&amp;"."&amp;VLOOKUP(F104,인덱스!$A:$B,2,0)</f>
        <v/>
      </c>
      <c r="H104" s="25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4" t="n"/>
      <c r="O104" s="204" t="n"/>
      <c r="P104" s="204" t="n"/>
      <c r="Q104" s="8">
        <f>IFERROR(__xludf.DUMMYFUNCTION("iferror(index('지수RAW'!$V$7:$V$12040,MATCH($D104,'지수RAW'!$R$7:$R$12040,0)-1,1),GOOGLEFINANCE(Q$2))"),6598.87)</f>
        <v/>
      </c>
      <c r="R104" s="204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4" t="n"/>
      <c r="U104" s="253">
        <f t="array" ref="U104">IFERROR(INDEX(지수RAW!$AT$7:$AT$12040,MATCH($D104,지수RAW!$AP$7:$AP$12040,0)-1,1),지수RAW!$AU$4)</f>
        <v/>
      </c>
      <c r="V104" s="253">
        <f>IFERROR(__xludf.DUMMYFUNCTION("iferror(index('지수RAW'!$AL$7:$AL$12040,MATCH($D104,'지수RAW'!$AH$7:$AH$12040,0)-1,1),GOOGLEFINANCE(V$2))"),75902.99)</f>
        <v/>
      </c>
      <c r="W104" s="25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5">
      <c r="A105" s="204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4">
        <f>"20"&amp;B105</f>
        <v/>
      </c>
      <c r="F105" s="204">
        <f>C105&amp;"월"</f>
        <v/>
      </c>
      <c r="G105" s="37">
        <f>B105&amp;"."&amp;VLOOKUP(F105,인덱스!$A:$B,2,0)</f>
        <v/>
      </c>
      <c r="H105" s="25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4" t="n"/>
      <c r="O105" s="204" t="n"/>
      <c r="P105" s="204" t="n"/>
      <c r="Q105" s="8">
        <f>IFERROR(__xludf.DUMMYFUNCTION("iferror(index('지수RAW'!$V$7:$V$12040,MATCH($D105,'지수RAW'!$R$7:$R$12040,0)-1,1),GOOGLEFINANCE(Q$2))"),8476.15)</f>
        <v/>
      </c>
      <c r="R105" s="204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4" t="n"/>
      <c r="U105" s="253">
        <f t="array" ref="U105">IFERROR(INDEX(지수RAW!$AT$7:$AT$12040,MATCH($D105,지수RAW!$AP$7:$AP$12040,0)-1,1),지수RAW!$AU$4)</f>
        <v/>
      </c>
      <c r="V105" s="253">
        <f>IFERROR(__xludf.DUMMYFUNCTION("iferror(index('지수RAW'!$AL$7:$AL$12040,MATCH($D105,'지수RAW'!$AH$7:$AH$12040,0)-1,1),GOOGLEFINANCE(V$2))"),74032.05)</f>
        <v/>
      </c>
      <c r="W105" s="25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5">
      <c r="A106" s="204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4">
        <f>"20"&amp;B106</f>
        <v/>
      </c>
      <c r="F106" s="204">
        <f>C106&amp;"월"</f>
        <v/>
      </c>
      <c r="G106" s="37">
        <f>B106&amp;"."&amp;VLOOKUP(F106,인덱스!$A:$B,2,0)</f>
        <v/>
      </c>
      <c r="H106" s="25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4" t="n"/>
      <c r="O106" s="204" t="n"/>
      <c r="P106" s="204" t="n"/>
      <c r="Q106" s="8">
        <f>IFERROR(__xludf.DUMMYFUNCTION("iferror(index('지수RAW'!$V$7:$V$12040,MATCH($D106,'지수RAW'!$R$7:$R$12040,0)-1,1),GOOGLEFINANCE(Q$2))"),8476.48)</f>
        <v/>
      </c>
      <c r="R106" s="204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4" t="n"/>
      <c r="U106" s="253">
        <f t="array" ref="U106">IFERROR(INDEX(지수RAW!$AT$7:$AT$12040,MATCH($D106,지수RAW!$AP$7:$AP$12040,0)-1,1),지수RAW!$AU$4)</f>
        <v/>
      </c>
      <c r="V106" s="253">
        <f>IFERROR(__xludf.DUMMYFUNCTION("iferror(index('지수RAW'!$AL$7:$AL$12040,MATCH($D106,'지수RAW'!$AH$7:$AH$12040,0)-1,1),GOOGLEFINANCE(V$2))"),59513.99)</f>
        <v/>
      </c>
      <c r="W106" s="25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5">
      <c r="A107" s="204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4">
        <f>"20"&amp;B107</f>
        <v/>
      </c>
      <c r="F107" s="204">
        <f>C107&amp;"월"</f>
        <v/>
      </c>
      <c r="G107" s="37">
        <f>B107&amp;"."&amp;VLOOKUP(F107,인덱스!$A:$B,2,0)</f>
        <v/>
      </c>
      <c r="H107" s="25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4" t="n"/>
      <c r="O107" s="204" t="n"/>
      <c r="P107" s="204" t="n"/>
      <c r="Q107" s="8">
        <f>IFERROR(__xludf.DUMMYFUNCTION("iferror(index('지수RAW'!$V$7:$V$12040,MATCH($D107,'지수RAW'!$R$7:$R$12040,0)-1,1),GOOGLEFINANCE(Q$2))"),6820.6)</f>
        <v/>
      </c>
      <c r="R107" s="204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4" t="n"/>
      <c r="U107" s="253">
        <f t="array" ref="U107">IFERROR(INDEX(지수RAW!$AT$7:$AT$12040,MATCH($D107,지수RAW!$AP$7:$AP$12040,0)-1,1),지수RAW!$AU$4)</f>
        <v/>
      </c>
      <c r="V107" s="253">
        <f>IFERROR(__xludf.DUMMYFUNCTION("iferror(index('지수RAW'!$AL$7:$AL$12040,MATCH($D107,'지수RAW'!$AH$7:$AH$12040,0)-1,1),GOOGLEFINANCE(V$2))"),64324)</f>
        <v/>
      </c>
      <c r="W107" s="25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5">
      <c r="A108" s="204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4">
        <f>"20"&amp;B108</f>
        <v/>
      </c>
      <c r="F108" s="204">
        <f>C108&amp;"월"</f>
        <v/>
      </c>
      <c r="G108" s="37">
        <f>B108&amp;"."&amp;VLOOKUP(F108,인덱스!$A:$B,2,0)</f>
        <v/>
      </c>
      <c r="H108" s="25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4" t="n"/>
      <c r="O108" s="204" t="n"/>
      <c r="P108" s="204" t="n"/>
      <c r="Q108" s="8">
        <f>IFERROR(__xludf.DUMMYFUNCTION("iferror(index('지수RAW'!$V$7:$V$12040,MATCH($D108,'지수RAW'!$R$7:$R$12040,0)-1,1),GOOGLEFINANCE(Q$2))"),6820.6)</f>
        <v/>
      </c>
      <c r="R108" s="204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4" t="n"/>
      <c r="U108" s="253">
        <f t="array" ref="U108">IFERROR(INDEX(지수RAW!$AT$7:$AT$12040,MATCH($D108,지수RAW!$AP$7:$AP$12040,0)-1,1),지수RAW!$AU$4)</f>
        <v/>
      </c>
      <c r="V108" s="253">
        <f>IFERROR(__xludf.DUMMYFUNCTION("iferror(index('지수RAW'!$AL$7:$AL$12040,MATCH($D108,'지수RAW'!$AH$7:$AH$12040,0)-1,1),GOOGLEFINANCE(V$2))"),64324)</f>
        <v/>
      </c>
      <c r="W108" s="25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5">
      <c r="A109" s="204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4">
        <f>"20"&amp;B109</f>
        <v/>
      </c>
      <c r="F109" s="204">
        <f>C109&amp;"월"</f>
        <v/>
      </c>
      <c r="G109" s="37">
        <f>B109&amp;"."&amp;VLOOKUP(F109,인덱스!$A:$B,2,0)</f>
        <v/>
      </c>
      <c r="H109" s="25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4" t="n"/>
      <c r="O109" s="204" t="n"/>
      <c r="P109" s="204" t="n"/>
      <c r="Q109" s="8">
        <f>IFERROR(__xludf.DUMMYFUNCTION("iferror(index('지수RAW'!$V$7:$V$12040,MATCH($D109,'지수RAW'!$R$7:$R$12040,0)-1,1),GOOGLEFINANCE(Q$2))"),6820.6)</f>
        <v/>
      </c>
      <c r="R109" s="204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4" t="n"/>
      <c r="U109" s="253">
        <f t="array" ref="U109">IFERROR(INDEX(지수RAW!$AT$7:$AT$12040,MATCH($D109,지수RAW!$AP$7:$AP$12040,0)-1,1),지수RAW!$AU$4)</f>
        <v/>
      </c>
      <c r="V109" s="253">
        <f>IFERROR(__xludf.DUMMYFUNCTION("iferror(index('지수RAW'!$AL$7:$AL$12040,MATCH($D109,'지수RAW'!$AH$7:$AH$12040,0)-1,1),GOOGLEFINANCE(V$2))"),64324)</f>
        <v/>
      </c>
      <c r="W109" s="25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5">
      <c r="A110" s="204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4">
        <f>"20"&amp;B110</f>
        <v/>
      </c>
      <c r="F110" s="204">
        <f>C110&amp;"월"</f>
        <v/>
      </c>
      <c r="G110" s="37">
        <f>B110&amp;"."&amp;VLOOKUP(F110,인덱스!$A:$B,2,0)</f>
        <v/>
      </c>
      <c r="H110" s="25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4" t="n"/>
      <c r="O110" s="204" t="n"/>
      <c r="P110" s="204" t="n"/>
      <c r="Q110" s="8">
        <f>IFERROR(__xludf.DUMMYFUNCTION("iferror(index('지수RAW'!$V$7:$V$12040,MATCH($D110,'지수RAW'!$R$7:$R$12040,0)-1,1),GOOGLEFINANCE(Q$2))"),6820.6)</f>
        <v/>
      </c>
      <c r="R110" s="204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4" t="n"/>
      <c r="U110" s="253">
        <f t="array" ref="U110">IFERROR(INDEX(지수RAW!$AT$7:$AT$12040,MATCH($D110,지수RAW!$AP$7:$AP$12040,0)-1,1),지수RAW!$AU$4)</f>
        <v/>
      </c>
      <c r="V110" s="253">
        <f>IFERROR(__xludf.DUMMYFUNCTION("iferror(index('지수RAW'!$AL$7:$AL$12040,MATCH($D110,'지수RAW'!$AH$7:$AH$12040,0)-1,1),GOOGLEFINANCE(V$2))"),64324)</f>
        <v/>
      </c>
      <c r="W110" s="25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5">
      <c r="A111" s="204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4">
        <f>"20"&amp;B111</f>
        <v/>
      </c>
      <c r="F111" s="204">
        <f>C111&amp;"월"</f>
        <v/>
      </c>
      <c r="G111" s="37">
        <f>B111&amp;"."&amp;VLOOKUP(F111,인덱스!$A:$B,2,0)</f>
        <v/>
      </c>
      <c r="H111" s="25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4" t="n"/>
      <c r="O111" s="204" t="n"/>
      <c r="P111" s="204" t="n"/>
      <c r="Q111" s="8">
        <f>IFERROR(__xludf.DUMMYFUNCTION("iferror(index('지수RAW'!$V$7:$V$12040,MATCH($D111,'지수RAW'!$R$7:$R$12040,0)-1,1),GOOGLEFINANCE(Q$2))"),6820.6)</f>
        <v/>
      </c>
      <c r="R111" s="204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4" t="n"/>
      <c r="U111" s="253">
        <f t="array" ref="U111">IFERROR(INDEX(지수RAW!$AT$7:$AT$12040,MATCH($D111,지수RAW!$AP$7:$AP$12040,0)-1,1),지수RAW!$AU$4)</f>
        <v/>
      </c>
      <c r="V111" s="253">
        <f>IFERROR(__xludf.DUMMYFUNCTION("iferror(index('지수RAW'!$AL$7:$AL$12040,MATCH($D111,'지수RAW'!$AH$7:$AH$12040,0)-1,1),GOOGLEFINANCE(V$2))"),64324)</f>
        <v/>
      </c>
      <c r="W111" s="25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5">
      <c r="A112" s="204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4">
        <f>"20"&amp;B112</f>
        <v/>
      </c>
      <c r="F112" s="204">
        <f>C112&amp;"월"</f>
        <v/>
      </c>
      <c r="G112" s="37">
        <f>B112&amp;"."&amp;VLOOKUP(F112,인덱스!$A:$B,2,0)</f>
        <v/>
      </c>
      <c r="H112" s="25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4" t="n"/>
      <c r="O112" s="204" t="n"/>
      <c r="P112" s="204" t="n"/>
      <c r="Q112" s="8">
        <f>IFERROR(__xludf.DUMMYFUNCTION("iferror(index('지수RAW'!$V$7:$V$12040,MATCH($D112,'지수RAW'!$R$7:$R$12040,0)-1,1),GOOGLEFINANCE(Q$2))"),6820.6)</f>
        <v/>
      </c>
      <c r="R112" s="204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4" t="n"/>
      <c r="U112" s="253">
        <f t="array" ref="U112">IFERROR(INDEX(지수RAW!$AT$7:$AT$12040,MATCH($D112,지수RAW!$AP$7:$AP$12040,0)-1,1),지수RAW!$AU$4)</f>
        <v/>
      </c>
      <c r="V112" s="253">
        <f>IFERROR(__xludf.DUMMYFUNCTION("iferror(index('지수RAW'!$AL$7:$AL$12040,MATCH($D112,'지수RAW'!$AH$7:$AH$12040,0)-1,1),GOOGLEFINANCE(V$2))"),64324)</f>
        <v/>
      </c>
      <c r="W112" s="25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5">
      <c r="A113" s="204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4">
        <f>"20"&amp;B113</f>
        <v/>
      </c>
      <c r="F113" s="204">
        <f>C113&amp;"월"</f>
        <v/>
      </c>
      <c r="G113" s="37">
        <f>B113&amp;"."&amp;VLOOKUP(F113,인덱스!$A:$B,2,0)</f>
        <v/>
      </c>
      <c r="H113" s="25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4" t="n"/>
      <c r="O113" s="204" t="n"/>
      <c r="P113" s="204" t="n"/>
      <c r="Q113" s="8">
        <f>IFERROR(__xludf.DUMMYFUNCTION("iferror(index('지수RAW'!$V$7:$V$12040,MATCH($D113,'지수RAW'!$R$7:$R$12040,0)-1,1),GOOGLEFINANCE(Q$2))"),6820.6)</f>
        <v/>
      </c>
      <c r="R113" s="204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4" t="n"/>
      <c r="U113" s="253">
        <f t="array" ref="U113">IFERROR(INDEX(지수RAW!$AT$7:$AT$12040,MATCH($D113,지수RAW!$AP$7:$AP$12040,0)-1,1),지수RAW!$AU$4)</f>
        <v/>
      </c>
      <c r="V113" s="253">
        <f>IFERROR(__xludf.DUMMYFUNCTION("iferror(index('지수RAW'!$AL$7:$AL$12040,MATCH($D113,'지수RAW'!$AH$7:$AH$12040,0)-1,1),GOOGLEFINANCE(V$2))"),64324)</f>
        <v/>
      </c>
      <c r="W113" s="25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5">
      <c r="A114" s="204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4">
        <f>"20"&amp;B114</f>
        <v/>
      </c>
      <c r="F114" s="204">
        <f>C114&amp;"월"</f>
        <v/>
      </c>
      <c r="G114" s="37">
        <f>B114&amp;"."&amp;VLOOKUP(F114,인덱스!$A:$B,2,0)</f>
        <v/>
      </c>
      <c r="H114" s="25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4" t="n"/>
      <c r="O114" s="204" t="n"/>
      <c r="P114" s="204" t="n"/>
      <c r="Q114" s="8">
        <f>IFERROR(__xludf.DUMMYFUNCTION("iferror(index('지수RAW'!$V$7:$V$12040,MATCH($D114,'지수RAW'!$R$7:$R$12040,0)-1,1),GOOGLEFINANCE(Q$2))"),6820.6)</f>
        <v/>
      </c>
      <c r="R114" s="204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4" t="n"/>
      <c r="U114" s="253">
        <f t="array" ref="U114">IFERROR(INDEX(지수RAW!$AT$7:$AT$12040,MATCH($D114,지수RAW!$AP$7:$AP$12040,0)-1,1),지수RAW!$AU$4)</f>
        <v/>
      </c>
      <c r="V114" s="253">
        <f>IFERROR(__xludf.DUMMYFUNCTION("iferror(index('지수RAW'!$AL$7:$AL$12040,MATCH($D114,'지수RAW'!$AH$7:$AH$12040,0)-1,1),GOOGLEFINANCE(V$2))"),64324)</f>
        <v/>
      </c>
      <c r="W114" s="25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5">
      <c r="A115" s="204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4">
        <f>"20"&amp;B115</f>
        <v/>
      </c>
      <c r="F115" s="204">
        <f>C115&amp;"월"</f>
        <v/>
      </c>
      <c r="G115" s="37">
        <f>B115&amp;"."&amp;VLOOKUP(F115,인덱스!$A:$B,2,0)</f>
        <v/>
      </c>
      <c r="H115" s="25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4" t="n"/>
      <c r="O115" s="204" t="n"/>
      <c r="P115" s="204" t="n"/>
      <c r="Q115" s="8">
        <f>IFERROR(__xludf.DUMMYFUNCTION("iferror(index('지수RAW'!$V$7:$V$12040,MATCH($D115,'지수RAW'!$R$7:$R$12040,0)-1,1),GOOGLEFINANCE(Q$2))"),6820.6)</f>
        <v/>
      </c>
      <c r="R115" s="204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4" t="n"/>
      <c r="U115" s="253">
        <f t="array" ref="U115">IFERROR(INDEX(지수RAW!$AT$7:$AT$12040,MATCH($D115,지수RAW!$AP$7:$AP$12040,0)-1,1),지수RAW!$AU$4)</f>
        <v/>
      </c>
      <c r="V115" s="253">
        <f>IFERROR(__xludf.DUMMYFUNCTION("iferror(index('지수RAW'!$AL$7:$AL$12040,MATCH($D115,'지수RAW'!$AH$7:$AH$12040,0)-1,1),GOOGLEFINANCE(V$2))"),64324)</f>
        <v/>
      </c>
      <c r="W115" s="25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5">
      <c r="A116" s="204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4">
        <f>"20"&amp;B116</f>
        <v/>
      </c>
      <c r="F116" s="204">
        <f>C116&amp;"월"</f>
        <v/>
      </c>
      <c r="G116" s="37">
        <f>B116&amp;"."&amp;VLOOKUP(F116,인덱스!$A:$B,2,0)</f>
        <v/>
      </c>
      <c r="H116" s="25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4" t="n"/>
      <c r="O116" s="204" t="n"/>
      <c r="P116" s="204" t="n"/>
      <c r="Q116" s="8">
        <f>IFERROR(__xludf.DUMMYFUNCTION("iferror(index('지수RAW'!$V$7:$V$12040,MATCH($D116,'지수RAW'!$R$7:$R$12040,0)-1,1),GOOGLEFINANCE(Q$2))"),6820.6)</f>
        <v/>
      </c>
      <c r="R116" s="204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4" t="n"/>
      <c r="U116" s="253">
        <f t="array" ref="U116">IFERROR(INDEX(지수RAW!$AT$7:$AT$12040,MATCH($D116,지수RAW!$AP$7:$AP$12040,0)-1,1),지수RAW!$AU$4)</f>
        <v/>
      </c>
      <c r="V116" s="253">
        <f>IFERROR(__xludf.DUMMYFUNCTION("iferror(index('지수RAW'!$AL$7:$AL$12040,MATCH($D116,'지수RAW'!$AH$7:$AH$12040,0)-1,1),GOOGLEFINANCE(V$2))"),64324)</f>
        <v/>
      </c>
      <c r="W116" s="25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5">
      <c r="A117" s="204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4">
        <f>"20"&amp;B117</f>
        <v/>
      </c>
      <c r="F117" s="204">
        <f>C117&amp;"월"</f>
        <v/>
      </c>
      <c r="G117" s="37">
        <f>B117&amp;"."&amp;VLOOKUP(F117,인덱스!$A:$B,2,0)</f>
        <v/>
      </c>
      <c r="H117" s="25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4" t="n"/>
      <c r="O117" s="204" t="n"/>
      <c r="P117" s="204" t="n"/>
      <c r="Q117" s="8">
        <f>IFERROR(__xludf.DUMMYFUNCTION("iferror(index('지수RAW'!$V$7:$V$12040,MATCH($D117,'지수RAW'!$R$7:$R$12040,0)-1,1),GOOGLEFINANCE(Q$2))"),6820.6)</f>
        <v/>
      </c>
      <c r="R117" s="204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4" t="n"/>
      <c r="U117" s="253">
        <f t="array" ref="U117">IFERROR(INDEX(지수RAW!$AT$7:$AT$12040,MATCH($D117,지수RAW!$AP$7:$AP$12040,0)-1,1),지수RAW!$AU$4)</f>
        <v/>
      </c>
      <c r="V117" s="253">
        <f>IFERROR(__xludf.DUMMYFUNCTION("iferror(index('지수RAW'!$AL$7:$AL$12040,MATCH($D117,'지수RAW'!$AH$7:$AH$12040,0)-1,1),GOOGLEFINANCE(V$2))"),64324)</f>
        <v/>
      </c>
      <c r="W117" s="25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5">
      <c r="A118" s="204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4">
        <f>"20"&amp;B118</f>
        <v/>
      </c>
      <c r="F118" s="204">
        <f>C118&amp;"월"</f>
        <v/>
      </c>
      <c r="G118" s="37">
        <f>B118&amp;"."&amp;VLOOKUP(F118,인덱스!$A:$B,2,0)</f>
        <v/>
      </c>
      <c r="H118" s="25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4" t="n"/>
      <c r="O118" s="204" t="n"/>
      <c r="P118" s="204" t="n"/>
      <c r="Q118" s="8">
        <f>IFERROR(__xludf.DUMMYFUNCTION("iferror(index('지수RAW'!$V$7:$V$12040,MATCH($D118,'지수RAW'!$R$7:$R$12040,0)-1,1),GOOGLEFINANCE(Q$2))"),6820.6)</f>
        <v/>
      </c>
      <c r="R118" s="204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4" t="n"/>
      <c r="U118" s="253">
        <f t="array" ref="U118">IFERROR(INDEX(지수RAW!$AT$7:$AT$12040,MATCH($D118,지수RAW!$AP$7:$AP$12040,0)-1,1),지수RAW!$AU$4)</f>
        <v/>
      </c>
      <c r="V118" s="253">
        <f>IFERROR(__xludf.DUMMYFUNCTION("iferror(index('지수RAW'!$AL$7:$AL$12040,MATCH($D118,'지수RAW'!$AH$7:$AH$12040,0)-1,1),GOOGLEFINANCE(V$2))"),64324)</f>
        <v/>
      </c>
      <c r="W118" s="25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5">
      <c r="A119" s="204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4">
        <f>"20"&amp;B119</f>
        <v/>
      </c>
      <c r="F119" s="204">
        <f>C119&amp;"월"</f>
        <v/>
      </c>
      <c r="G119" s="37">
        <f>B119&amp;"."&amp;VLOOKUP(F119,인덱스!$A:$B,2,0)</f>
        <v/>
      </c>
      <c r="H119" s="25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4" t="n"/>
      <c r="O119" s="204" t="n"/>
      <c r="P119" s="204" t="n"/>
      <c r="Q119" s="8">
        <f>IFERROR(__xludf.DUMMYFUNCTION("iferror(index('지수RAW'!$V$7:$V$12040,MATCH($D119,'지수RAW'!$R$7:$R$12040,0)-1,1),GOOGLEFINANCE(Q$2))"),6820.6)</f>
        <v/>
      </c>
      <c r="R119" s="204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4" t="n"/>
      <c r="U119" s="253">
        <f t="array" ref="U119">IFERROR(INDEX(지수RAW!$AT$7:$AT$12040,MATCH($D119,지수RAW!$AP$7:$AP$12040,0)-1,1),지수RAW!$AU$4)</f>
        <v/>
      </c>
      <c r="V119" s="253">
        <f>IFERROR(__xludf.DUMMYFUNCTION("iferror(index('지수RAW'!$AL$7:$AL$12040,MATCH($D119,'지수RAW'!$AH$7:$AH$12040,0)-1,1),GOOGLEFINANCE(V$2))"),64324)</f>
        <v/>
      </c>
      <c r="W119" s="25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5">
      <c r="A120" s="204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4">
        <f>"20"&amp;B120</f>
        <v/>
      </c>
      <c r="F120" s="204">
        <f>C120&amp;"월"</f>
        <v/>
      </c>
      <c r="G120" s="37">
        <f>B120&amp;"."&amp;VLOOKUP(F120,인덱스!$A:$B,2,0)</f>
        <v/>
      </c>
      <c r="H120" s="25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4" t="n"/>
      <c r="O120" s="204" t="n"/>
      <c r="P120" s="204" t="n"/>
      <c r="Q120" s="8">
        <f>IFERROR(__xludf.DUMMYFUNCTION("iferror(index('지수RAW'!$V$7:$V$12040,MATCH($D120,'지수RAW'!$R$7:$R$12040,0)-1,1),GOOGLEFINANCE(Q$2))"),6820.6)</f>
        <v/>
      </c>
      <c r="R120" s="204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4" t="n"/>
      <c r="U120" s="253">
        <f t="array" ref="U120">IFERROR(INDEX(지수RAW!$AT$7:$AT$12040,MATCH($D120,지수RAW!$AP$7:$AP$12040,0)-1,1),지수RAW!$AU$4)</f>
        <v/>
      </c>
      <c r="V120" s="253">
        <f>IFERROR(__xludf.DUMMYFUNCTION("iferror(index('지수RAW'!$AL$7:$AL$12040,MATCH($D120,'지수RAW'!$AH$7:$AH$12040,0)-1,1),GOOGLEFINANCE(V$2))"),64324)</f>
        <v/>
      </c>
      <c r="W120" s="25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5">
      <c r="A121" s="204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4">
        <f>"20"&amp;B121</f>
        <v/>
      </c>
      <c r="F121" s="204">
        <f>C121&amp;"월"</f>
        <v/>
      </c>
      <c r="G121" s="37">
        <f>B121&amp;"."&amp;VLOOKUP(F121,인덱스!$A:$B,2,0)</f>
        <v/>
      </c>
      <c r="H121" s="25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4" t="n"/>
      <c r="O121" s="204" t="n"/>
      <c r="P121" s="204" t="n"/>
      <c r="Q121" s="8">
        <f>IFERROR(__xludf.DUMMYFUNCTION("iferror(index('지수RAW'!$V$7:$V$12040,MATCH($D121,'지수RAW'!$R$7:$R$12040,0)-1,1),GOOGLEFINANCE(Q$2))"),6820.6)</f>
        <v/>
      </c>
      <c r="R121" s="204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4" t="n"/>
      <c r="U121" s="253">
        <f t="array" ref="U121">IFERROR(INDEX(지수RAW!$AT$7:$AT$12040,MATCH($D121,지수RAW!$AP$7:$AP$12040,0)-1,1),지수RAW!$AU$4)</f>
        <v/>
      </c>
      <c r="V121" s="253">
        <f>IFERROR(__xludf.DUMMYFUNCTION("iferror(index('지수RAW'!$AL$7:$AL$12040,MATCH($D121,'지수RAW'!$AH$7:$AH$12040,0)-1,1),GOOGLEFINANCE(V$2))"),64324)</f>
        <v/>
      </c>
      <c r="W121" s="25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5">
      <c r="A122" s="204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4">
        <f>"20"&amp;B122</f>
        <v/>
      </c>
      <c r="F122" s="204">
        <f>C122&amp;"월"</f>
        <v/>
      </c>
      <c r="G122" s="37">
        <f>B122&amp;"."&amp;VLOOKUP(F122,인덱스!$A:$B,2,0)</f>
        <v/>
      </c>
      <c r="H122" s="25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4" t="n"/>
      <c r="O122" s="204" t="n"/>
      <c r="P122" s="204" t="n"/>
      <c r="Q122" s="8">
        <f>IFERROR(__xludf.DUMMYFUNCTION("iferror(index('지수RAW'!$V$7:$V$12040,MATCH($D122,'지수RAW'!$R$7:$R$12040,0)-1,1),GOOGLEFINANCE(Q$2))"),6820.6)</f>
        <v/>
      </c>
      <c r="R122" s="204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4" t="n"/>
      <c r="U122" s="253">
        <f t="array" ref="U122">IFERROR(INDEX(지수RAW!$AT$7:$AT$12040,MATCH($D122,지수RAW!$AP$7:$AP$12040,0)-1,1),지수RAW!$AU$4)</f>
        <v/>
      </c>
      <c r="V122" s="253">
        <f>IFERROR(__xludf.DUMMYFUNCTION("iferror(index('지수RAW'!$AL$7:$AL$12040,MATCH($D122,'지수RAW'!$AH$7:$AH$12040,0)-1,1),GOOGLEFINANCE(V$2))"),64324)</f>
        <v/>
      </c>
      <c r="W122" s="25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5">
      <c r="A123" s="204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4">
        <f>"20"&amp;B123</f>
        <v/>
      </c>
      <c r="F123" s="204">
        <f>C123&amp;"월"</f>
        <v/>
      </c>
      <c r="G123" s="37">
        <f>B123&amp;"."&amp;VLOOKUP(F123,인덱스!$A:$B,2,0)</f>
        <v/>
      </c>
      <c r="H123" s="25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4" t="n"/>
      <c r="O123" s="204" t="n"/>
      <c r="P123" s="204" t="n"/>
      <c r="Q123" s="8">
        <f>IFERROR(__xludf.DUMMYFUNCTION("iferror(index('지수RAW'!$V$7:$V$12040,MATCH($D123,'지수RAW'!$R$7:$R$12040,0)-1,1),GOOGLEFINANCE(Q$2))"),6820.6)</f>
        <v/>
      </c>
      <c r="R123" s="204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4" t="n"/>
      <c r="U123" s="253">
        <f t="array" ref="U123">IFERROR(INDEX(지수RAW!$AT$7:$AT$12040,MATCH($D123,지수RAW!$AP$7:$AP$12040,0)-1,1),지수RAW!$AU$4)</f>
        <v/>
      </c>
      <c r="V123" s="253">
        <f>IFERROR(__xludf.DUMMYFUNCTION("iferror(index('지수RAW'!$AL$7:$AL$12040,MATCH($D123,'지수RAW'!$AH$7:$AH$12040,0)-1,1),GOOGLEFINANCE(V$2))"),64324)</f>
        <v/>
      </c>
      <c r="W123" s="25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5">
      <c r="A124" s="204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4">
        <f>"20"&amp;B124</f>
        <v/>
      </c>
      <c r="F124" s="204">
        <f>C124&amp;"월"</f>
        <v/>
      </c>
      <c r="G124" s="37">
        <f>B124&amp;"."&amp;VLOOKUP(F124,인덱스!$A:$B,2,0)</f>
        <v/>
      </c>
      <c r="H124" s="25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4" t="n"/>
      <c r="O124" s="204" t="n"/>
      <c r="P124" s="204" t="n"/>
      <c r="Q124" s="8">
        <f>IFERROR(__xludf.DUMMYFUNCTION("iferror(index('지수RAW'!$V$7:$V$12040,MATCH($D124,'지수RAW'!$R$7:$R$12040,0)-1,1),GOOGLEFINANCE(Q$2))"),6820.6)</f>
        <v/>
      </c>
      <c r="R124" s="204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4" t="n"/>
      <c r="U124" s="253">
        <f t="array" ref="U124">IFERROR(INDEX(지수RAW!$AT$7:$AT$12040,MATCH($D124,지수RAW!$AP$7:$AP$12040,0)-1,1),지수RAW!$AU$4)</f>
        <v/>
      </c>
      <c r="V124" s="253">
        <f>IFERROR(__xludf.DUMMYFUNCTION("iferror(index('지수RAW'!$AL$7:$AL$12040,MATCH($D124,'지수RAW'!$AH$7:$AH$12040,0)-1,1),GOOGLEFINANCE(V$2))"),64324)</f>
        <v/>
      </c>
      <c r="W124" s="25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5">
      <c r="A125" s="204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4">
        <f>"20"&amp;B125</f>
        <v/>
      </c>
      <c r="F125" s="204">
        <f>C125&amp;"월"</f>
        <v/>
      </c>
      <c r="G125" s="37">
        <f>B125&amp;"."&amp;VLOOKUP(F125,인덱스!$A:$B,2,0)</f>
        <v/>
      </c>
      <c r="H125" s="25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4" t="n"/>
      <c r="O125" s="204" t="n"/>
      <c r="P125" s="204" t="n"/>
      <c r="Q125" s="8">
        <f>IFERROR(__xludf.DUMMYFUNCTION("iferror(index('지수RAW'!$V$7:$V$12040,MATCH($D125,'지수RAW'!$R$7:$R$12040,0)-1,1),GOOGLEFINANCE(Q$2))"),6820.6)</f>
        <v/>
      </c>
      <c r="R125" s="204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4" t="n"/>
      <c r="U125" s="253">
        <f t="array" ref="U125">IFERROR(INDEX(지수RAW!$AT$7:$AT$12040,MATCH($D125,지수RAW!$AP$7:$AP$12040,0)-1,1),지수RAW!$AU$4)</f>
        <v/>
      </c>
      <c r="V125" s="253">
        <f>IFERROR(__xludf.DUMMYFUNCTION("iferror(index('지수RAW'!$AL$7:$AL$12040,MATCH($D125,'지수RAW'!$AH$7:$AH$12040,0)-1,1),GOOGLEFINANCE(V$2))"),64324)</f>
        <v/>
      </c>
      <c r="W125" s="25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5">
      <c r="A126" s="204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4">
        <f>"20"&amp;B126</f>
        <v/>
      </c>
      <c r="F126" s="204">
        <f>C126&amp;"월"</f>
        <v/>
      </c>
      <c r="G126" s="37">
        <f>B126&amp;"."&amp;VLOOKUP(F126,인덱스!$A:$B,2,0)</f>
        <v/>
      </c>
      <c r="H126" s="25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4" t="n"/>
      <c r="O126" s="204" t="n"/>
      <c r="P126" s="204" t="n"/>
      <c r="Q126" s="8">
        <f>IFERROR(__xludf.DUMMYFUNCTION("iferror(index('지수RAW'!$V$7:$V$12040,MATCH($D126,'지수RAW'!$R$7:$R$12040,0)-1,1),GOOGLEFINANCE(Q$2))"),6820.6)</f>
        <v/>
      </c>
      <c r="R126" s="204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4" t="n"/>
      <c r="U126" s="253">
        <f t="array" ref="U126">IFERROR(INDEX(지수RAW!$AT$7:$AT$12040,MATCH($D126,지수RAW!$AP$7:$AP$12040,0)-1,1),지수RAW!$AU$4)</f>
        <v/>
      </c>
      <c r="V126" s="253">
        <f>IFERROR(__xludf.DUMMYFUNCTION("iferror(index('지수RAW'!$AL$7:$AL$12040,MATCH($D126,'지수RAW'!$AH$7:$AH$12040,0)-1,1),GOOGLEFINANCE(V$2))"),64324)</f>
        <v/>
      </c>
      <c r="W126" s="25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5">
      <c r="A127" s="204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4">
        <f>"20"&amp;B127</f>
        <v/>
      </c>
      <c r="F127" s="204">
        <f>C127&amp;"월"</f>
        <v/>
      </c>
      <c r="G127" s="37">
        <f>B127&amp;"."&amp;VLOOKUP(F127,인덱스!$A:$B,2,0)</f>
        <v/>
      </c>
      <c r="H127" s="25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4" t="n"/>
      <c r="O127" s="204" t="n"/>
      <c r="P127" s="204" t="n"/>
      <c r="Q127" s="8">
        <f>IFERROR(__xludf.DUMMYFUNCTION("iferror(index('지수RAW'!$V$7:$V$12040,MATCH($D127,'지수RAW'!$R$7:$R$12040,0)-1,1),GOOGLEFINANCE(Q$2))"),6820.6)</f>
        <v/>
      </c>
      <c r="R127" s="204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4" t="n"/>
      <c r="U127" s="253">
        <f t="array" ref="U127">IFERROR(INDEX(지수RAW!$AT$7:$AT$12040,MATCH($D127,지수RAW!$AP$7:$AP$12040,0)-1,1),지수RAW!$AU$4)</f>
        <v/>
      </c>
      <c r="V127" s="253">
        <f>IFERROR(__xludf.DUMMYFUNCTION("iferror(index('지수RAW'!$AL$7:$AL$12040,MATCH($D127,'지수RAW'!$AH$7:$AH$12040,0)-1,1),GOOGLEFINANCE(V$2))"),64324)</f>
        <v/>
      </c>
      <c r="W127" s="25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5">
      <c r="A128" s="204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4">
        <f>"20"&amp;B128</f>
        <v/>
      </c>
      <c r="F128" s="204">
        <f>C128&amp;"월"</f>
        <v/>
      </c>
      <c r="G128" s="37">
        <f>B128&amp;"."&amp;VLOOKUP(F128,인덱스!$A:$B,2,0)</f>
        <v/>
      </c>
      <c r="H128" s="25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4" t="n"/>
      <c r="O128" s="204" t="n"/>
      <c r="P128" s="204" t="n"/>
      <c r="Q128" s="8">
        <f>IFERROR(__xludf.DUMMYFUNCTION("iferror(index('지수RAW'!$V$7:$V$12040,MATCH($D128,'지수RAW'!$R$7:$R$12040,0)-1,1),GOOGLEFINANCE(Q$2))"),6820.6)</f>
        <v/>
      </c>
      <c r="R128" s="204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4" t="n"/>
      <c r="U128" s="253">
        <f t="array" ref="U128">IFERROR(INDEX(지수RAW!$AT$7:$AT$12040,MATCH($D128,지수RAW!$AP$7:$AP$12040,0)-1,1),지수RAW!$AU$4)</f>
        <v/>
      </c>
      <c r="V128" s="253">
        <f>IFERROR(__xludf.DUMMYFUNCTION("iferror(index('지수RAW'!$AL$7:$AL$12040,MATCH($D128,'지수RAW'!$AH$7:$AH$12040,0)-1,1),GOOGLEFINANCE(V$2))"),64324)</f>
        <v/>
      </c>
      <c r="W128" s="25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5">
      <c r="A129" s="204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4">
        <f>"20"&amp;B129</f>
        <v/>
      </c>
      <c r="F129" s="204">
        <f>C129&amp;"월"</f>
        <v/>
      </c>
      <c r="G129" s="37">
        <f>B129&amp;"."&amp;VLOOKUP(F129,인덱스!$A:$B,2,0)</f>
        <v/>
      </c>
      <c r="H129" s="25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4" t="n"/>
      <c r="O129" s="204" t="n"/>
      <c r="P129" s="204" t="n"/>
      <c r="Q129" s="8">
        <f>IFERROR(__xludf.DUMMYFUNCTION("iferror(index('지수RAW'!$V$7:$V$12040,MATCH($D129,'지수RAW'!$R$7:$R$12040,0)-1,1),GOOGLEFINANCE(Q$2))"),6820.6)</f>
        <v/>
      </c>
      <c r="R129" s="204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4" t="n"/>
      <c r="U129" s="253">
        <f t="array" ref="U129">IFERROR(INDEX(지수RAW!$AT$7:$AT$12040,MATCH($D129,지수RAW!$AP$7:$AP$12040,0)-1,1),지수RAW!$AU$4)</f>
        <v/>
      </c>
      <c r="V129" s="253">
        <f>IFERROR(__xludf.DUMMYFUNCTION("iferror(index('지수RAW'!$AL$7:$AL$12040,MATCH($D129,'지수RAW'!$AH$7:$AH$12040,0)-1,1),GOOGLEFINANCE(V$2))"),64324)</f>
        <v/>
      </c>
      <c r="W129" s="25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5">
      <c r="A130" s="204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4">
        <f>"20"&amp;B130</f>
        <v/>
      </c>
      <c r="F130" s="204">
        <f>C130&amp;"월"</f>
        <v/>
      </c>
      <c r="G130" s="37">
        <f>B130&amp;"."&amp;VLOOKUP(F130,인덱스!$A:$B,2,0)</f>
        <v/>
      </c>
      <c r="H130" s="25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4" t="n"/>
      <c r="O130" s="204" t="n"/>
      <c r="P130" s="204" t="n"/>
      <c r="Q130" s="8">
        <f>IFERROR(__xludf.DUMMYFUNCTION("iferror(index('지수RAW'!$V$7:$V$12040,MATCH($D130,'지수RAW'!$R$7:$R$12040,0)-1,1),GOOGLEFINANCE(Q$2))"),6820.6)</f>
        <v/>
      </c>
      <c r="R130" s="204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4" t="n"/>
      <c r="U130" s="253">
        <f t="array" ref="U130">IFERROR(INDEX(지수RAW!$AT$7:$AT$12040,MATCH($D130,지수RAW!$AP$7:$AP$12040,0)-1,1),지수RAW!$AU$4)</f>
        <v/>
      </c>
      <c r="V130" s="253">
        <f>IFERROR(__xludf.DUMMYFUNCTION("iferror(index('지수RAW'!$AL$7:$AL$12040,MATCH($D130,'지수RAW'!$AH$7:$AH$12040,0)-1,1),GOOGLEFINANCE(V$2))"),64324)</f>
        <v/>
      </c>
      <c r="W130" s="25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5">
      <c r="A131" s="204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4">
        <f>"20"&amp;B131</f>
        <v/>
      </c>
      <c r="F131" s="204">
        <f>C131&amp;"월"</f>
        <v/>
      </c>
      <c r="G131" s="37">
        <f>B131&amp;"."&amp;VLOOKUP(F131,인덱스!$A:$B,2,0)</f>
        <v/>
      </c>
      <c r="H131" s="25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4" t="n"/>
      <c r="O131" s="204" t="n"/>
      <c r="P131" s="204" t="n"/>
      <c r="Q131" s="8">
        <f>IFERROR(__xludf.DUMMYFUNCTION("iferror(index('지수RAW'!$V$7:$V$12040,MATCH($D131,'지수RAW'!$R$7:$R$12040,0)-1,1),GOOGLEFINANCE(Q$2))"),6820.6)</f>
        <v/>
      </c>
      <c r="R131" s="204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4" t="n"/>
      <c r="U131" s="253">
        <f t="array" ref="U131">IFERROR(INDEX(지수RAW!$AT$7:$AT$12040,MATCH($D131,지수RAW!$AP$7:$AP$12040,0)-1,1),지수RAW!$AU$4)</f>
        <v/>
      </c>
      <c r="V131" s="253">
        <f>IFERROR(__xludf.DUMMYFUNCTION("iferror(index('지수RAW'!$AL$7:$AL$12040,MATCH($D131,'지수RAW'!$AH$7:$AH$12040,0)-1,1),GOOGLEFINANCE(V$2))"),64324)</f>
        <v/>
      </c>
      <c r="W131" s="25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5">
      <c r="A132" s="204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4">
        <f>"20"&amp;B132</f>
        <v/>
      </c>
      <c r="F132" s="204">
        <f>C132&amp;"월"</f>
        <v/>
      </c>
      <c r="G132" s="37">
        <f>B132&amp;"."&amp;VLOOKUP(F132,인덱스!$A:$B,2,0)</f>
        <v/>
      </c>
      <c r="H132" s="25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4" t="n"/>
      <c r="O132" s="204" t="n"/>
      <c r="P132" s="204" t="n"/>
      <c r="Q132" s="8">
        <f>IFERROR(__xludf.DUMMYFUNCTION("iferror(index('지수RAW'!$V$7:$V$12040,MATCH($D132,'지수RAW'!$R$7:$R$12040,0)-1,1),GOOGLEFINANCE(Q$2))"),6820.6)</f>
        <v/>
      </c>
      <c r="R132" s="204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4" t="n"/>
      <c r="U132" s="253">
        <f t="array" ref="U132">IFERROR(INDEX(지수RAW!$AT$7:$AT$12040,MATCH($D132,지수RAW!$AP$7:$AP$12040,0)-1,1),지수RAW!$AU$4)</f>
        <v/>
      </c>
      <c r="V132" s="253">
        <f>IFERROR(__xludf.DUMMYFUNCTION("iferror(index('지수RAW'!$AL$7:$AL$12040,MATCH($D132,'지수RAW'!$AH$7:$AH$12040,0)-1,1),GOOGLEFINANCE(V$2))"),64324)</f>
        <v/>
      </c>
      <c r="W132" s="25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5">
      <c r="A133" s="204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4">
        <f>"20"&amp;B133</f>
        <v/>
      </c>
      <c r="F133" s="204">
        <f>C133&amp;"월"</f>
        <v/>
      </c>
      <c r="G133" s="37">
        <f>B133&amp;"."&amp;VLOOKUP(F133,인덱스!$A:$B,2,0)</f>
        <v/>
      </c>
      <c r="H133" s="25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4" t="n"/>
      <c r="O133" s="204" t="n"/>
      <c r="P133" s="204" t="n"/>
      <c r="Q133" s="8">
        <f>IFERROR(__xludf.DUMMYFUNCTION("iferror(index('지수RAW'!$V$7:$V$12040,MATCH($D133,'지수RAW'!$R$7:$R$12040,0)-1,1),GOOGLEFINANCE(Q$2))"),6820.6)</f>
        <v/>
      </c>
      <c r="R133" s="204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4" t="n"/>
      <c r="U133" s="253">
        <f t="array" ref="U133">IFERROR(INDEX(지수RAW!$AT$7:$AT$12040,MATCH($D133,지수RAW!$AP$7:$AP$12040,0)-1,1),지수RAW!$AU$4)</f>
        <v/>
      </c>
      <c r="V133" s="253">
        <f>IFERROR(__xludf.DUMMYFUNCTION("iferror(index('지수RAW'!$AL$7:$AL$12040,MATCH($D133,'지수RAW'!$AH$7:$AH$12040,0)-1,1),GOOGLEFINANCE(V$2))"),64324)</f>
        <v/>
      </c>
      <c r="W133" s="25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5">
      <c r="A134" s="204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4">
        <f>"20"&amp;B134</f>
        <v/>
      </c>
      <c r="F134" s="204">
        <f>C134&amp;"월"</f>
        <v/>
      </c>
      <c r="G134" s="37">
        <f>B134&amp;"."&amp;VLOOKUP(F134,인덱스!$A:$B,2,0)</f>
        <v/>
      </c>
      <c r="H134" s="25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4" t="n"/>
      <c r="O134" s="204" t="n"/>
      <c r="P134" s="204" t="n"/>
      <c r="Q134" s="8">
        <f>IFERROR(__xludf.DUMMYFUNCTION("iferror(index('지수RAW'!$V$7:$V$12040,MATCH($D134,'지수RAW'!$R$7:$R$12040,0)-1,1),GOOGLEFINANCE(Q$2))"),6820.6)</f>
        <v/>
      </c>
      <c r="R134" s="204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4" t="n"/>
      <c r="U134" s="253">
        <f t="array" ref="U134">IFERROR(INDEX(지수RAW!$AT$7:$AT$12040,MATCH($D134,지수RAW!$AP$7:$AP$12040,0)-1,1),지수RAW!$AU$4)</f>
        <v/>
      </c>
      <c r="V134" s="253">
        <f>IFERROR(__xludf.DUMMYFUNCTION("iferror(index('지수RAW'!$AL$7:$AL$12040,MATCH($D134,'지수RAW'!$AH$7:$AH$12040,0)-1,1),GOOGLEFINANCE(V$2))"),64324)</f>
        <v/>
      </c>
      <c r="W134" s="25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5">
      <c r="A135" s="204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4">
        <f>"20"&amp;B135</f>
        <v/>
      </c>
      <c r="F135" s="204">
        <f>C135&amp;"월"</f>
        <v/>
      </c>
      <c r="G135" s="37">
        <f>B135&amp;"."&amp;VLOOKUP(F135,인덱스!$A:$B,2,0)</f>
        <v/>
      </c>
      <c r="H135" s="25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4" t="n"/>
      <c r="O135" s="204" t="n"/>
      <c r="P135" s="204" t="n"/>
      <c r="Q135" s="8">
        <f>IFERROR(__xludf.DUMMYFUNCTION("iferror(index('지수RAW'!$V$7:$V$12040,MATCH($D135,'지수RAW'!$R$7:$R$12040,0)-1,1),GOOGLEFINANCE(Q$2))"),6820.6)</f>
        <v/>
      </c>
      <c r="R135" s="204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4" t="n"/>
      <c r="U135" s="253">
        <f t="array" ref="U135">IFERROR(INDEX(지수RAW!$AT$7:$AT$12040,MATCH($D135,지수RAW!$AP$7:$AP$12040,0)-1,1),지수RAW!$AU$4)</f>
        <v/>
      </c>
      <c r="V135" s="253">
        <f>IFERROR(__xludf.DUMMYFUNCTION("iferror(index('지수RAW'!$AL$7:$AL$12040,MATCH($D135,'지수RAW'!$AH$7:$AH$12040,0)-1,1),GOOGLEFINANCE(V$2))"),64324)</f>
        <v/>
      </c>
      <c r="W135" s="25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5">
      <c r="A136" s="204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4">
        <f>"20"&amp;B136</f>
        <v/>
      </c>
      <c r="F136" s="204">
        <f>C136&amp;"월"</f>
        <v/>
      </c>
      <c r="G136" s="37">
        <f>B136&amp;"."&amp;VLOOKUP(F136,인덱스!$A:$B,2,0)</f>
        <v/>
      </c>
      <c r="H136" s="25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4" t="n"/>
      <c r="O136" s="204" t="n"/>
      <c r="P136" s="204" t="n"/>
      <c r="Q136" s="8">
        <f>IFERROR(__xludf.DUMMYFUNCTION("iferror(index('지수RAW'!$V$7:$V$12040,MATCH($D136,'지수RAW'!$R$7:$R$12040,0)-1,1),GOOGLEFINANCE(Q$2))"),6820.6)</f>
        <v/>
      </c>
      <c r="R136" s="204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4" t="n"/>
      <c r="U136" s="253">
        <f t="array" ref="U136">IFERROR(INDEX(지수RAW!$AT$7:$AT$12040,MATCH($D136,지수RAW!$AP$7:$AP$12040,0)-1,1),지수RAW!$AU$4)</f>
        <v/>
      </c>
      <c r="V136" s="253">
        <f>IFERROR(__xludf.DUMMYFUNCTION("iferror(index('지수RAW'!$AL$7:$AL$12040,MATCH($D136,'지수RAW'!$AH$7:$AH$12040,0)-1,1),GOOGLEFINANCE(V$2))"),64324)</f>
        <v/>
      </c>
      <c r="W136" s="25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5">
      <c r="A137" s="204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4">
        <f>"20"&amp;B137</f>
        <v/>
      </c>
      <c r="F137" s="204">
        <f>C137&amp;"월"</f>
        <v/>
      </c>
      <c r="G137" s="37">
        <f>B137&amp;"."&amp;VLOOKUP(F137,인덱스!$A:$B,2,0)</f>
        <v/>
      </c>
      <c r="H137" s="25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4" t="n"/>
      <c r="O137" s="204" t="n"/>
      <c r="P137" s="204" t="n"/>
      <c r="Q137" s="8">
        <f>IFERROR(__xludf.DUMMYFUNCTION("iferror(index('지수RAW'!$V$7:$V$12040,MATCH($D137,'지수RAW'!$R$7:$R$12040,0)-1,1),GOOGLEFINANCE(Q$2))"),6820.6)</f>
        <v/>
      </c>
      <c r="R137" s="204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4" t="n"/>
      <c r="U137" s="253">
        <f t="array" ref="U137">IFERROR(INDEX(지수RAW!$AT$7:$AT$12040,MATCH($D137,지수RAW!$AP$7:$AP$12040,0)-1,1),지수RAW!$AU$4)</f>
        <v/>
      </c>
      <c r="V137" s="253">
        <f>IFERROR(__xludf.DUMMYFUNCTION("iferror(index('지수RAW'!$AL$7:$AL$12040,MATCH($D137,'지수RAW'!$AH$7:$AH$12040,0)-1,1),GOOGLEFINANCE(V$2))"),64324)</f>
        <v/>
      </c>
      <c r="W137" s="25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5">
      <c r="A138" s="204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4">
        <f>"20"&amp;B138</f>
        <v/>
      </c>
      <c r="F138" s="204">
        <f>C138&amp;"월"</f>
        <v/>
      </c>
      <c r="G138" s="37">
        <f>B138&amp;"."&amp;VLOOKUP(F138,인덱스!$A:$B,2,0)</f>
        <v/>
      </c>
      <c r="H138" s="25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4" t="n"/>
      <c r="O138" s="204" t="n"/>
      <c r="P138" s="204" t="n"/>
      <c r="Q138" s="8">
        <f>IFERROR(__xludf.DUMMYFUNCTION("iferror(index('지수RAW'!$V$7:$V$12040,MATCH($D138,'지수RAW'!$R$7:$R$12040,0)-1,1),GOOGLEFINANCE(Q$2))"),6820.6)</f>
        <v/>
      </c>
      <c r="R138" s="204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4" t="n"/>
      <c r="U138" s="253">
        <f t="array" ref="U138">IFERROR(INDEX(지수RAW!$AT$7:$AT$12040,MATCH($D138,지수RAW!$AP$7:$AP$12040,0)-1,1),지수RAW!$AU$4)</f>
        <v/>
      </c>
      <c r="V138" s="253">
        <f>IFERROR(__xludf.DUMMYFUNCTION("iferror(index('지수RAW'!$AL$7:$AL$12040,MATCH($D138,'지수RAW'!$AH$7:$AH$12040,0)-1,1),GOOGLEFINANCE(V$2))"),64324)</f>
        <v/>
      </c>
      <c r="W138" s="25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5">
      <c r="A139" s="204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4">
        <f>"20"&amp;B139</f>
        <v/>
      </c>
      <c r="F139" s="204">
        <f>C139&amp;"월"</f>
        <v/>
      </c>
      <c r="G139" s="37">
        <f>B139&amp;"."&amp;VLOOKUP(F139,인덱스!$A:$B,2,0)</f>
        <v/>
      </c>
      <c r="H139" s="25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4" t="n"/>
      <c r="O139" s="204" t="n"/>
      <c r="P139" s="204" t="n"/>
      <c r="Q139" s="8">
        <f>IFERROR(__xludf.DUMMYFUNCTION("iferror(index('지수RAW'!$V$7:$V$12040,MATCH($D139,'지수RAW'!$R$7:$R$12040,0)-1,1),GOOGLEFINANCE(Q$2))"),6820.6)</f>
        <v/>
      </c>
      <c r="R139" s="204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4" t="n"/>
      <c r="U139" s="253">
        <f t="array" ref="U139">IFERROR(INDEX(지수RAW!$AT$7:$AT$12040,MATCH($D139,지수RAW!$AP$7:$AP$12040,0)-1,1),지수RAW!$AU$4)</f>
        <v/>
      </c>
      <c r="V139" s="253">
        <f>IFERROR(__xludf.DUMMYFUNCTION("iferror(index('지수RAW'!$AL$7:$AL$12040,MATCH($D139,'지수RAW'!$AH$7:$AH$12040,0)-1,1),GOOGLEFINANCE(V$2))"),64324)</f>
        <v/>
      </c>
      <c r="W139" s="25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5">
      <c r="A140" s="204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4">
        <f>"20"&amp;B140</f>
        <v/>
      </c>
      <c r="F140" s="204">
        <f>C140&amp;"월"</f>
        <v/>
      </c>
      <c r="G140" s="37">
        <f>B140&amp;"."&amp;VLOOKUP(F140,인덱스!$A:$B,2,0)</f>
        <v/>
      </c>
      <c r="H140" s="25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4" t="n"/>
      <c r="O140" s="204" t="n"/>
      <c r="P140" s="204" t="n"/>
      <c r="Q140" s="8">
        <f>IFERROR(__xludf.DUMMYFUNCTION("iferror(index('지수RAW'!$V$7:$V$12040,MATCH($D140,'지수RAW'!$R$7:$R$12040,0)-1,1),GOOGLEFINANCE(Q$2))"),6820.6)</f>
        <v/>
      </c>
      <c r="R140" s="204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4" t="n"/>
      <c r="U140" s="253">
        <f t="array" ref="U140">IFERROR(INDEX(지수RAW!$AT$7:$AT$12040,MATCH($D140,지수RAW!$AP$7:$AP$12040,0)-1,1),지수RAW!$AU$4)</f>
        <v/>
      </c>
      <c r="V140" s="253">
        <f>IFERROR(__xludf.DUMMYFUNCTION("iferror(index('지수RAW'!$AL$7:$AL$12040,MATCH($D140,'지수RAW'!$AH$7:$AH$12040,0)-1,1),GOOGLEFINANCE(V$2))"),64324)</f>
        <v/>
      </c>
      <c r="W140" s="25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5">
      <c r="A141" s="204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4">
        <f>"20"&amp;B141</f>
        <v/>
      </c>
      <c r="F141" s="204">
        <f>C141&amp;"월"</f>
        <v/>
      </c>
      <c r="G141" s="37">
        <f>B141&amp;"."&amp;VLOOKUP(F141,인덱스!$A:$B,2,0)</f>
        <v/>
      </c>
      <c r="H141" s="25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4" t="n"/>
      <c r="O141" s="204" t="n"/>
      <c r="P141" s="204" t="n"/>
      <c r="Q141" s="8">
        <f>IFERROR(__xludf.DUMMYFUNCTION("iferror(index('지수RAW'!$V$7:$V$12040,MATCH($D141,'지수RAW'!$R$7:$R$12040,0)-1,1),GOOGLEFINANCE(Q$2))"),6820.6)</f>
        <v/>
      </c>
      <c r="R141" s="204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4" t="n"/>
      <c r="U141" s="253">
        <f t="array" ref="U141">IFERROR(INDEX(지수RAW!$AT$7:$AT$12040,MATCH($D141,지수RAW!$AP$7:$AP$12040,0)-1,1),지수RAW!$AU$4)</f>
        <v/>
      </c>
      <c r="V141" s="253">
        <f>IFERROR(__xludf.DUMMYFUNCTION("iferror(index('지수RAW'!$AL$7:$AL$12040,MATCH($D141,'지수RAW'!$AH$7:$AH$12040,0)-1,1),GOOGLEFINANCE(V$2))"),64324)</f>
        <v/>
      </c>
      <c r="W141" s="25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5">
      <c r="A142" s="204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4">
        <f>"20"&amp;B142</f>
        <v/>
      </c>
      <c r="F142" s="204">
        <f>C142&amp;"월"</f>
        <v/>
      </c>
      <c r="G142" s="37">
        <f>B142&amp;"."&amp;VLOOKUP(F142,인덱스!$A:$B,2,0)</f>
        <v/>
      </c>
      <c r="H142" s="25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4" t="n"/>
      <c r="O142" s="204" t="n"/>
      <c r="P142" s="204" t="n"/>
      <c r="Q142" s="8">
        <f>IFERROR(__xludf.DUMMYFUNCTION("iferror(index('지수RAW'!$V$7:$V$12040,MATCH($D142,'지수RAW'!$R$7:$R$12040,0)-1,1),GOOGLEFINANCE(Q$2))"),6820.6)</f>
        <v/>
      </c>
      <c r="R142" s="204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4" t="n"/>
      <c r="U142" s="253">
        <f t="array" ref="U142">IFERROR(INDEX(지수RAW!$AT$7:$AT$12040,MATCH($D142,지수RAW!$AP$7:$AP$12040,0)-1,1),지수RAW!$AU$4)</f>
        <v/>
      </c>
      <c r="V142" s="253">
        <f>IFERROR(__xludf.DUMMYFUNCTION("iferror(index('지수RAW'!$AL$7:$AL$12040,MATCH($D142,'지수RAW'!$AH$7:$AH$12040,0)-1,1),GOOGLEFINANCE(V$2))"),64324)</f>
        <v/>
      </c>
      <c r="W142" s="25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5">
      <c r="A143" s="204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4">
        <f>"20"&amp;B143</f>
        <v/>
      </c>
      <c r="F143" s="204">
        <f>C143&amp;"월"</f>
        <v/>
      </c>
      <c r="G143" s="37">
        <f>B143&amp;"."&amp;VLOOKUP(F143,인덱스!$A:$B,2,0)</f>
        <v/>
      </c>
      <c r="H143" s="25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4" t="n"/>
      <c r="O143" s="204" t="n"/>
      <c r="P143" s="204" t="n"/>
      <c r="Q143" s="8">
        <f>IFERROR(__xludf.DUMMYFUNCTION("iferror(index('지수RAW'!$V$7:$V$12040,MATCH($D143,'지수RAW'!$R$7:$R$12040,0)-1,1),GOOGLEFINANCE(Q$2))"),6820.6)</f>
        <v/>
      </c>
      <c r="R143" s="204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4" t="n"/>
      <c r="U143" s="253">
        <f t="array" ref="U143">IFERROR(INDEX(지수RAW!$AT$7:$AT$12040,MATCH($D143,지수RAW!$AP$7:$AP$12040,0)-1,1),지수RAW!$AU$4)</f>
        <v/>
      </c>
      <c r="V143" s="253">
        <f>IFERROR(__xludf.DUMMYFUNCTION("iferror(index('지수RAW'!$AL$7:$AL$12040,MATCH($D143,'지수RAW'!$AH$7:$AH$12040,0)-1,1),GOOGLEFINANCE(V$2))"),64324)</f>
        <v/>
      </c>
      <c r="W143" s="25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5">
      <c r="A144" s="204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4">
        <f>"20"&amp;B144</f>
        <v/>
      </c>
      <c r="F144" s="204">
        <f>C144&amp;"월"</f>
        <v/>
      </c>
      <c r="G144" s="37">
        <f>B144&amp;"."&amp;VLOOKUP(F144,인덱스!$A:$B,2,0)</f>
        <v/>
      </c>
      <c r="H144" s="25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4" t="n"/>
      <c r="O144" s="204" t="n"/>
      <c r="P144" s="204" t="n"/>
      <c r="Q144" s="8">
        <f>IFERROR(__xludf.DUMMYFUNCTION("iferror(index('지수RAW'!$V$7:$V$12040,MATCH($D144,'지수RAW'!$R$7:$R$12040,0)-1,1),GOOGLEFINANCE(Q$2))"),6820.6)</f>
        <v/>
      </c>
      <c r="R144" s="204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4" t="n"/>
      <c r="U144" s="253">
        <f t="array" ref="U144">IFERROR(INDEX(지수RAW!$AT$7:$AT$12040,MATCH($D144,지수RAW!$AP$7:$AP$12040,0)-1,1),지수RAW!$AU$4)</f>
        <v/>
      </c>
      <c r="V144" s="253">
        <f>IFERROR(__xludf.DUMMYFUNCTION("iferror(index('지수RAW'!$AL$7:$AL$12040,MATCH($D144,'지수RAW'!$AH$7:$AH$12040,0)-1,1),GOOGLEFINANCE(V$2))"),64324)</f>
        <v/>
      </c>
      <c r="W144" s="25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5">
      <c r="A145" s="204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4">
        <f>"20"&amp;B145</f>
        <v/>
      </c>
      <c r="F145" s="204">
        <f>C145&amp;"월"</f>
        <v/>
      </c>
      <c r="G145" s="37">
        <f>B145&amp;"."&amp;VLOOKUP(F145,인덱스!$A:$B,2,0)</f>
        <v/>
      </c>
      <c r="H145" s="25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4" t="n"/>
      <c r="O145" s="204" t="n"/>
      <c r="P145" s="204" t="n"/>
      <c r="Q145" s="8">
        <f>IFERROR(__xludf.DUMMYFUNCTION("iferror(index('지수RAW'!$V$7:$V$12040,MATCH($D145,'지수RAW'!$R$7:$R$12040,0)-1,1),GOOGLEFINANCE(Q$2))"),6820.6)</f>
        <v/>
      </c>
      <c r="R145" s="204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4" t="n"/>
      <c r="U145" s="253">
        <f t="array" ref="U145">IFERROR(INDEX(지수RAW!$AT$7:$AT$12040,MATCH($D145,지수RAW!$AP$7:$AP$12040,0)-1,1),지수RAW!$AU$4)</f>
        <v/>
      </c>
      <c r="V145" s="253">
        <f>IFERROR(__xludf.DUMMYFUNCTION("iferror(index('지수RAW'!$AL$7:$AL$12040,MATCH($D145,'지수RAW'!$AH$7:$AH$12040,0)-1,1),GOOGLEFINANCE(V$2))"),64324)</f>
        <v/>
      </c>
      <c r="W145" s="25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5">
      <c r="A146" s="204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4">
        <f>"20"&amp;B146</f>
        <v/>
      </c>
      <c r="F146" s="204">
        <f>C146&amp;"월"</f>
        <v/>
      </c>
      <c r="G146" s="37">
        <f>B146&amp;"."&amp;VLOOKUP(F146,인덱스!$A:$B,2,0)</f>
        <v/>
      </c>
      <c r="H146" s="25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4" t="n"/>
      <c r="O146" s="204" t="n"/>
      <c r="P146" s="204" t="n"/>
      <c r="Q146" s="8">
        <f>IFERROR(__xludf.DUMMYFUNCTION("iferror(index('지수RAW'!$V$7:$V$12040,MATCH($D146,'지수RAW'!$R$7:$R$12040,0)-1,1),GOOGLEFINANCE(Q$2))"),6820.6)</f>
        <v/>
      </c>
      <c r="R146" s="204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4" t="n"/>
      <c r="U146" s="253">
        <f t="array" ref="U146">IFERROR(INDEX(지수RAW!$AT$7:$AT$12040,MATCH($D146,지수RAW!$AP$7:$AP$12040,0)-1,1),지수RAW!$AU$4)</f>
        <v/>
      </c>
      <c r="V146" s="253">
        <f>IFERROR(__xludf.DUMMYFUNCTION("iferror(index('지수RAW'!$AL$7:$AL$12040,MATCH($D146,'지수RAW'!$AH$7:$AH$12040,0)-1,1),GOOGLEFINANCE(V$2))"),64324)</f>
        <v/>
      </c>
      <c r="W146" s="25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5">
      <c r="A147" s="204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4">
        <f>"20"&amp;B147</f>
        <v/>
      </c>
      <c r="F147" s="204">
        <f>C147&amp;"월"</f>
        <v/>
      </c>
      <c r="G147" s="37">
        <f>B147&amp;"."&amp;VLOOKUP(F147,인덱스!$A:$B,2,0)</f>
        <v/>
      </c>
      <c r="H147" s="25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4" t="n"/>
      <c r="O147" s="204" t="n"/>
      <c r="P147" s="204" t="n"/>
      <c r="Q147" s="8">
        <f>IFERROR(__xludf.DUMMYFUNCTION("iferror(index('지수RAW'!$V$7:$V$12040,MATCH($D147,'지수RAW'!$R$7:$R$12040,0)-1,1),GOOGLEFINANCE(Q$2))"),6820.6)</f>
        <v/>
      </c>
      <c r="R147" s="204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4" t="n"/>
      <c r="U147" s="253">
        <f t="array" ref="U147">IFERROR(INDEX(지수RAW!$AT$7:$AT$12040,MATCH($D147,지수RAW!$AP$7:$AP$12040,0)-1,1),지수RAW!$AU$4)</f>
        <v/>
      </c>
      <c r="V147" s="253">
        <f>IFERROR(__xludf.DUMMYFUNCTION("iferror(index('지수RAW'!$AL$7:$AL$12040,MATCH($D147,'지수RAW'!$AH$7:$AH$12040,0)-1,1),GOOGLEFINANCE(V$2))"),64324)</f>
        <v/>
      </c>
      <c r="W147" s="25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5">
      <c r="A148" s="204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4">
        <f>"20"&amp;B148</f>
        <v/>
      </c>
      <c r="F148" s="204">
        <f>C148&amp;"월"</f>
        <v/>
      </c>
      <c r="G148" s="37">
        <f>B148&amp;"."&amp;VLOOKUP(F148,인덱스!$A:$B,2,0)</f>
        <v/>
      </c>
      <c r="H148" s="25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4" t="n"/>
      <c r="O148" s="204" t="n"/>
      <c r="P148" s="204" t="n"/>
      <c r="Q148" s="8">
        <f>IFERROR(__xludf.DUMMYFUNCTION("iferror(index('지수RAW'!$V$7:$V$12040,MATCH($D148,'지수RAW'!$R$7:$R$12040,0)-1,1),GOOGLEFINANCE(Q$2))"),6820.6)</f>
        <v/>
      </c>
      <c r="R148" s="204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4" t="n"/>
      <c r="U148" s="253">
        <f t="array" ref="U148">IFERROR(INDEX(지수RAW!$AT$7:$AT$12040,MATCH($D148,지수RAW!$AP$7:$AP$12040,0)-1,1),지수RAW!$AU$4)</f>
        <v/>
      </c>
      <c r="V148" s="253">
        <f>IFERROR(__xludf.DUMMYFUNCTION("iferror(index('지수RAW'!$AL$7:$AL$12040,MATCH($D148,'지수RAW'!$AH$7:$AH$12040,0)-1,1),GOOGLEFINANCE(V$2))"),64324)</f>
        <v/>
      </c>
      <c r="W148" s="25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5">
      <c r="A149" s="204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4">
        <f>"20"&amp;B149</f>
        <v/>
      </c>
      <c r="F149" s="204">
        <f>C149&amp;"월"</f>
        <v/>
      </c>
      <c r="G149" s="37">
        <f>B149&amp;"."&amp;VLOOKUP(F149,인덱스!$A:$B,2,0)</f>
        <v/>
      </c>
      <c r="H149" s="25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4" t="n"/>
      <c r="O149" s="204" t="n"/>
      <c r="P149" s="204" t="n"/>
      <c r="Q149" s="8">
        <f>IFERROR(__xludf.DUMMYFUNCTION("iferror(index('지수RAW'!$V$7:$V$12040,MATCH($D149,'지수RAW'!$R$7:$R$12040,0)-1,1),GOOGLEFINANCE(Q$2))"),6820.6)</f>
        <v/>
      </c>
      <c r="R149" s="204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4" t="n"/>
      <c r="U149" s="253">
        <f t="array" ref="U149">IFERROR(INDEX(지수RAW!$AT$7:$AT$12040,MATCH($D149,지수RAW!$AP$7:$AP$12040,0)-1,1),지수RAW!$AU$4)</f>
        <v/>
      </c>
      <c r="V149" s="253">
        <f>IFERROR(__xludf.DUMMYFUNCTION("iferror(index('지수RAW'!$AL$7:$AL$12040,MATCH($D149,'지수RAW'!$AH$7:$AH$12040,0)-1,1),GOOGLEFINANCE(V$2))"),64324)</f>
        <v/>
      </c>
      <c r="W149" s="25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5">
      <c r="A150" s="204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4">
        <f>"20"&amp;B150</f>
        <v/>
      </c>
      <c r="F150" s="204">
        <f>C150&amp;"월"</f>
        <v/>
      </c>
      <c r="G150" s="37">
        <f>B150&amp;"."&amp;VLOOKUP(F150,인덱스!$A:$B,2,0)</f>
        <v/>
      </c>
      <c r="H150" s="25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4" t="n"/>
      <c r="O150" s="204" t="n"/>
      <c r="P150" s="204" t="n"/>
      <c r="Q150" s="8">
        <f>IFERROR(__xludf.DUMMYFUNCTION("iferror(index('지수RAW'!$V$7:$V$12040,MATCH($D150,'지수RAW'!$R$7:$R$12040,0)-1,1),GOOGLEFINANCE(Q$2))"),6820.6)</f>
        <v/>
      </c>
      <c r="R150" s="204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4" t="n"/>
      <c r="U150" s="253">
        <f t="array" ref="U150">IFERROR(INDEX(지수RAW!$AT$7:$AT$12040,MATCH($D150,지수RAW!$AP$7:$AP$12040,0)-1,1),지수RAW!$AU$4)</f>
        <v/>
      </c>
      <c r="V150" s="253">
        <f>IFERROR(__xludf.DUMMYFUNCTION("iferror(index('지수RAW'!$AL$7:$AL$12040,MATCH($D150,'지수RAW'!$AH$7:$AH$12040,0)-1,1),GOOGLEFINANCE(V$2))"),64324)</f>
        <v/>
      </c>
      <c r="W150" s="25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5">
      <c r="A151" s="204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4">
        <f>"20"&amp;B151</f>
        <v/>
      </c>
      <c r="F151" s="204">
        <f>C151&amp;"월"</f>
        <v/>
      </c>
      <c r="G151" s="37">
        <f>B151&amp;"."&amp;VLOOKUP(F151,인덱스!$A:$B,2,0)</f>
        <v/>
      </c>
      <c r="H151" s="25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4" t="n"/>
      <c r="O151" s="204" t="n"/>
      <c r="P151" s="204" t="n"/>
      <c r="Q151" s="8">
        <f>IFERROR(__xludf.DUMMYFUNCTION("iferror(index('지수RAW'!$V$7:$V$12040,MATCH($D151,'지수RAW'!$R$7:$R$12040,0)-1,1),GOOGLEFINANCE(Q$2))"),6820.6)</f>
        <v/>
      </c>
      <c r="R151" s="204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4" t="n"/>
      <c r="U151" s="253">
        <f t="array" ref="U151">IFERROR(INDEX(지수RAW!$AT$7:$AT$12040,MATCH($D151,지수RAW!$AP$7:$AP$12040,0)-1,1),지수RAW!$AU$4)</f>
        <v/>
      </c>
      <c r="V151" s="253">
        <f>IFERROR(__xludf.DUMMYFUNCTION("iferror(index('지수RAW'!$AL$7:$AL$12040,MATCH($D151,'지수RAW'!$AH$7:$AH$12040,0)-1,1),GOOGLEFINANCE(V$2))"),64324)</f>
        <v/>
      </c>
      <c r="W151" s="25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5">
      <c r="A152" s="204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4">
        <f>"20"&amp;B152</f>
        <v/>
      </c>
      <c r="F152" s="204">
        <f>C152&amp;"월"</f>
        <v/>
      </c>
      <c r="G152" s="37">
        <f>B152&amp;"."&amp;VLOOKUP(F152,인덱스!$A:$B,2,0)</f>
        <v/>
      </c>
      <c r="H152" s="25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4" t="n"/>
      <c r="O152" s="204" t="n"/>
      <c r="P152" s="204" t="n"/>
      <c r="Q152" s="8">
        <f>IFERROR(__xludf.DUMMYFUNCTION("iferror(index('지수RAW'!$V$7:$V$12040,MATCH($D152,'지수RAW'!$R$7:$R$12040,0)-1,1),GOOGLEFINANCE(Q$2))"),6820.6)</f>
        <v/>
      </c>
      <c r="R152" s="204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4" t="n"/>
      <c r="U152" s="253">
        <f t="array" ref="U152">IFERROR(INDEX(지수RAW!$AT$7:$AT$12040,MATCH($D152,지수RAW!$AP$7:$AP$12040,0)-1,1),지수RAW!$AU$4)</f>
        <v/>
      </c>
      <c r="V152" s="253">
        <f>IFERROR(__xludf.DUMMYFUNCTION("iferror(index('지수RAW'!$AL$7:$AL$12040,MATCH($D152,'지수RAW'!$AH$7:$AH$12040,0)-1,1),GOOGLEFINANCE(V$2))"),64324)</f>
        <v/>
      </c>
      <c r="W152" s="25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5">
      <c r="A153" s="204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4">
        <f>"20"&amp;B153</f>
        <v/>
      </c>
      <c r="F153" s="204">
        <f>C153&amp;"월"</f>
        <v/>
      </c>
      <c r="G153" s="37">
        <f>B153&amp;"."&amp;VLOOKUP(F153,인덱스!$A:$B,2,0)</f>
        <v/>
      </c>
      <c r="H153" s="25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4" t="n"/>
      <c r="O153" s="204" t="n"/>
      <c r="P153" s="204" t="n"/>
      <c r="Q153" s="8">
        <f>IFERROR(__xludf.DUMMYFUNCTION("iferror(index('지수RAW'!$V$7:$V$12040,MATCH($D153,'지수RAW'!$R$7:$R$12040,0)-1,1),GOOGLEFINANCE(Q$2))"),6820.6)</f>
        <v/>
      </c>
      <c r="R153" s="204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4" t="n"/>
      <c r="U153" s="253">
        <f t="array" ref="U153">IFERROR(INDEX(지수RAW!$AT$7:$AT$12040,MATCH($D153,지수RAW!$AP$7:$AP$12040,0)-1,1),지수RAW!$AU$4)</f>
        <v/>
      </c>
      <c r="V153" s="253">
        <f>IFERROR(__xludf.DUMMYFUNCTION("iferror(index('지수RAW'!$AL$7:$AL$12040,MATCH($D153,'지수RAW'!$AH$7:$AH$12040,0)-1,1),GOOGLEFINANCE(V$2))"),64324)</f>
        <v/>
      </c>
      <c r="W153" s="25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5">
      <c r="A154" s="204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4">
        <f>"20"&amp;B154</f>
        <v/>
      </c>
      <c r="F154" s="204">
        <f>C154&amp;"월"</f>
        <v/>
      </c>
      <c r="G154" s="37">
        <f>B154&amp;"."&amp;VLOOKUP(F154,인덱스!$A:$B,2,0)</f>
        <v/>
      </c>
      <c r="H154" s="25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4" t="n"/>
      <c r="O154" s="204" t="n"/>
      <c r="P154" s="204" t="n"/>
      <c r="Q154" s="8">
        <f>IFERROR(__xludf.DUMMYFUNCTION("iferror(index('지수RAW'!$V$7:$V$12040,MATCH($D154,'지수RAW'!$R$7:$R$12040,0)-1,1),GOOGLEFINANCE(Q$2))"),6820.6)</f>
        <v/>
      </c>
      <c r="R154" s="204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4" t="n"/>
      <c r="U154" s="253">
        <f t="array" ref="U154">IFERROR(INDEX(지수RAW!$AT$7:$AT$12040,MATCH($D154,지수RAW!$AP$7:$AP$12040,0)-1,1),지수RAW!$AU$4)</f>
        <v/>
      </c>
      <c r="V154" s="253">
        <f>IFERROR(__xludf.DUMMYFUNCTION("iferror(index('지수RAW'!$AL$7:$AL$12040,MATCH($D154,'지수RAW'!$AH$7:$AH$12040,0)-1,1),GOOGLEFINANCE(V$2))"),64324)</f>
        <v/>
      </c>
      <c r="W154" s="25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5">
      <c r="A155" s="204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4">
        <f>"20"&amp;B155</f>
        <v/>
      </c>
      <c r="F155" s="204">
        <f>C155&amp;"월"</f>
        <v/>
      </c>
      <c r="G155" s="37">
        <f>B155&amp;"."&amp;VLOOKUP(F155,인덱스!$A:$B,2,0)</f>
        <v/>
      </c>
      <c r="H155" s="25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4" t="n"/>
      <c r="O155" s="204" t="n"/>
      <c r="P155" s="204" t="n"/>
      <c r="Q155" s="8">
        <f>IFERROR(__xludf.DUMMYFUNCTION("iferror(index('지수RAW'!$V$7:$V$12040,MATCH($D155,'지수RAW'!$R$7:$R$12040,0)-1,1),GOOGLEFINANCE(Q$2))"),6820.6)</f>
        <v/>
      </c>
      <c r="R155" s="204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4" t="n"/>
      <c r="U155" s="253">
        <f t="array" ref="U155">IFERROR(INDEX(지수RAW!$AT$7:$AT$12040,MATCH($D155,지수RAW!$AP$7:$AP$12040,0)-1,1),지수RAW!$AU$4)</f>
        <v/>
      </c>
      <c r="V155" s="253">
        <f>IFERROR(__xludf.DUMMYFUNCTION("iferror(index('지수RAW'!$AL$7:$AL$12040,MATCH($D155,'지수RAW'!$AH$7:$AH$12040,0)-1,1),GOOGLEFINANCE(V$2))"),64324)</f>
        <v/>
      </c>
      <c r="W155" s="25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5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  <c r="S156" s="204" t="n"/>
      <c r="T156" s="204" t="n"/>
      <c r="U156" s="204" t="n"/>
      <c r="V156" s="204" t="n"/>
      <c r="W156" s="204" t="n"/>
      <c r="X156" s="204" t="n"/>
      <c r="Y156" s="204" t="n"/>
      <c r="Z156" s="204" t="n"/>
      <c r="AA156" s="204" t="n"/>
      <c r="AB156" s="204" t="n"/>
      <c r="AC156" s="204" t="n"/>
      <c r="AD156" s="204" t="n"/>
      <c r="AE156" s="204" t="n"/>
      <c r="AF156" s="204" t="n"/>
      <c r="AG156" s="204" t="n"/>
    </row>
    <row r="157" ht="12.75" customHeight="1" s="205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  <c r="S157" s="204" t="n"/>
      <c r="T157" s="204" t="n"/>
      <c r="U157" s="204" t="n"/>
      <c r="V157" s="204" t="n"/>
      <c r="W157" s="204" t="n"/>
      <c r="X157" s="204" t="n"/>
      <c r="Y157" s="204" t="n"/>
      <c r="Z157" s="204" t="n"/>
      <c r="AA157" s="204" t="n"/>
      <c r="AB157" s="204" t="n"/>
      <c r="AC157" s="204" t="n"/>
      <c r="AD157" s="204" t="n"/>
      <c r="AE157" s="204" t="n"/>
      <c r="AF157" s="204" t="n"/>
      <c r="AG157" s="204" t="n"/>
    </row>
    <row r="158" ht="12.75" customHeight="1" s="205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  <c r="S158" s="204" t="n"/>
      <c r="T158" s="204" t="n"/>
      <c r="U158" s="204" t="n"/>
      <c r="V158" s="204" t="n"/>
      <c r="W158" s="204" t="n"/>
      <c r="X158" s="204" t="n"/>
      <c r="Y158" s="204" t="n"/>
      <c r="Z158" s="204" t="n"/>
      <c r="AA158" s="204" t="n"/>
      <c r="AB158" s="204" t="n"/>
      <c r="AC158" s="204" t="n"/>
      <c r="AD158" s="204" t="n"/>
      <c r="AE158" s="204" t="n"/>
      <c r="AF158" s="204" t="n"/>
      <c r="AG158" s="204" t="n"/>
    </row>
    <row r="159" ht="12.75" customHeight="1" s="205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  <c r="S159" s="204" t="n"/>
      <c r="T159" s="204" t="n"/>
      <c r="U159" s="204" t="n"/>
      <c r="V159" s="204" t="n"/>
      <c r="W159" s="204" t="n"/>
      <c r="X159" s="204" t="n"/>
      <c r="Y159" s="204" t="n"/>
      <c r="Z159" s="204" t="n"/>
      <c r="AA159" s="204" t="n"/>
      <c r="AB159" s="204" t="n"/>
      <c r="AC159" s="204" t="n"/>
      <c r="AD159" s="204" t="n"/>
      <c r="AE159" s="204" t="n"/>
      <c r="AF159" s="204" t="n"/>
      <c r="AG159" s="204" t="n"/>
    </row>
    <row r="160" ht="12.75" customHeight="1" s="205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  <c r="S160" s="204" t="n"/>
      <c r="T160" s="204" t="n"/>
      <c r="U160" s="204" t="n"/>
      <c r="V160" s="204" t="n"/>
      <c r="W160" s="204" t="n"/>
      <c r="X160" s="204" t="n"/>
      <c r="Y160" s="204" t="n"/>
      <c r="Z160" s="204" t="n"/>
      <c r="AA160" s="204" t="n"/>
      <c r="AB160" s="204" t="n"/>
      <c r="AC160" s="204" t="n"/>
      <c r="AD160" s="204" t="n"/>
      <c r="AE160" s="204" t="n"/>
      <c r="AF160" s="204" t="n"/>
      <c r="AG160" s="204" t="n"/>
    </row>
    <row r="161" ht="12.75" customHeight="1" s="205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  <c r="S161" s="204" t="n"/>
      <c r="T161" s="204" t="n"/>
      <c r="U161" s="204" t="n"/>
      <c r="V161" s="204" t="n"/>
      <c r="W161" s="204" t="n"/>
      <c r="X161" s="204" t="n"/>
      <c r="Y161" s="204" t="n"/>
      <c r="Z161" s="204" t="n"/>
      <c r="AA161" s="204" t="n"/>
      <c r="AB161" s="204" t="n"/>
      <c r="AC161" s="204" t="n"/>
      <c r="AD161" s="204" t="n"/>
      <c r="AE161" s="204" t="n"/>
      <c r="AF161" s="204" t="n"/>
      <c r="AG161" s="204" t="n"/>
    </row>
    <row r="162" ht="12.75" customHeight="1" s="205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  <c r="S162" s="204" t="n"/>
      <c r="T162" s="204" t="n"/>
      <c r="U162" s="204" t="n"/>
      <c r="V162" s="204" t="n"/>
      <c r="W162" s="204" t="n"/>
      <c r="X162" s="204" t="n"/>
      <c r="Y162" s="204" t="n"/>
      <c r="Z162" s="204" t="n"/>
      <c r="AA162" s="204" t="n"/>
      <c r="AB162" s="204" t="n"/>
      <c r="AC162" s="204" t="n"/>
      <c r="AD162" s="204" t="n"/>
      <c r="AE162" s="204" t="n"/>
      <c r="AF162" s="204" t="n"/>
      <c r="AG162" s="204" t="n"/>
    </row>
    <row r="163" ht="12.75" customHeight="1" s="205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  <c r="S163" s="204" t="n"/>
      <c r="T163" s="204" t="n"/>
      <c r="U163" s="204" t="n"/>
      <c r="V163" s="204" t="n"/>
      <c r="W163" s="204" t="n"/>
      <c r="X163" s="204" t="n"/>
      <c r="Y163" s="204" t="n"/>
      <c r="Z163" s="204" t="n"/>
      <c r="AA163" s="204" t="n"/>
      <c r="AB163" s="204" t="n"/>
      <c r="AC163" s="204" t="n"/>
      <c r="AD163" s="204" t="n"/>
      <c r="AE163" s="204" t="n"/>
      <c r="AF163" s="204" t="n"/>
      <c r="AG163" s="204" t="n"/>
    </row>
    <row r="164" ht="12.75" customHeight="1" s="205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  <c r="S164" s="204" t="n"/>
      <c r="T164" s="204" t="n"/>
      <c r="U164" s="204" t="n"/>
      <c r="V164" s="204" t="n"/>
      <c r="W164" s="204" t="n"/>
      <c r="X164" s="204" t="n"/>
      <c r="Y164" s="204" t="n"/>
      <c r="Z164" s="204" t="n"/>
      <c r="AA164" s="204" t="n"/>
      <c r="AB164" s="204" t="n"/>
      <c r="AC164" s="204" t="n"/>
      <c r="AD164" s="204" t="n"/>
      <c r="AE164" s="204" t="n"/>
      <c r="AF164" s="204" t="n"/>
      <c r="AG164" s="204" t="n"/>
    </row>
    <row r="165" ht="12.75" customHeight="1" s="205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  <c r="S165" s="204" t="n"/>
      <c r="T165" s="204" t="n"/>
      <c r="U165" s="204" t="n"/>
      <c r="V165" s="204" t="n"/>
      <c r="W165" s="204" t="n"/>
      <c r="X165" s="204" t="n"/>
      <c r="Y165" s="204" t="n"/>
      <c r="Z165" s="204" t="n"/>
      <c r="AA165" s="204" t="n"/>
      <c r="AB165" s="204" t="n"/>
      <c r="AC165" s="204" t="n"/>
      <c r="AD165" s="204" t="n"/>
      <c r="AE165" s="204" t="n"/>
      <c r="AF165" s="204" t="n"/>
      <c r="AG165" s="204" t="n"/>
    </row>
    <row r="166" ht="12.75" customHeight="1" s="205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  <c r="S166" s="204" t="n"/>
      <c r="T166" s="204" t="n"/>
      <c r="U166" s="204" t="n"/>
      <c r="V166" s="204" t="n"/>
      <c r="W166" s="204" t="n"/>
      <c r="X166" s="204" t="n"/>
      <c r="Y166" s="204" t="n"/>
      <c r="Z166" s="204" t="n"/>
      <c r="AA166" s="204" t="n"/>
      <c r="AB166" s="204" t="n"/>
      <c r="AC166" s="204" t="n"/>
      <c r="AD166" s="204" t="n"/>
      <c r="AE166" s="204" t="n"/>
      <c r="AF166" s="204" t="n"/>
      <c r="AG166" s="204" t="n"/>
    </row>
    <row r="167" ht="12.75" customHeight="1" s="205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  <c r="S167" s="204" t="n"/>
      <c r="T167" s="204" t="n"/>
      <c r="U167" s="204" t="n"/>
      <c r="V167" s="204" t="n"/>
      <c r="W167" s="204" t="n"/>
      <c r="X167" s="204" t="n"/>
      <c r="Y167" s="204" t="n"/>
      <c r="Z167" s="204" t="n"/>
      <c r="AA167" s="204" t="n"/>
      <c r="AB167" s="204" t="n"/>
      <c r="AC167" s="204" t="n"/>
      <c r="AD167" s="204" t="n"/>
      <c r="AE167" s="204" t="n"/>
      <c r="AF167" s="204" t="n"/>
      <c r="AG167" s="204" t="n"/>
    </row>
    <row r="168" ht="12.75" customHeight="1" s="205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  <c r="S168" s="204" t="n"/>
      <c r="T168" s="204" t="n"/>
      <c r="U168" s="204" t="n"/>
      <c r="V168" s="204" t="n"/>
      <c r="W168" s="204" t="n"/>
      <c r="X168" s="204" t="n"/>
      <c r="Y168" s="204" t="n"/>
      <c r="Z168" s="204" t="n"/>
      <c r="AA168" s="204" t="n"/>
      <c r="AB168" s="204" t="n"/>
      <c r="AC168" s="204" t="n"/>
      <c r="AD168" s="204" t="n"/>
      <c r="AE168" s="204" t="n"/>
      <c r="AF168" s="204" t="n"/>
      <c r="AG168" s="204" t="n"/>
    </row>
    <row r="169" ht="12.75" customHeight="1" s="205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  <c r="S169" s="204" t="n"/>
      <c r="T169" s="204" t="n"/>
      <c r="U169" s="204" t="n"/>
      <c r="V169" s="204" t="n"/>
      <c r="W169" s="204" t="n"/>
      <c r="X169" s="204" t="n"/>
      <c r="Y169" s="204" t="n"/>
      <c r="Z169" s="204" t="n"/>
      <c r="AA169" s="204" t="n"/>
      <c r="AB169" s="204" t="n"/>
      <c r="AC169" s="204" t="n"/>
      <c r="AD169" s="204" t="n"/>
      <c r="AE169" s="204" t="n"/>
      <c r="AF169" s="204" t="n"/>
      <c r="AG169" s="204" t="n"/>
    </row>
    <row r="170" ht="12.75" customHeight="1" s="205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  <c r="S170" s="204" t="n"/>
      <c r="T170" s="204" t="n"/>
      <c r="U170" s="204" t="n"/>
      <c r="V170" s="204" t="n"/>
      <c r="W170" s="204" t="n"/>
      <c r="X170" s="204" t="n"/>
      <c r="Y170" s="204" t="n"/>
      <c r="Z170" s="204" t="n"/>
      <c r="AA170" s="204" t="n"/>
      <c r="AB170" s="204" t="n"/>
      <c r="AC170" s="204" t="n"/>
      <c r="AD170" s="204" t="n"/>
      <c r="AE170" s="204" t="n"/>
      <c r="AF170" s="204" t="n"/>
      <c r="AG170" s="204" t="n"/>
    </row>
    <row r="171" ht="12.75" customHeight="1" s="205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  <c r="S171" s="204" t="n"/>
      <c r="T171" s="204" t="n"/>
      <c r="U171" s="204" t="n"/>
      <c r="V171" s="204" t="n"/>
      <c r="W171" s="204" t="n"/>
      <c r="X171" s="204" t="n"/>
      <c r="Y171" s="204" t="n"/>
      <c r="Z171" s="204" t="n"/>
      <c r="AA171" s="204" t="n"/>
      <c r="AB171" s="204" t="n"/>
      <c r="AC171" s="204" t="n"/>
      <c r="AD171" s="204" t="n"/>
      <c r="AE171" s="204" t="n"/>
      <c r="AF171" s="204" t="n"/>
      <c r="AG171" s="204" t="n"/>
    </row>
    <row r="172" ht="12.75" customHeight="1" s="205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  <c r="S172" s="204" t="n"/>
      <c r="T172" s="204" t="n"/>
      <c r="U172" s="204" t="n"/>
      <c r="V172" s="204" t="n"/>
      <c r="W172" s="204" t="n"/>
      <c r="X172" s="204" t="n"/>
      <c r="Y172" s="204" t="n"/>
      <c r="Z172" s="204" t="n"/>
      <c r="AA172" s="204" t="n"/>
      <c r="AB172" s="204" t="n"/>
      <c r="AC172" s="204" t="n"/>
      <c r="AD172" s="204" t="n"/>
      <c r="AE172" s="204" t="n"/>
      <c r="AF172" s="204" t="n"/>
      <c r="AG172" s="204" t="n"/>
    </row>
    <row r="173" ht="12.75" customHeight="1" s="205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  <c r="S173" s="204" t="n"/>
      <c r="T173" s="204" t="n"/>
      <c r="U173" s="204" t="n"/>
      <c r="V173" s="204" t="n"/>
      <c r="W173" s="204" t="n"/>
      <c r="X173" s="204" t="n"/>
      <c r="Y173" s="204" t="n"/>
      <c r="Z173" s="204" t="n"/>
      <c r="AA173" s="204" t="n"/>
      <c r="AB173" s="204" t="n"/>
      <c r="AC173" s="204" t="n"/>
      <c r="AD173" s="204" t="n"/>
      <c r="AE173" s="204" t="n"/>
      <c r="AF173" s="204" t="n"/>
      <c r="AG173" s="204" t="n"/>
    </row>
    <row r="174" ht="12.75" customHeight="1" s="205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  <c r="S174" s="204" t="n"/>
      <c r="T174" s="204" t="n"/>
      <c r="U174" s="204" t="n"/>
      <c r="V174" s="204" t="n"/>
      <c r="W174" s="204" t="n"/>
      <c r="X174" s="204" t="n"/>
      <c r="Y174" s="204" t="n"/>
      <c r="Z174" s="204" t="n"/>
      <c r="AA174" s="204" t="n"/>
      <c r="AB174" s="204" t="n"/>
      <c r="AC174" s="204" t="n"/>
      <c r="AD174" s="204" t="n"/>
      <c r="AE174" s="204" t="n"/>
      <c r="AF174" s="204" t="n"/>
      <c r="AG174" s="204" t="n"/>
    </row>
    <row r="175" ht="12.75" customHeight="1" s="205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  <c r="S175" s="204" t="n"/>
      <c r="T175" s="204" t="n"/>
      <c r="U175" s="204" t="n"/>
      <c r="V175" s="204" t="n"/>
      <c r="W175" s="204" t="n"/>
      <c r="X175" s="204" t="n"/>
      <c r="Y175" s="204" t="n"/>
      <c r="Z175" s="204" t="n"/>
      <c r="AA175" s="204" t="n"/>
      <c r="AB175" s="204" t="n"/>
      <c r="AC175" s="204" t="n"/>
      <c r="AD175" s="204" t="n"/>
      <c r="AE175" s="204" t="n"/>
      <c r="AF175" s="204" t="n"/>
      <c r="AG175" s="204" t="n"/>
    </row>
    <row r="176" ht="12.75" customHeight="1" s="205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  <c r="S176" s="204" t="n"/>
      <c r="T176" s="204" t="n"/>
      <c r="U176" s="204" t="n"/>
      <c r="V176" s="204" t="n"/>
      <c r="W176" s="204" t="n"/>
      <c r="X176" s="204" t="n"/>
      <c r="Y176" s="204" t="n"/>
      <c r="Z176" s="204" t="n"/>
      <c r="AA176" s="204" t="n"/>
      <c r="AB176" s="204" t="n"/>
      <c r="AC176" s="204" t="n"/>
      <c r="AD176" s="204" t="n"/>
      <c r="AE176" s="204" t="n"/>
      <c r="AF176" s="204" t="n"/>
      <c r="AG176" s="204" t="n"/>
    </row>
    <row r="177" ht="12.75" customHeight="1" s="205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  <c r="S177" s="204" t="n"/>
      <c r="T177" s="204" t="n"/>
      <c r="U177" s="204" t="n"/>
      <c r="V177" s="204" t="n"/>
      <c r="W177" s="204" t="n"/>
      <c r="X177" s="204" t="n"/>
      <c r="Y177" s="204" t="n"/>
      <c r="Z177" s="204" t="n"/>
      <c r="AA177" s="204" t="n"/>
      <c r="AB177" s="204" t="n"/>
      <c r="AC177" s="204" t="n"/>
      <c r="AD177" s="204" t="n"/>
      <c r="AE177" s="204" t="n"/>
      <c r="AF177" s="204" t="n"/>
      <c r="AG177" s="204" t="n"/>
    </row>
    <row r="178" ht="12.75" customHeight="1" s="205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  <c r="S178" s="204" t="n"/>
      <c r="T178" s="204" t="n"/>
      <c r="U178" s="204" t="n"/>
      <c r="V178" s="204" t="n"/>
      <c r="W178" s="204" t="n"/>
      <c r="X178" s="204" t="n"/>
      <c r="Y178" s="204" t="n"/>
      <c r="Z178" s="204" t="n"/>
      <c r="AA178" s="204" t="n"/>
      <c r="AB178" s="204" t="n"/>
      <c r="AC178" s="204" t="n"/>
      <c r="AD178" s="204" t="n"/>
      <c r="AE178" s="204" t="n"/>
      <c r="AF178" s="204" t="n"/>
      <c r="AG178" s="204" t="n"/>
    </row>
    <row r="179" ht="12.75" customHeight="1" s="205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  <c r="S179" s="204" t="n"/>
      <c r="T179" s="204" t="n"/>
      <c r="U179" s="204" t="n"/>
      <c r="V179" s="204" t="n"/>
      <c r="W179" s="204" t="n"/>
      <c r="X179" s="204" t="n"/>
      <c r="Y179" s="204" t="n"/>
      <c r="Z179" s="204" t="n"/>
      <c r="AA179" s="204" t="n"/>
      <c r="AB179" s="204" t="n"/>
      <c r="AC179" s="204" t="n"/>
      <c r="AD179" s="204" t="n"/>
      <c r="AE179" s="204" t="n"/>
      <c r="AF179" s="204" t="n"/>
      <c r="AG179" s="204" t="n"/>
    </row>
    <row r="180" ht="12.75" customHeight="1" s="205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  <c r="S180" s="204" t="n"/>
      <c r="T180" s="204" t="n"/>
      <c r="U180" s="204" t="n"/>
      <c r="V180" s="204" t="n"/>
      <c r="W180" s="204" t="n"/>
      <c r="X180" s="204" t="n"/>
      <c r="Y180" s="204" t="n"/>
      <c r="Z180" s="204" t="n"/>
      <c r="AA180" s="204" t="n"/>
      <c r="AB180" s="204" t="n"/>
      <c r="AC180" s="204" t="n"/>
      <c r="AD180" s="204" t="n"/>
      <c r="AE180" s="204" t="n"/>
      <c r="AF180" s="204" t="n"/>
      <c r="AG180" s="204" t="n"/>
    </row>
    <row r="181" ht="12.75" customHeight="1" s="205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  <c r="S181" s="204" t="n"/>
      <c r="T181" s="204" t="n"/>
      <c r="U181" s="204" t="n"/>
      <c r="V181" s="204" t="n"/>
      <c r="W181" s="204" t="n"/>
      <c r="X181" s="204" t="n"/>
      <c r="Y181" s="204" t="n"/>
      <c r="Z181" s="204" t="n"/>
      <c r="AA181" s="204" t="n"/>
      <c r="AB181" s="204" t="n"/>
      <c r="AC181" s="204" t="n"/>
      <c r="AD181" s="204" t="n"/>
      <c r="AE181" s="204" t="n"/>
      <c r="AF181" s="204" t="n"/>
      <c r="AG181" s="204" t="n"/>
    </row>
    <row r="182" ht="12.75" customHeight="1" s="205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  <c r="S182" s="204" t="n"/>
      <c r="T182" s="204" t="n"/>
      <c r="U182" s="204" t="n"/>
      <c r="V182" s="204" t="n"/>
      <c r="W182" s="204" t="n"/>
      <c r="X182" s="204" t="n"/>
      <c r="Y182" s="204" t="n"/>
      <c r="Z182" s="204" t="n"/>
      <c r="AA182" s="204" t="n"/>
      <c r="AB182" s="204" t="n"/>
      <c r="AC182" s="204" t="n"/>
      <c r="AD182" s="204" t="n"/>
      <c r="AE182" s="204" t="n"/>
      <c r="AF182" s="204" t="n"/>
      <c r="AG182" s="204" t="n"/>
    </row>
    <row r="183" ht="12.75" customHeight="1" s="205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  <c r="S183" s="204" t="n"/>
      <c r="T183" s="204" t="n"/>
      <c r="U183" s="204" t="n"/>
      <c r="V183" s="204" t="n"/>
      <c r="W183" s="204" t="n"/>
      <c r="X183" s="204" t="n"/>
      <c r="Y183" s="204" t="n"/>
      <c r="Z183" s="204" t="n"/>
      <c r="AA183" s="204" t="n"/>
      <c r="AB183" s="204" t="n"/>
      <c r="AC183" s="204" t="n"/>
      <c r="AD183" s="204" t="n"/>
      <c r="AE183" s="204" t="n"/>
      <c r="AF183" s="204" t="n"/>
      <c r="AG183" s="204" t="n"/>
    </row>
    <row r="184" ht="12.75" customHeight="1" s="205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  <c r="S184" s="204" t="n"/>
      <c r="T184" s="204" t="n"/>
      <c r="U184" s="204" t="n"/>
      <c r="V184" s="204" t="n"/>
      <c r="W184" s="204" t="n"/>
      <c r="X184" s="204" t="n"/>
      <c r="Y184" s="204" t="n"/>
      <c r="Z184" s="204" t="n"/>
      <c r="AA184" s="204" t="n"/>
      <c r="AB184" s="204" t="n"/>
      <c r="AC184" s="204" t="n"/>
      <c r="AD184" s="204" t="n"/>
      <c r="AE184" s="204" t="n"/>
      <c r="AF184" s="204" t="n"/>
      <c r="AG184" s="204" t="n"/>
    </row>
    <row r="185" ht="12.75" customHeight="1" s="205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  <c r="S185" s="204" t="n"/>
      <c r="T185" s="204" t="n"/>
      <c r="U185" s="204" t="n"/>
      <c r="V185" s="204" t="n"/>
      <c r="W185" s="204" t="n"/>
      <c r="X185" s="204" t="n"/>
      <c r="Y185" s="204" t="n"/>
      <c r="Z185" s="204" t="n"/>
      <c r="AA185" s="204" t="n"/>
      <c r="AB185" s="204" t="n"/>
      <c r="AC185" s="204" t="n"/>
      <c r="AD185" s="204" t="n"/>
      <c r="AE185" s="204" t="n"/>
      <c r="AF185" s="204" t="n"/>
      <c r="AG185" s="204" t="n"/>
    </row>
    <row r="186" ht="12.75" customHeight="1" s="205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  <c r="S186" s="204" t="n"/>
      <c r="T186" s="204" t="n"/>
      <c r="U186" s="204" t="n"/>
      <c r="V186" s="204" t="n"/>
      <c r="W186" s="204" t="n"/>
      <c r="X186" s="204" t="n"/>
      <c r="Y186" s="204" t="n"/>
      <c r="Z186" s="204" t="n"/>
      <c r="AA186" s="204" t="n"/>
      <c r="AB186" s="204" t="n"/>
      <c r="AC186" s="204" t="n"/>
      <c r="AD186" s="204" t="n"/>
      <c r="AE186" s="204" t="n"/>
      <c r="AF186" s="204" t="n"/>
      <c r="AG186" s="204" t="n"/>
    </row>
    <row r="187" ht="12.75" customHeight="1" s="205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  <c r="S187" s="204" t="n"/>
      <c r="T187" s="204" t="n"/>
      <c r="U187" s="204" t="n"/>
      <c r="V187" s="204" t="n"/>
      <c r="W187" s="204" t="n"/>
      <c r="X187" s="204" t="n"/>
      <c r="Y187" s="204" t="n"/>
      <c r="Z187" s="204" t="n"/>
      <c r="AA187" s="204" t="n"/>
      <c r="AB187" s="204" t="n"/>
      <c r="AC187" s="204" t="n"/>
      <c r="AD187" s="204" t="n"/>
      <c r="AE187" s="204" t="n"/>
      <c r="AF187" s="204" t="n"/>
      <c r="AG187" s="204" t="n"/>
    </row>
    <row r="188" ht="12.75" customHeight="1" s="205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  <c r="S188" s="204" t="n"/>
      <c r="T188" s="204" t="n"/>
      <c r="U188" s="204" t="n"/>
      <c r="V188" s="204" t="n"/>
      <c r="W188" s="204" t="n"/>
      <c r="X188" s="204" t="n"/>
      <c r="Y188" s="204" t="n"/>
      <c r="Z188" s="204" t="n"/>
      <c r="AA188" s="204" t="n"/>
      <c r="AB188" s="204" t="n"/>
      <c r="AC188" s="204" t="n"/>
      <c r="AD188" s="204" t="n"/>
      <c r="AE188" s="204" t="n"/>
      <c r="AF188" s="204" t="n"/>
      <c r="AG188" s="204" t="n"/>
    </row>
    <row r="189" ht="12.75" customHeight="1" s="205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  <c r="S189" s="204" t="n"/>
      <c r="T189" s="204" t="n"/>
      <c r="U189" s="204" t="n"/>
      <c r="V189" s="204" t="n"/>
      <c r="W189" s="204" t="n"/>
      <c r="X189" s="204" t="n"/>
      <c r="Y189" s="204" t="n"/>
      <c r="Z189" s="204" t="n"/>
      <c r="AA189" s="204" t="n"/>
      <c r="AB189" s="204" t="n"/>
      <c r="AC189" s="204" t="n"/>
      <c r="AD189" s="204" t="n"/>
      <c r="AE189" s="204" t="n"/>
      <c r="AF189" s="204" t="n"/>
      <c r="AG189" s="204" t="n"/>
    </row>
    <row r="190" ht="12.75" customHeight="1" s="205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  <c r="S190" s="204" t="n"/>
      <c r="T190" s="204" t="n"/>
      <c r="U190" s="204" t="n"/>
      <c r="V190" s="204" t="n"/>
      <c r="W190" s="204" t="n"/>
      <c r="X190" s="204" t="n"/>
      <c r="Y190" s="204" t="n"/>
      <c r="Z190" s="204" t="n"/>
      <c r="AA190" s="204" t="n"/>
      <c r="AB190" s="204" t="n"/>
      <c r="AC190" s="204" t="n"/>
      <c r="AD190" s="204" t="n"/>
      <c r="AE190" s="204" t="n"/>
      <c r="AF190" s="204" t="n"/>
      <c r="AG190" s="204" t="n"/>
    </row>
    <row r="191" ht="12.75" customHeight="1" s="205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  <c r="S191" s="204" t="n"/>
      <c r="T191" s="204" t="n"/>
      <c r="U191" s="204" t="n"/>
      <c r="V191" s="204" t="n"/>
      <c r="W191" s="204" t="n"/>
      <c r="X191" s="204" t="n"/>
      <c r="Y191" s="204" t="n"/>
      <c r="Z191" s="204" t="n"/>
      <c r="AA191" s="204" t="n"/>
      <c r="AB191" s="204" t="n"/>
      <c r="AC191" s="204" t="n"/>
      <c r="AD191" s="204" t="n"/>
      <c r="AE191" s="204" t="n"/>
      <c r="AF191" s="204" t="n"/>
      <c r="AG191" s="204" t="n"/>
    </row>
    <row r="192" ht="12.75" customHeight="1" s="205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  <c r="S192" s="204" t="n"/>
      <c r="T192" s="204" t="n"/>
      <c r="U192" s="204" t="n"/>
      <c r="V192" s="204" t="n"/>
      <c r="W192" s="204" t="n"/>
      <c r="X192" s="204" t="n"/>
      <c r="Y192" s="204" t="n"/>
      <c r="Z192" s="204" t="n"/>
      <c r="AA192" s="204" t="n"/>
      <c r="AB192" s="204" t="n"/>
      <c r="AC192" s="204" t="n"/>
      <c r="AD192" s="204" t="n"/>
      <c r="AE192" s="204" t="n"/>
      <c r="AF192" s="204" t="n"/>
      <c r="AG192" s="204" t="n"/>
    </row>
    <row r="193" ht="12.75" customHeight="1" s="205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  <c r="S193" s="204" t="n"/>
      <c r="T193" s="204" t="n"/>
      <c r="U193" s="204" t="n"/>
      <c r="V193" s="204" t="n"/>
      <c r="W193" s="204" t="n"/>
      <c r="X193" s="204" t="n"/>
      <c r="Y193" s="204" t="n"/>
      <c r="Z193" s="204" t="n"/>
      <c r="AA193" s="204" t="n"/>
      <c r="AB193" s="204" t="n"/>
      <c r="AC193" s="204" t="n"/>
      <c r="AD193" s="204" t="n"/>
      <c r="AE193" s="204" t="n"/>
      <c r="AF193" s="204" t="n"/>
      <c r="AG193" s="204" t="n"/>
    </row>
    <row r="194" ht="12.75" customHeight="1" s="205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  <c r="S194" s="204" t="n"/>
      <c r="T194" s="204" t="n"/>
      <c r="U194" s="204" t="n"/>
      <c r="V194" s="204" t="n"/>
      <c r="W194" s="204" t="n"/>
      <c r="X194" s="204" t="n"/>
      <c r="Y194" s="204" t="n"/>
      <c r="Z194" s="204" t="n"/>
      <c r="AA194" s="204" t="n"/>
      <c r="AB194" s="204" t="n"/>
      <c r="AC194" s="204" t="n"/>
      <c r="AD194" s="204" t="n"/>
      <c r="AE194" s="204" t="n"/>
      <c r="AF194" s="204" t="n"/>
      <c r="AG194" s="204" t="n"/>
    </row>
    <row r="195" ht="12.75" customHeight="1" s="205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  <c r="S195" s="204" t="n"/>
      <c r="T195" s="204" t="n"/>
      <c r="U195" s="204" t="n"/>
      <c r="V195" s="204" t="n"/>
      <c r="W195" s="204" t="n"/>
      <c r="X195" s="204" t="n"/>
      <c r="Y195" s="204" t="n"/>
      <c r="Z195" s="204" t="n"/>
      <c r="AA195" s="204" t="n"/>
      <c r="AB195" s="204" t="n"/>
      <c r="AC195" s="204" t="n"/>
      <c r="AD195" s="204" t="n"/>
      <c r="AE195" s="204" t="n"/>
      <c r="AF195" s="204" t="n"/>
      <c r="AG195" s="204" t="n"/>
    </row>
    <row r="196" ht="12.75" customHeight="1" s="205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  <c r="S196" s="204" t="n"/>
      <c r="T196" s="204" t="n"/>
      <c r="U196" s="204" t="n"/>
      <c r="V196" s="204" t="n"/>
      <c r="W196" s="204" t="n"/>
      <c r="X196" s="204" t="n"/>
      <c r="Y196" s="204" t="n"/>
      <c r="Z196" s="204" t="n"/>
      <c r="AA196" s="204" t="n"/>
      <c r="AB196" s="204" t="n"/>
      <c r="AC196" s="204" t="n"/>
      <c r="AD196" s="204" t="n"/>
      <c r="AE196" s="204" t="n"/>
      <c r="AF196" s="204" t="n"/>
      <c r="AG196" s="204" t="n"/>
    </row>
    <row r="197" ht="12.75" customHeight="1" s="205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  <c r="S197" s="204" t="n"/>
      <c r="T197" s="204" t="n"/>
      <c r="U197" s="204" t="n"/>
      <c r="V197" s="204" t="n"/>
      <c r="W197" s="204" t="n"/>
      <c r="X197" s="204" t="n"/>
      <c r="Y197" s="204" t="n"/>
      <c r="Z197" s="204" t="n"/>
      <c r="AA197" s="204" t="n"/>
      <c r="AB197" s="204" t="n"/>
      <c r="AC197" s="204" t="n"/>
      <c r="AD197" s="204" t="n"/>
      <c r="AE197" s="204" t="n"/>
      <c r="AF197" s="204" t="n"/>
      <c r="AG197" s="204" t="n"/>
    </row>
    <row r="198" ht="12.75" customHeight="1" s="205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  <c r="S198" s="204" t="n"/>
      <c r="T198" s="204" t="n"/>
      <c r="U198" s="204" t="n"/>
      <c r="V198" s="204" t="n"/>
      <c r="W198" s="204" t="n"/>
      <c r="X198" s="204" t="n"/>
      <c r="Y198" s="204" t="n"/>
      <c r="Z198" s="204" t="n"/>
      <c r="AA198" s="204" t="n"/>
      <c r="AB198" s="204" t="n"/>
      <c r="AC198" s="204" t="n"/>
      <c r="AD198" s="204" t="n"/>
      <c r="AE198" s="204" t="n"/>
      <c r="AF198" s="204" t="n"/>
      <c r="AG198" s="204" t="n"/>
    </row>
    <row r="199" ht="12.75" customHeight="1" s="205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  <c r="S199" s="204" t="n"/>
      <c r="T199" s="204" t="n"/>
      <c r="U199" s="204" t="n"/>
      <c r="V199" s="204" t="n"/>
      <c r="W199" s="204" t="n"/>
      <c r="X199" s="204" t="n"/>
      <c r="Y199" s="204" t="n"/>
      <c r="Z199" s="204" t="n"/>
      <c r="AA199" s="204" t="n"/>
      <c r="AB199" s="204" t="n"/>
      <c r="AC199" s="204" t="n"/>
      <c r="AD199" s="204" t="n"/>
      <c r="AE199" s="204" t="n"/>
      <c r="AF199" s="204" t="n"/>
      <c r="AG199" s="204" t="n"/>
    </row>
    <row r="200" ht="12.75" customHeight="1" s="205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  <c r="S200" s="204" t="n"/>
      <c r="T200" s="204" t="n"/>
      <c r="U200" s="204" t="n"/>
      <c r="V200" s="204" t="n"/>
      <c r="W200" s="204" t="n"/>
      <c r="X200" s="204" t="n"/>
      <c r="Y200" s="204" t="n"/>
      <c r="Z200" s="204" t="n"/>
      <c r="AA200" s="204" t="n"/>
      <c r="AB200" s="204" t="n"/>
      <c r="AC200" s="204" t="n"/>
      <c r="AD200" s="204" t="n"/>
      <c r="AE200" s="204" t="n"/>
      <c r="AF200" s="204" t="n"/>
      <c r="AG200" s="204" t="n"/>
    </row>
    <row r="201" ht="12.75" customHeight="1" s="205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  <c r="S201" s="204" t="n"/>
      <c r="T201" s="204" t="n"/>
      <c r="U201" s="204" t="n"/>
      <c r="V201" s="204" t="n"/>
      <c r="W201" s="204" t="n"/>
      <c r="X201" s="204" t="n"/>
      <c r="Y201" s="204" t="n"/>
      <c r="Z201" s="204" t="n"/>
      <c r="AA201" s="204" t="n"/>
      <c r="AB201" s="204" t="n"/>
      <c r="AC201" s="204" t="n"/>
      <c r="AD201" s="204" t="n"/>
      <c r="AE201" s="204" t="n"/>
      <c r="AF201" s="204" t="n"/>
      <c r="AG201" s="204" t="n"/>
    </row>
    <row r="202" ht="12.75" customHeight="1" s="205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  <c r="S202" s="204" t="n"/>
      <c r="T202" s="204" t="n"/>
      <c r="U202" s="204" t="n"/>
      <c r="V202" s="204" t="n"/>
      <c r="W202" s="204" t="n"/>
      <c r="X202" s="204" t="n"/>
      <c r="Y202" s="204" t="n"/>
      <c r="Z202" s="204" t="n"/>
      <c r="AA202" s="204" t="n"/>
      <c r="AB202" s="204" t="n"/>
      <c r="AC202" s="204" t="n"/>
      <c r="AD202" s="204" t="n"/>
      <c r="AE202" s="204" t="n"/>
      <c r="AF202" s="204" t="n"/>
      <c r="AG202" s="204" t="n"/>
    </row>
    <row r="203" ht="12.75" customHeight="1" s="205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  <c r="S203" s="204" t="n"/>
      <c r="T203" s="204" t="n"/>
      <c r="U203" s="204" t="n"/>
      <c r="V203" s="204" t="n"/>
      <c r="W203" s="204" t="n"/>
      <c r="X203" s="204" t="n"/>
      <c r="Y203" s="204" t="n"/>
      <c r="Z203" s="204" t="n"/>
      <c r="AA203" s="204" t="n"/>
      <c r="AB203" s="204" t="n"/>
      <c r="AC203" s="204" t="n"/>
      <c r="AD203" s="204" t="n"/>
      <c r="AE203" s="204" t="n"/>
      <c r="AF203" s="204" t="n"/>
      <c r="AG203" s="204" t="n"/>
    </row>
    <row r="204" ht="12.75" customHeight="1" s="205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  <c r="S204" s="204" t="n"/>
      <c r="T204" s="204" t="n"/>
      <c r="U204" s="204" t="n"/>
      <c r="V204" s="204" t="n"/>
      <c r="W204" s="204" t="n"/>
      <c r="X204" s="204" t="n"/>
      <c r="Y204" s="204" t="n"/>
      <c r="Z204" s="204" t="n"/>
      <c r="AA204" s="204" t="n"/>
      <c r="AB204" s="204" t="n"/>
      <c r="AC204" s="204" t="n"/>
      <c r="AD204" s="204" t="n"/>
      <c r="AE204" s="204" t="n"/>
      <c r="AF204" s="204" t="n"/>
      <c r="AG204" s="204" t="n"/>
    </row>
    <row r="205" ht="12.75" customHeight="1" s="205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  <c r="S205" s="204" t="n"/>
      <c r="T205" s="204" t="n"/>
      <c r="U205" s="204" t="n"/>
      <c r="V205" s="204" t="n"/>
      <c r="W205" s="204" t="n"/>
      <c r="X205" s="204" t="n"/>
      <c r="Y205" s="204" t="n"/>
      <c r="Z205" s="204" t="n"/>
      <c r="AA205" s="204" t="n"/>
      <c r="AB205" s="204" t="n"/>
      <c r="AC205" s="204" t="n"/>
      <c r="AD205" s="204" t="n"/>
      <c r="AE205" s="204" t="n"/>
      <c r="AF205" s="204" t="n"/>
      <c r="AG205" s="204" t="n"/>
    </row>
    <row r="206" ht="12.75" customHeight="1" s="205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  <c r="S206" s="204" t="n"/>
      <c r="T206" s="204" t="n"/>
      <c r="U206" s="204" t="n"/>
      <c r="V206" s="204" t="n"/>
      <c r="W206" s="204" t="n"/>
      <c r="X206" s="204" t="n"/>
      <c r="Y206" s="204" t="n"/>
      <c r="Z206" s="204" t="n"/>
      <c r="AA206" s="204" t="n"/>
      <c r="AB206" s="204" t="n"/>
      <c r="AC206" s="204" t="n"/>
      <c r="AD206" s="204" t="n"/>
      <c r="AE206" s="204" t="n"/>
      <c r="AF206" s="204" t="n"/>
      <c r="AG206" s="204" t="n"/>
    </row>
    <row r="207" ht="12.75" customHeight="1" s="205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  <c r="S207" s="204" t="n"/>
      <c r="T207" s="204" t="n"/>
      <c r="U207" s="204" t="n"/>
      <c r="V207" s="204" t="n"/>
      <c r="W207" s="204" t="n"/>
      <c r="X207" s="204" t="n"/>
      <c r="Y207" s="204" t="n"/>
      <c r="Z207" s="204" t="n"/>
      <c r="AA207" s="204" t="n"/>
      <c r="AB207" s="204" t="n"/>
      <c r="AC207" s="204" t="n"/>
      <c r="AD207" s="204" t="n"/>
      <c r="AE207" s="204" t="n"/>
      <c r="AF207" s="204" t="n"/>
      <c r="AG207" s="204" t="n"/>
    </row>
    <row r="208" ht="12.75" customHeight="1" s="205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  <c r="S208" s="204" t="n"/>
      <c r="T208" s="204" t="n"/>
      <c r="U208" s="204" t="n"/>
      <c r="V208" s="204" t="n"/>
      <c r="W208" s="204" t="n"/>
      <c r="X208" s="204" t="n"/>
      <c r="Y208" s="204" t="n"/>
      <c r="Z208" s="204" t="n"/>
      <c r="AA208" s="204" t="n"/>
      <c r="AB208" s="204" t="n"/>
      <c r="AC208" s="204" t="n"/>
      <c r="AD208" s="204" t="n"/>
      <c r="AE208" s="204" t="n"/>
      <c r="AF208" s="204" t="n"/>
      <c r="AG208" s="204" t="n"/>
    </row>
    <row r="209" ht="12.75" customHeight="1" s="205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  <c r="S209" s="204" t="n"/>
      <c r="T209" s="204" t="n"/>
      <c r="U209" s="204" t="n"/>
      <c r="V209" s="204" t="n"/>
      <c r="W209" s="204" t="n"/>
      <c r="X209" s="204" t="n"/>
      <c r="Y209" s="204" t="n"/>
      <c r="Z209" s="204" t="n"/>
      <c r="AA209" s="204" t="n"/>
      <c r="AB209" s="204" t="n"/>
      <c r="AC209" s="204" t="n"/>
      <c r="AD209" s="204" t="n"/>
      <c r="AE209" s="204" t="n"/>
      <c r="AF209" s="204" t="n"/>
      <c r="AG209" s="204" t="n"/>
    </row>
    <row r="210" ht="12.75" customHeight="1" s="205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  <c r="S210" s="204" t="n"/>
      <c r="T210" s="204" t="n"/>
      <c r="U210" s="204" t="n"/>
      <c r="V210" s="204" t="n"/>
      <c r="W210" s="204" t="n"/>
      <c r="X210" s="204" t="n"/>
      <c r="Y210" s="204" t="n"/>
      <c r="Z210" s="204" t="n"/>
      <c r="AA210" s="204" t="n"/>
      <c r="AB210" s="204" t="n"/>
      <c r="AC210" s="204" t="n"/>
      <c r="AD210" s="204" t="n"/>
      <c r="AE210" s="204" t="n"/>
      <c r="AF210" s="204" t="n"/>
      <c r="AG210" s="204" t="n"/>
    </row>
    <row r="211" ht="12.75" customHeight="1" s="205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  <c r="S211" s="204" t="n"/>
      <c r="T211" s="204" t="n"/>
      <c r="U211" s="204" t="n"/>
      <c r="V211" s="204" t="n"/>
      <c r="W211" s="204" t="n"/>
      <c r="X211" s="204" t="n"/>
      <c r="Y211" s="204" t="n"/>
      <c r="Z211" s="204" t="n"/>
      <c r="AA211" s="204" t="n"/>
      <c r="AB211" s="204" t="n"/>
      <c r="AC211" s="204" t="n"/>
      <c r="AD211" s="204" t="n"/>
      <c r="AE211" s="204" t="n"/>
      <c r="AF211" s="204" t="n"/>
      <c r="AG211" s="204" t="n"/>
    </row>
    <row r="212" ht="12.75" customHeight="1" s="205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  <c r="S212" s="204" t="n"/>
      <c r="T212" s="204" t="n"/>
      <c r="U212" s="204" t="n"/>
      <c r="V212" s="204" t="n"/>
      <c r="W212" s="204" t="n"/>
      <c r="X212" s="204" t="n"/>
      <c r="Y212" s="204" t="n"/>
      <c r="Z212" s="204" t="n"/>
      <c r="AA212" s="204" t="n"/>
      <c r="AB212" s="204" t="n"/>
      <c r="AC212" s="204" t="n"/>
      <c r="AD212" s="204" t="n"/>
      <c r="AE212" s="204" t="n"/>
      <c r="AF212" s="204" t="n"/>
      <c r="AG212" s="204" t="n"/>
    </row>
    <row r="213" ht="12.75" customHeight="1" s="205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  <c r="S213" s="204" t="n"/>
      <c r="T213" s="204" t="n"/>
      <c r="U213" s="204" t="n"/>
      <c r="V213" s="204" t="n"/>
      <c r="W213" s="204" t="n"/>
      <c r="X213" s="204" t="n"/>
      <c r="Y213" s="204" t="n"/>
      <c r="Z213" s="204" t="n"/>
      <c r="AA213" s="204" t="n"/>
      <c r="AB213" s="204" t="n"/>
      <c r="AC213" s="204" t="n"/>
      <c r="AD213" s="204" t="n"/>
      <c r="AE213" s="204" t="n"/>
      <c r="AF213" s="204" t="n"/>
      <c r="AG213" s="204" t="n"/>
    </row>
    <row r="214" ht="12.75" customHeight="1" s="205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  <c r="S214" s="204" t="n"/>
      <c r="T214" s="204" t="n"/>
      <c r="U214" s="204" t="n"/>
      <c r="V214" s="204" t="n"/>
      <c r="W214" s="204" t="n"/>
      <c r="X214" s="204" t="n"/>
      <c r="Y214" s="204" t="n"/>
      <c r="Z214" s="204" t="n"/>
      <c r="AA214" s="204" t="n"/>
      <c r="AB214" s="204" t="n"/>
      <c r="AC214" s="204" t="n"/>
      <c r="AD214" s="204" t="n"/>
      <c r="AE214" s="204" t="n"/>
      <c r="AF214" s="204" t="n"/>
      <c r="AG214" s="204" t="n"/>
    </row>
    <row r="215" ht="12.75" customHeight="1" s="205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  <c r="S215" s="204" t="n"/>
      <c r="T215" s="204" t="n"/>
      <c r="U215" s="204" t="n"/>
      <c r="V215" s="204" t="n"/>
      <c r="W215" s="204" t="n"/>
      <c r="X215" s="204" t="n"/>
      <c r="Y215" s="204" t="n"/>
      <c r="Z215" s="204" t="n"/>
      <c r="AA215" s="204" t="n"/>
      <c r="AB215" s="204" t="n"/>
      <c r="AC215" s="204" t="n"/>
      <c r="AD215" s="204" t="n"/>
      <c r="AE215" s="204" t="n"/>
      <c r="AF215" s="204" t="n"/>
      <c r="AG215" s="204" t="n"/>
    </row>
    <row r="216" ht="12.75" customHeight="1" s="205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  <c r="S216" s="204" t="n"/>
      <c r="T216" s="204" t="n"/>
      <c r="U216" s="204" t="n"/>
      <c r="V216" s="204" t="n"/>
      <c r="W216" s="204" t="n"/>
      <c r="X216" s="204" t="n"/>
      <c r="Y216" s="204" t="n"/>
      <c r="Z216" s="204" t="n"/>
      <c r="AA216" s="204" t="n"/>
      <c r="AB216" s="204" t="n"/>
      <c r="AC216" s="204" t="n"/>
      <c r="AD216" s="204" t="n"/>
      <c r="AE216" s="204" t="n"/>
      <c r="AF216" s="204" t="n"/>
      <c r="AG216" s="204" t="n"/>
    </row>
    <row r="217" ht="12.75" customHeight="1" s="205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  <c r="S217" s="204" t="n"/>
      <c r="T217" s="204" t="n"/>
      <c r="U217" s="204" t="n"/>
      <c r="V217" s="204" t="n"/>
      <c r="W217" s="204" t="n"/>
      <c r="X217" s="204" t="n"/>
      <c r="Y217" s="204" t="n"/>
      <c r="Z217" s="204" t="n"/>
      <c r="AA217" s="204" t="n"/>
      <c r="AB217" s="204" t="n"/>
      <c r="AC217" s="204" t="n"/>
      <c r="AD217" s="204" t="n"/>
      <c r="AE217" s="204" t="n"/>
      <c r="AF217" s="204" t="n"/>
      <c r="AG217" s="204" t="n"/>
    </row>
    <row r="218" ht="12.75" customHeight="1" s="205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  <c r="S218" s="204" t="n"/>
      <c r="T218" s="204" t="n"/>
      <c r="U218" s="204" t="n"/>
      <c r="V218" s="204" t="n"/>
      <c r="W218" s="204" t="n"/>
      <c r="X218" s="204" t="n"/>
      <c r="Y218" s="204" t="n"/>
      <c r="Z218" s="204" t="n"/>
      <c r="AA218" s="204" t="n"/>
      <c r="AB218" s="204" t="n"/>
      <c r="AC218" s="204" t="n"/>
      <c r="AD218" s="204" t="n"/>
      <c r="AE218" s="204" t="n"/>
      <c r="AF218" s="204" t="n"/>
      <c r="AG218" s="204" t="n"/>
    </row>
    <row r="219" ht="12.75" customHeight="1" s="205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  <c r="S219" s="204" t="n"/>
      <c r="T219" s="204" t="n"/>
      <c r="U219" s="204" t="n"/>
      <c r="V219" s="204" t="n"/>
      <c r="W219" s="204" t="n"/>
      <c r="X219" s="204" t="n"/>
      <c r="Y219" s="204" t="n"/>
      <c r="Z219" s="204" t="n"/>
      <c r="AA219" s="204" t="n"/>
      <c r="AB219" s="204" t="n"/>
      <c r="AC219" s="204" t="n"/>
      <c r="AD219" s="204" t="n"/>
      <c r="AE219" s="204" t="n"/>
      <c r="AF219" s="204" t="n"/>
      <c r="AG219" s="204" t="n"/>
    </row>
    <row r="220" ht="12.75" customHeight="1" s="205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  <c r="S220" s="204" t="n"/>
      <c r="T220" s="204" t="n"/>
      <c r="U220" s="204" t="n"/>
      <c r="V220" s="204" t="n"/>
      <c r="W220" s="204" t="n"/>
      <c r="X220" s="204" t="n"/>
      <c r="Y220" s="204" t="n"/>
      <c r="Z220" s="204" t="n"/>
      <c r="AA220" s="204" t="n"/>
      <c r="AB220" s="204" t="n"/>
      <c r="AC220" s="204" t="n"/>
      <c r="AD220" s="204" t="n"/>
      <c r="AE220" s="204" t="n"/>
      <c r="AF220" s="204" t="n"/>
      <c r="AG220" s="204" t="n"/>
    </row>
    <row r="221" ht="12.75" customHeight="1" s="205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  <c r="S221" s="204" t="n"/>
      <c r="T221" s="204" t="n"/>
      <c r="U221" s="204" t="n"/>
      <c r="V221" s="204" t="n"/>
      <c r="W221" s="204" t="n"/>
      <c r="X221" s="204" t="n"/>
      <c r="Y221" s="204" t="n"/>
      <c r="Z221" s="204" t="n"/>
      <c r="AA221" s="204" t="n"/>
      <c r="AB221" s="204" t="n"/>
      <c r="AC221" s="204" t="n"/>
      <c r="AD221" s="204" t="n"/>
      <c r="AE221" s="204" t="n"/>
      <c r="AF221" s="204" t="n"/>
      <c r="AG221" s="204" t="n"/>
    </row>
    <row r="222" ht="12.75" customHeight="1" s="205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  <c r="S222" s="204" t="n"/>
      <c r="T222" s="204" t="n"/>
      <c r="U222" s="204" t="n"/>
      <c r="V222" s="204" t="n"/>
      <c r="W222" s="204" t="n"/>
      <c r="X222" s="204" t="n"/>
      <c r="Y222" s="204" t="n"/>
      <c r="Z222" s="204" t="n"/>
      <c r="AA222" s="204" t="n"/>
      <c r="AB222" s="204" t="n"/>
      <c r="AC222" s="204" t="n"/>
      <c r="AD222" s="204" t="n"/>
      <c r="AE222" s="204" t="n"/>
      <c r="AF222" s="204" t="n"/>
      <c r="AG222" s="204" t="n"/>
    </row>
    <row r="223" ht="12.75" customHeight="1" s="205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  <c r="S223" s="204" t="n"/>
      <c r="T223" s="204" t="n"/>
      <c r="U223" s="204" t="n"/>
      <c r="V223" s="204" t="n"/>
      <c r="W223" s="204" t="n"/>
      <c r="X223" s="204" t="n"/>
      <c r="Y223" s="204" t="n"/>
      <c r="Z223" s="204" t="n"/>
      <c r="AA223" s="204" t="n"/>
      <c r="AB223" s="204" t="n"/>
      <c r="AC223" s="204" t="n"/>
      <c r="AD223" s="204" t="n"/>
      <c r="AE223" s="204" t="n"/>
      <c r="AF223" s="204" t="n"/>
      <c r="AG223" s="204" t="n"/>
    </row>
    <row r="224" ht="12.75" customHeight="1" s="205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  <c r="S224" s="204" t="n"/>
      <c r="T224" s="204" t="n"/>
      <c r="U224" s="204" t="n"/>
      <c r="V224" s="204" t="n"/>
      <c r="W224" s="204" t="n"/>
      <c r="X224" s="204" t="n"/>
      <c r="Y224" s="204" t="n"/>
      <c r="Z224" s="204" t="n"/>
      <c r="AA224" s="204" t="n"/>
      <c r="AB224" s="204" t="n"/>
      <c r="AC224" s="204" t="n"/>
      <c r="AD224" s="204" t="n"/>
      <c r="AE224" s="204" t="n"/>
      <c r="AF224" s="204" t="n"/>
      <c r="AG224" s="204" t="n"/>
    </row>
    <row r="225" ht="12.75" customHeight="1" s="205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  <c r="S225" s="204" t="n"/>
      <c r="T225" s="204" t="n"/>
      <c r="U225" s="204" t="n"/>
      <c r="V225" s="204" t="n"/>
      <c r="W225" s="204" t="n"/>
      <c r="X225" s="204" t="n"/>
      <c r="Y225" s="204" t="n"/>
      <c r="Z225" s="204" t="n"/>
      <c r="AA225" s="204" t="n"/>
      <c r="AB225" s="204" t="n"/>
      <c r="AC225" s="204" t="n"/>
      <c r="AD225" s="204" t="n"/>
      <c r="AE225" s="204" t="n"/>
      <c r="AF225" s="204" t="n"/>
      <c r="AG225" s="204" t="n"/>
    </row>
    <row r="226" ht="12.75" customHeight="1" s="205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  <c r="S226" s="204" t="n"/>
      <c r="T226" s="204" t="n"/>
      <c r="U226" s="204" t="n"/>
      <c r="V226" s="204" t="n"/>
      <c r="W226" s="204" t="n"/>
      <c r="X226" s="204" t="n"/>
      <c r="Y226" s="204" t="n"/>
      <c r="Z226" s="204" t="n"/>
      <c r="AA226" s="204" t="n"/>
      <c r="AB226" s="204" t="n"/>
      <c r="AC226" s="204" t="n"/>
      <c r="AD226" s="204" t="n"/>
      <c r="AE226" s="204" t="n"/>
      <c r="AF226" s="204" t="n"/>
      <c r="AG226" s="204" t="n"/>
    </row>
    <row r="227" ht="12.75" customHeight="1" s="205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  <c r="S227" s="204" t="n"/>
      <c r="T227" s="204" t="n"/>
      <c r="U227" s="204" t="n"/>
      <c r="V227" s="204" t="n"/>
      <c r="W227" s="204" t="n"/>
      <c r="X227" s="204" t="n"/>
      <c r="Y227" s="204" t="n"/>
      <c r="Z227" s="204" t="n"/>
      <c r="AA227" s="204" t="n"/>
      <c r="AB227" s="204" t="n"/>
      <c r="AC227" s="204" t="n"/>
      <c r="AD227" s="204" t="n"/>
      <c r="AE227" s="204" t="n"/>
      <c r="AF227" s="204" t="n"/>
      <c r="AG227" s="204" t="n"/>
    </row>
    <row r="228" ht="12.75" customHeight="1" s="205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  <c r="S228" s="204" t="n"/>
      <c r="T228" s="204" t="n"/>
      <c r="U228" s="204" t="n"/>
      <c r="V228" s="204" t="n"/>
      <c r="W228" s="204" t="n"/>
      <c r="X228" s="204" t="n"/>
      <c r="Y228" s="204" t="n"/>
      <c r="Z228" s="204" t="n"/>
      <c r="AA228" s="204" t="n"/>
      <c r="AB228" s="204" t="n"/>
      <c r="AC228" s="204" t="n"/>
      <c r="AD228" s="204" t="n"/>
      <c r="AE228" s="204" t="n"/>
      <c r="AF228" s="204" t="n"/>
      <c r="AG228" s="204" t="n"/>
    </row>
    <row r="229" ht="12.75" customHeight="1" s="205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  <c r="S229" s="204" t="n"/>
      <c r="T229" s="204" t="n"/>
      <c r="U229" s="204" t="n"/>
      <c r="V229" s="204" t="n"/>
      <c r="W229" s="204" t="n"/>
      <c r="X229" s="204" t="n"/>
      <c r="Y229" s="204" t="n"/>
      <c r="Z229" s="204" t="n"/>
      <c r="AA229" s="204" t="n"/>
      <c r="AB229" s="204" t="n"/>
      <c r="AC229" s="204" t="n"/>
      <c r="AD229" s="204" t="n"/>
      <c r="AE229" s="204" t="n"/>
      <c r="AF229" s="204" t="n"/>
      <c r="AG229" s="204" t="n"/>
    </row>
    <row r="230" ht="12.75" customHeight="1" s="205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  <c r="S230" s="204" t="n"/>
      <c r="T230" s="204" t="n"/>
      <c r="U230" s="204" t="n"/>
      <c r="V230" s="204" t="n"/>
      <c r="W230" s="204" t="n"/>
      <c r="X230" s="204" t="n"/>
      <c r="Y230" s="204" t="n"/>
      <c r="Z230" s="204" t="n"/>
      <c r="AA230" s="204" t="n"/>
      <c r="AB230" s="204" t="n"/>
      <c r="AC230" s="204" t="n"/>
      <c r="AD230" s="204" t="n"/>
      <c r="AE230" s="204" t="n"/>
      <c r="AF230" s="204" t="n"/>
      <c r="AG230" s="204" t="n"/>
    </row>
    <row r="231" ht="12.75" customHeight="1" s="205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  <c r="S231" s="204" t="n"/>
      <c r="T231" s="204" t="n"/>
      <c r="U231" s="204" t="n"/>
      <c r="V231" s="204" t="n"/>
      <c r="W231" s="204" t="n"/>
      <c r="X231" s="204" t="n"/>
      <c r="Y231" s="204" t="n"/>
      <c r="Z231" s="204" t="n"/>
      <c r="AA231" s="204" t="n"/>
      <c r="AB231" s="204" t="n"/>
      <c r="AC231" s="204" t="n"/>
      <c r="AD231" s="204" t="n"/>
      <c r="AE231" s="204" t="n"/>
      <c r="AF231" s="204" t="n"/>
      <c r="AG231" s="204" t="n"/>
    </row>
    <row r="232" ht="12.75" customHeight="1" s="205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  <c r="S232" s="204" t="n"/>
      <c r="T232" s="204" t="n"/>
      <c r="U232" s="204" t="n"/>
      <c r="V232" s="204" t="n"/>
      <c r="W232" s="204" t="n"/>
      <c r="X232" s="204" t="n"/>
      <c r="Y232" s="204" t="n"/>
      <c r="Z232" s="204" t="n"/>
      <c r="AA232" s="204" t="n"/>
      <c r="AB232" s="204" t="n"/>
      <c r="AC232" s="204" t="n"/>
      <c r="AD232" s="204" t="n"/>
      <c r="AE232" s="204" t="n"/>
      <c r="AF232" s="204" t="n"/>
      <c r="AG232" s="204" t="n"/>
    </row>
    <row r="233" ht="12.75" customHeight="1" s="205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  <c r="S233" s="204" t="n"/>
      <c r="T233" s="204" t="n"/>
      <c r="U233" s="204" t="n"/>
      <c r="V233" s="204" t="n"/>
      <c r="W233" s="204" t="n"/>
      <c r="X233" s="204" t="n"/>
      <c r="Y233" s="204" t="n"/>
      <c r="Z233" s="204" t="n"/>
      <c r="AA233" s="204" t="n"/>
      <c r="AB233" s="204" t="n"/>
      <c r="AC233" s="204" t="n"/>
      <c r="AD233" s="204" t="n"/>
      <c r="AE233" s="204" t="n"/>
      <c r="AF233" s="204" t="n"/>
      <c r="AG233" s="204" t="n"/>
    </row>
    <row r="234" ht="12.75" customHeight="1" s="205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  <c r="S234" s="204" t="n"/>
      <c r="T234" s="204" t="n"/>
      <c r="U234" s="204" t="n"/>
      <c r="V234" s="204" t="n"/>
      <c r="W234" s="204" t="n"/>
      <c r="X234" s="204" t="n"/>
      <c r="Y234" s="204" t="n"/>
      <c r="Z234" s="204" t="n"/>
      <c r="AA234" s="204" t="n"/>
      <c r="AB234" s="204" t="n"/>
      <c r="AC234" s="204" t="n"/>
      <c r="AD234" s="204" t="n"/>
      <c r="AE234" s="204" t="n"/>
      <c r="AF234" s="204" t="n"/>
      <c r="AG234" s="204" t="n"/>
    </row>
    <row r="235" ht="12.75" customHeight="1" s="205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  <c r="S235" s="204" t="n"/>
      <c r="T235" s="204" t="n"/>
      <c r="U235" s="204" t="n"/>
      <c r="V235" s="204" t="n"/>
      <c r="W235" s="204" t="n"/>
      <c r="X235" s="204" t="n"/>
      <c r="Y235" s="204" t="n"/>
      <c r="Z235" s="204" t="n"/>
      <c r="AA235" s="204" t="n"/>
      <c r="AB235" s="204" t="n"/>
      <c r="AC235" s="204" t="n"/>
      <c r="AD235" s="204" t="n"/>
      <c r="AE235" s="204" t="n"/>
      <c r="AF235" s="204" t="n"/>
      <c r="AG235" s="204" t="n"/>
    </row>
    <row r="236" ht="12.75" customHeight="1" s="205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  <c r="S236" s="204" t="n"/>
      <c r="T236" s="204" t="n"/>
      <c r="U236" s="204" t="n"/>
      <c r="V236" s="204" t="n"/>
      <c r="W236" s="204" t="n"/>
      <c r="X236" s="204" t="n"/>
      <c r="Y236" s="204" t="n"/>
      <c r="Z236" s="204" t="n"/>
      <c r="AA236" s="204" t="n"/>
      <c r="AB236" s="204" t="n"/>
      <c r="AC236" s="204" t="n"/>
      <c r="AD236" s="204" t="n"/>
      <c r="AE236" s="204" t="n"/>
      <c r="AF236" s="204" t="n"/>
      <c r="AG236" s="204" t="n"/>
    </row>
    <row r="237" ht="12.75" customHeight="1" s="205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  <c r="S237" s="204" t="n"/>
      <c r="T237" s="204" t="n"/>
      <c r="U237" s="204" t="n"/>
      <c r="V237" s="204" t="n"/>
      <c r="W237" s="204" t="n"/>
      <c r="X237" s="204" t="n"/>
      <c r="Y237" s="204" t="n"/>
      <c r="Z237" s="204" t="n"/>
      <c r="AA237" s="204" t="n"/>
      <c r="AB237" s="204" t="n"/>
      <c r="AC237" s="204" t="n"/>
      <c r="AD237" s="204" t="n"/>
      <c r="AE237" s="204" t="n"/>
      <c r="AF237" s="204" t="n"/>
      <c r="AG237" s="204" t="n"/>
    </row>
    <row r="238" ht="12.75" customHeight="1" s="205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  <c r="S238" s="204" t="n"/>
      <c r="T238" s="204" t="n"/>
      <c r="U238" s="204" t="n"/>
      <c r="V238" s="204" t="n"/>
      <c r="W238" s="204" t="n"/>
      <c r="X238" s="204" t="n"/>
      <c r="Y238" s="204" t="n"/>
      <c r="Z238" s="204" t="n"/>
      <c r="AA238" s="204" t="n"/>
      <c r="AB238" s="204" t="n"/>
      <c r="AC238" s="204" t="n"/>
      <c r="AD238" s="204" t="n"/>
      <c r="AE238" s="204" t="n"/>
      <c r="AF238" s="204" t="n"/>
      <c r="AG238" s="204" t="n"/>
    </row>
    <row r="239" ht="12.75" customHeight="1" s="205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  <c r="S239" s="204" t="n"/>
      <c r="T239" s="204" t="n"/>
      <c r="U239" s="204" t="n"/>
      <c r="V239" s="204" t="n"/>
      <c r="W239" s="204" t="n"/>
      <c r="X239" s="204" t="n"/>
      <c r="Y239" s="204" t="n"/>
      <c r="Z239" s="204" t="n"/>
      <c r="AA239" s="204" t="n"/>
      <c r="AB239" s="204" t="n"/>
      <c r="AC239" s="204" t="n"/>
      <c r="AD239" s="204" t="n"/>
      <c r="AE239" s="204" t="n"/>
      <c r="AF239" s="204" t="n"/>
      <c r="AG239" s="204" t="n"/>
    </row>
    <row r="240" ht="12.75" customHeight="1" s="205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  <c r="S240" s="204" t="n"/>
      <c r="T240" s="204" t="n"/>
      <c r="U240" s="204" t="n"/>
      <c r="V240" s="204" t="n"/>
      <c r="W240" s="204" t="n"/>
      <c r="X240" s="204" t="n"/>
      <c r="Y240" s="204" t="n"/>
      <c r="Z240" s="204" t="n"/>
      <c r="AA240" s="204" t="n"/>
      <c r="AB240" s="204" t="n"/>
      <c r="AC240" s="204" t="n"/>
      <c r="AD240" s="204" t="n"/>
      <c r="AE240" s="204" t="n"/>
      <c r="AF240" s="204" t="n"/>
      <c r="AG240" s="204" t="n"/>
    </row>
    <row r="241" ht="12.75" customHeight="1" s="205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  <c r="S241" s="204" t="n"/>
      <c r="T241" s="204" t="n"/>
      <c r="U241" s="204" t="n"/>
      <c r="V241" s="204" t="n"/>
      <c r="W241" s="204" t="n"/>
      <c r="X241" s="204" t="n"/>
      <c r="Y241" s="204" t="n"/>
      <c r="Z241" s="204" t="n"/>
      <c r="AA241" s="204" t="n"/>
      <c r="AB241" s="204" t="n"/>
      <c r="AC241" s="204" t="n"/>
      <c r="AD241" s="204" t="n"/>
      <c r="AE241" s="204" t="n"/>
      <c r="AF241" s="204" t="n"/>
      <c r="AG241" s="204" t="n"/>
    </row>
    <row r="242" ht="12.75" customHeight="1" s="205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  <c r="S242" s="204" t="n"/>
      <c r="T242" s="204" t="n"/>
      <c r="U242" s="204" t="n"/>
      <c r="V242" s="204" t="n"/>
      <c r="W242" s="204" t="n"/>
      <c r="X242" s="204" t="n"/>
      <c r="Y242" s="204" t="n"/>
      <c r="Z242" s="204" t="n"/>
      <c r="AA242" s="204" t="n"/>
      <c r="AB242" s="204" t="n"/>
      <c r="AC242" s="204" t="n"/>
      <c r="AD242" s="204" t="n"/>
      <c r="AE242" s="204" t="n"/>
      <c r="AF242" s="204" t="n"/>
      <c r="AG242" s="204" t="n"/>
    </row>
    <row r="243" ht="12.75" customHeight="1" s="205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  <c r="S243" s="204" t="n"/>
      <c r="T243" s="204" t="n"/>
      <c r="U243" s="204" t="n"/>
      <c r="V243" s="204" t="n"/>
      <c r="W243" s="204" t="n"/>
      <c r="X243" s="204" t="n"/>
      <c r="Y243" s="204" t="n"/>
      <c r="Z243" s="204" t="n"/>
      <c r="AA243" s="204" t="n"/>
      <c r="AB243" s="204" t="n"/>
      <c r="AC243" s="204" t="n"/>
      <c r="AD243" s="204" t="n"/>
      <c r="AE243" s="204" t="n"/>
      <c r="AF243" s="204" t="n"/>
      <c r="AG243" s="204" t="n"/>
    </row>
    <row r="244" ht="12.75" customHeight="1" s="205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  <c r="S244" s="204" t="n"/>
      <c r="T244" s="204" t="n"/>
      <c r="U244" s="204" t="n"/>
      <c r="V244" s="204" t="n"/>
      <c r="W244" s="204" t="n"/>
      <c r="X244" s="204" t="n"/>
      <c r="Y244" s="204" t="n"/>
      <c r="Z244" s="204" t="n"/>
      <c r="AA244" s="204" t="n"/>
      <c r="AB244" s="204" t="n"/>
      <c r="AC244" s="204" t="n"/>
      <c r="AD244" s="204" t="n"/>
      <c r="AE244" s="204" t="n"/>
      <c r="AF244" s="204" t="n"/>
      <c r="AG244" s="204" t="n"/>
    </row>
    <row r="245" ht="12.75" customHeight="1" s="205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  <c r="S245" s="204" t="n"/>
      <c r="T245" s="204" t="n"/>
      <c r="U245" s="204" t="n"/>
      <c r="V245" s="204" t="n"/>
      <c r="W245" s="204" t="n"/>
      <c r="X245" s="204" t="n"/>
      <c r="Y245" s="204" t="n"/>
      <c r="Z245" s="204" t="n"/>
      <c r="AA245" s="204" t="n"/>
      <c r="AB245" s="204" t="n"/>
      <c r="AC245" s="204" t="n"/>
      <c r="AD245" s="204" t="n"/>
      <c r="AE245" s="204" t="n"/>
      <c r="AF245" s="204" t="n"/>
      <c r="AG245" s="204" t="n"/>
    </row>
    <row r="246" ht="12.75" customHeight="1" s="205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  <c r="S246" s="204" t="n"/>
      <c r="T246" s="204" t="n"/>
      <c r="U246" s="204" t="n"/>
      <c r="V246" s="204" t="n"/>
      <c r="W246" s="204" t="n"/>
      <c r="X246" s="204" t="n"/>
      <c r="Y246" s="204" t="n"/>
      <c r="Z246" s="204" t="n"/>
      <c r="AA246" s="204" t="n"/>
      <c r="AB246" s="204" t="n"/>
      <c r="AC246" s="204" t="n"/>
      <c r="AD246" s="204" t="n"/>
      <c r="AE246" s="204" t="n"/>
      <c r="AF246" s="204" t="n"/>
      <c r="AG246" s="204" t="n"/>
    </row>
    <row r="247" ht="12.75" customHeight="1" s="205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  <c r="S247" s="204" t="n"/>
      <c r="T247" s="204" t="n"/>
      <c r="U247" s="204" t="n"/>
      <c r="V247" s="204" t="n"/>
      <c r="W247" s="204" t="n"/>
      <c r="X247" s="204" t="n"/>
      <c r="Y247" s="204" t="n"/>
      <c r="Z247" s="204" t="n"/>
      <c r="AA247" s="204" t="n"/>
      <c r="AB247" s="204" t="n"/>
      <c r="AC247" s="204" t="n"/>
      <c r="AD247" s="204" t="n"/>
      <c r="AE247" s="204" t="n"/>
      <c r="AF247" s="204" t="n"/>
      <c r="AG247" s="204" t="n"/>
    </row>
    <row r="248" ht="12.75" customHeight="1" s="205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  <c r="S248" s="204" t="n"/>
      <c r="T248" s="204" t="n"/>
      <c r="U248" s="204" t="n"/>
      <c r="V248" s="204" t="n"/>
      <c r="W248" s="204" t="n"/>
      <c r="X248" s="204" t="n"/>
      <c r="Y248" s="204" t="n"/>
      <c r="Z248" s="204" t="n"/>
      <c r="AA248" s="204" t="n"/>
      <c r="AB248" s="204" t="n"/>
      <c r="AC248" s="204" t="n"/>
      <c r="AD248" s="204" t="n"/>
      <c r="AE248" s="204" t="n"/>
      <c r="AF248" s="204" t="n"/>
      <c r="AG248" s="204" t="n"/>
    </row>
    <row r="249" ht="12.75" customHeight="1" s="205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  <c r="S249" s="204" t="n"/>
      <c r="T249" s="204" t="n"/>
      <c r="U249" s="204" t="n"/>
      <c r="V249" s="204" t="n"/>
      <c r="W249" s="204" t="n"/>
      <c r="X249" s="204" t="n"/>
      <c r="Y249" s="204" t="n"/>
      <c r="Z249" s="204" t="n"/>
      <c r="AA249" s="204" t="n"/>
      <c r="AB249" s="204" t="n"/>
      <c r="AC249" s="204" t="n"/>
      <c r="AD249" s="204" t="n"/>
      <c r="AE249" s="204" t="n"/>
      <c r="AF249" s="204" t="n"/>
      <c r="AG249" s="204" t="n"/>
    </row>
    <row r="250" ht="12.75" customHeight="1" s="205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  <c r="S250" s="204" t="n"/>
      <c r="T250" s="204" t="n"/>
      <c r="U250" s="204" t="n"/>
      <c r="V250" s="204" t="n"/>
      <c r="W250" s="204" t="n"/>
      <c r="X250" s="204" t="n"/>
      <c r="Y250" s="204" t="n"/>
      <c r="Z250" s="204" t="n"/>
      <c r="AA250" s="204" t="n"/>
      <c r="AB250" s="204" t="n"/>
      <c r="AC250" s="204" t="n"/>
      <c r="AD250" s="204" t="n"/>
      <c r="AE250" s="204" t="n"/>
      <c r="AF250" s="204" t="n"/>
      <c r="AG250" s="204" t="n"/>
    </row>
    <row r="251" ht="12.75" customHeight="1" s="205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  <c r="S251" s="204" t="n"/>
      <c r="T251" s="204" t="n"/>
      <c r="U251" s="204" t="n"/>
      <c r="V251" s="204" t="n"/>
      <c r="W251" s="204" t="n"/>
      <c r="X251" s="204" t="n"/>
      <c r="Y251" s="204" t="n"/>
      <c r="Z251" s="204" t="n"/>
      <c r="AA251" s="204" t="n"/>
      <c r="AB251" s="204" t="n"/>
      <c r="AC251" s="204" t="n"/>
      <c r="AD251" s="204" t="n"/>
      <c r="AE251" s="204" t="n"/>
      <c r="AF251" s="204" t="n"/>
      <c r="AG251" s="204" t="n"/>
    </row>
    <row r="252" ht="12.75" customHeight="1" s="205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  <c r="S252" s="204" t="n"/>
      <c r="T252" s="204" t="n"/>
      <c r="U252" s="204" t="n"/>
      <c r="V252" s="204" t="n"/>
      <c r="W252" s="204" t="n"/>
      <c r="X252" s="204" t="n"/>
      <c r="Y252" s="204" t="n"/>
      <c r="Z252" s="204" t="n"/>
      <c r="AA252" s="204" t="n"/>
      <c r="AB252" s="204" t="n"/>
      <c r="AC252" s="204" t="n"/>
      <c r="AD252" s="204" t="n"/>
      <c r="AE252" s="204" t="n"/>
      <c r="AF252" s="204" t="n"/>
      <c r="AG252" s="204" t="n"/>
    </row>
    <row r="253" ht="12.75" customHeight="1" s="205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  <c r="S253" s="204" t="n"/>
      <c r="T253" s="204" t="n"/>
      <c r="U253" s="204" t="n"/>
      <c r="V253" s="204" t="n"/>
      <c r="W253" s="204" t="n"/>
      <c r="X253" s="204" t="n"/>
      <c r="Y253" s="204" t="n"/>
      <c r="Z253" s="204" t="n"/>
      <c r="AA253" s="204" t="n"/>
      <c r="AB253" s="204" t="n"/>
      <c r="AC253" s="204" t="n"/>
      <c r="AD253" s="204" t="n"/>
      <c r="AE253" s="204" t="n"/>
      <c r="AF253" s="204" t="n"/>
      <c r="AG253" s="204" t="n"/>
    </row>
    <row r="254" ht="12.75" customHeight="1" s="205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  <c r="S254" s="204" t="n"/>
      <c r="T254" s="204" t="n"/>
      <c r="U254" s="204" t="n"/>
      <c r="V254" s="204" t="n"/>
      <c r="W254" s="204" t="n"/>
      <c r="X254" s="204" t="n"/>
      <c r="Y254" s="204" t="n"/>
      <c r="Z254" s="204" t="n"/>
      <c r="AA254" s="204" t="n"/>
      <c r="AB254" s="204" t="n"/>
      <c r="AC254" s="204" t="n"/>
      <c r="AD254" s="204" t="n"/>
      <c r="AE254" s="204" t="n"/>
      <c r="AF254" s="204" t="n"/>
      <c r="AG254" s="204" t="n"/>
    </row>
    <row r="255" ht="12.75" customHeight="1" s="205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  <c r="S255" s="204" t="n"/>
      <c r="T255" s="204" t="n"/>
      <c r="U255" s="204" t="n"/>
      <c r="V255" s="204" t="n"/>
      <c r="W255" s="204" t="n"/>
      <c r="X255" s="204" t="n"/>
      <c r="Y255" s="204" t="n"/>
      <c r="Z255" s="204" t="n"/>
      <c r="AA255" s="204" t="n"/>
      <c r="AB255" s="204" t="n"/>
      <c r="AC255" s="204" t="n"/>
      <c r="AD255" s="204" t="n"/>
      <c r="AE255" s="204" t="n"/>
      <c r="AF255" s="204" t="n"/>
      <c r="AG255" s="204" t="n"/>
    </row>
    <row r="256" ht="12.75" customHeight="1" s="205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  <c r="S256" s="204" t="n"/>
      <c r="T256" s="204" t="n"/>
      <c r="U256" s="204" t="n"/>
      <c r="V256" s="204" t="n"/>
      <c r="W256" s="204" t="n"/>
      <c r="X256" s="204" t="n"/>
      <c r="Y256" s="204" t="n"/>
      <c r="Z256" s="204" t="n"/>
      <c r="AA256" s="204" t="n"/>
      <c r="AB256" s="204" t="n"/>
      <c r="AC256" s="204" t="n"/>
      <c r="AD256" s="204" t="n"/>
      <c r="AE256" s="204" t="n"/>
      <c r="AF256" s="204" t="n"/>
      <c r="AG256" s="204" t="n"/>
    </row>
    <row r="257" ht="12.75" customHeight="1" s="205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  <c r="S257" s="204" t="n"/>
      <c r="T257" s="204" t="n"/>
      <c r="U257" s="204" t="n"/>
      <c r="V257" s="204" t="n"/>
      <c r="W257" s="204" t="n"/>
      <c r="X257" s="204" t="n"/>
      <c r="Y257" s="204" t="n"/>
      <c r="Z257" s="204" t="n"/>
      <c r="AA257" s="204" t="n"/>
      <c r="AB257" s="204" t="n"/>
      <c r="AC257" s="204" t="n"/>
      <c r="AD257" s="204" t="n"/>
      <c r="AE257" s="204" t="n"/>
      <c r="AF257" s="204" t="n"/>
      <c r="AG257" s="204" t="n"/>
    </row>
    <row r="258" ht="12.75" customHeight="1" s="205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  <c r="S258" s="204" t="n"/>
      <c r="T258" s="204" t="n"/>
      <c r="U258" s="204" t="n"/>
      <c r="V258" s="204" t="n"/>
      <c r="W258" s="204" t="n"/>
      <c r="X258" s="204" t="n"/>
      <c r="Y258" s="204" t="n"/>
      <c r="Z258" s="204" t="n"/>
      <c r="AA258" s="204" t="n"/>
      <c r="AB258" s="204" t="n"/>
      <c r="AC258" s="204" t="n"/>
      <c r="AD258" s="204" t="n"/>
      <c r="AE258" s="204" t="n"/>
      <c r="AF258" s="204" t="n"/>
      <c r="AG258" s="204" t="n"/>
    </row>
    <row r="259" ht="12.75" customHeight="1" s="205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  <c r="S259" s="204" t="n"/>
      <c r="T259" s="204" t="n"/>
      <c r="U259" s="204" t="n"/>
      <c r="V259" s="204" t="n"/>
      <c r="W259" s="204" t="n"/>
      <c r="X259" s="204" t="n"/>
      <c r="Y259" s="204" t="n"/>
      <c r="Z259" s="204" t="n"/>
      <c r="AA259" s="204" t="n"/>
      <c r="AB259" s="204" t="n"/>
      <c r="AC259" s="204" t="n"/>
      <c r="AD259" s="204" t="n"/>
      <c r="AE259" s="204" t="n"/>
      <c r="AF259" s="204" t="n"/>
      <c r="AG259" s="204" t="n"/>
    </row>
    <row r="260" ht="12.75" customHeight="1" s="205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  <c r="S260" s="204" t="n"/>
      <c r="T260" s="204" t="n"/>
      <c r="U260" s="204" t="n"/>
      <c r="V260" s="204" t="n"/>
      <c r="W260" s="204" t="n"/>
      <c r="X260" s="204" t="n"/>
      <c r="Y260" s="204" t="n"/>
      <c r="Z260" s="204" t="n"/>
      <c r="AA260" s="204" t="n"/>
      <c r="AB260" s="204" t="n"/>
      <c r="AC260" s="204" t="n"/>
      <c r="AD260" s="204" t="n"/>
      <c r="AE260" s="204" t="n"/>
      <c r="AF260" s="204" t="n"/>
      <c r="AG260" s="204" t="n"/>
    </row>
    <row r="261" ht="12.75" customHeight="1" s="205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  <c r="S261" s="204" t="n"/>
      <c r="T261" s="204" t="n"/>
      <c r="U261" s="204" t="n"/>
      <c r="V261" s="204" t="n"/>
      <c r="W261" s="204" t="n"/>
      <c r="X261" s="204" t="n"/>
      <c r="Y261" s="204" t="n"/>
      <c r="Z261" s="204" t="n"/>
      <c r="AA261" s="204" t="n"/>
      <c r="AB261" s="204" t="n"/>
      <c r="AC261" s="204" t="n"/>
      <c r="AD261" s="204" t="n"/>
      <c r="AE261" s="204" t="n"/>
      <c r="AF261" s="204" t="n"/>
      <c r="AG261" s="204" t="n"/>
    </row>
    <row r="262" ht="12.75" customHeight="1" s="205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  <c r="S262" s="204" t="n"/>
      <c r="T262" s="204" t="n"/>
      <c r="U262" s="204" t="n"/>
      <c r="V262" s="204" t="n"/>
      <c r="W262" s="204" t="n"/>
      <c r="X262" s="204" t="n"/>
      <c r="Y262" s="204" t="n"/>
      <c r="Z262" s="204" t="n"/>
      <c r="AA262" s="204" t="n"/>
      <c r="AB262" s="204" t="n"/>
      <c r="AC262" s="204" t="n"/>
      <c r="AD262" s="204" t="n"/>
      <c r="AE262" s="204" t="n"/>
      <c r="AF262" s="204" t="n"/>
      <c r="AG262" s="204" t="n"/>
    </row>
    <row r="263" ht="12.75" customHeight="1" s="205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  <c r="S263" s="204" t="n"/>
      <c r="T263" s="204" t="n"/>
      <c r="U263" s="204" t="n"/>
      <c r="V263" s="204" t="n"/>
      <c r="W263" s="204" t="n"/>
      <c r="X263" s="204" t="n"/>
      <c r="Y263" s="204" t="n"/>
      <c r="Z263" s="204" t="n"/>
      <c r="AA263" s="204" t="n"/>
      <c r="AB263" s="204" t="n"/>
      <c r="AC263" s="204" t="n"/>
      <c r="AD263" s="204" t="n"/>
      <c r="AE263" s="204" t="n"/>
      <c r="AF263" s="204" t="n"/>
      <c r="AG263" s="204" t="n"/>
    </row>
    <row r="264" ht="12.75" customHeight="1" s="205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  <c r="S264" s="204" t="n"/>
      <c r="T264" s="204" t="n"/>
      <c r="U264" s="204" t="n"/>
      <c r="V264" s="204" t="n"/>
      <c r="W264" s="204" t="n"/>
      <c r="X264" s="204" t="n"/>
      <c r="Y264" s="204" t="n"/>
      <c r="Z264" s="204" t="n"/>
      <c r="AA264" s="204" t="n"/>
      <c r="AB264" s="204" t="n"/>
      <c r="AC264" s="204" t="n"/>
      <c r="AD264" s="204" t="n"/>
      <c r="AE264" s="204" t="n"/>
      <c r="AF264" s="204" t="n"/>
      <c r="AG264" s="204" t="n"/>
    </row>
    <row r="265" ht="12.75" customHeight="1" s="205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  <c r="S265" s="204" t="n"/>
      <c r="T265" s="204" t="n"/>
      <c r="U265" s="204" t="n"/>
      <c r="V265" s="204" t="n"/>
      <c r="W265" s="204" t="n"/>
      <c r="X265" s="204" t="n"/>
      <c r="Y265" s="204" t="n"/>
      <c r="Z265" s="204" t="n"/>
      <c r="AA265" s="204" t="n"/>
      <c r="AB265" s="204" t="n"/>
      <c r="AC265" s="204" t="n"/>
      <c r="AD265" s="204" t="n"/>
      <c r="AE265" s="204" t="n"/>
      <c r="AF265" s="204" t="n"/>
      <c r="AG265" s="204" t="n"/>
    </row>
    <row r="266" ht="12.75" customHeight="1" s="205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  <c r="S266" s="204" t="n"/>
      <c r="T266" s="204" t="n"/>
      <c r="U266" s="204" t="n"/>
      <c r="V266" s="204" t="n"/>
      <c r="W266" s="204" t="n"/>
      <c r="X266" s="204" t="n"/>
      <c r="Y266" s="204" t="n"/>
      <c r="Z266" s="204" t="n"/>
      <c r="AA266" s="204" t="n"/>
      <c r="AB266" s="204" t="n"/>
      <c r="AC266" s="204" t="n"/>
      <c r="AD266" s="204" t="n"/>
      <c r="AE266" s="204" t="n"/>
      <c r="AF266" s="204" t="n"/>
      <c r="AG266" s="204" t="n"/>
    </row>
    <row r="267" ht="12.75" customHeight="1" s="205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  <c r="S267" s="204" t="n"/>
      <c r="T267" s="204" t="n"/>
      <c r="U267" s="204" t="n"/>
      <c r="V267" s="204" t="n"/>
      <c r="W267" s="204" t="n"/>
      <c r="X267" s="204" t="n"/>
      <c r="Y267" s="204" t="n"/>
      <c r="Z267" s="204" t="n"/>
      <c r="AA267" s="204" t="n"/>
      <c r="AB267" s="204" t="n"/>
      <c r="AC267" s="204" t="n"/>
      <c r="AD267" s="204" t="n"/>
      <c r="AE267" s="204" t="n"/>
      <c r="AF267" s="204" t="n"/>
      <c r="AG267" s="204" t="n"/>
    </row>
    <row r="268" ht="12.75" customHeight="1" s="205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  <c r="S268" s="204" t="n"/>
      <c r="T268" s="204" t="n"/>
      <c r="U268" s="204" t="n"/>
      <c r="V268" s="204" t="n"/>
      <c r="W268" s="204" t="n"/>
      <c r="X268" s="204" t="n"/>
      <c r="Y268" s="204" t="n"/>
      <c r="Z268" s="204" t="n"/>
      <c r="AA268" s="204" t="n"/>
      <c r="AB268" s="204" t="n"/>
      <c r="AC268" s="204" t="n"/>
      <c r="AD268" s="204" t="n"/>
      <c r="AE268" s="204" t="n"/>
      <c r="AF268" s="204" t="n"/>
      <c r="AG268" s="204" t="n"/>
    </row>
    <row r="269" ht="12.75" customHeight="1" s="205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  <c r="S269" s="204" t="n"/>
      <c r="T269" s="204" t="n"/>
      <c r="U269" s="204" t="n"/>
      <c r="V269" s="204" t="n"/>
      <c r="W269" s="204" t="n"/>
      <c r="X269" s="204" t="n"/>
      <c r="Y269" s="204" t="n"/>
      <c r="Z269" s="204" t="n"/>
      <c r="AA269" s="204" t="n"/>
      <c r="AB269" s="204" t="n"/>
      <c r="AC269" s="204" t="n"/>
      <c r="AD269" s="204" t="n"/>
      <c r="AE269" s="204" t="n"/>
      <c r="AF269" s="204" t="n"/>
      <c r="AG269" s="204" t="n"/>
    </row>
    <row r="270" ht="12.75" customHeight="1" s="205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  <c r="S270" s="204" t="n"/>
      <c r="T270" s="204" t="n"/>
      <c r="U270" s="204" t="n"/>
      <c r="V270" s="204" t="n"/>
      <c r="W270" s="204" t="n"/>
      <c r="X270" s="204" t="n"/>
      <c r="Y270" s="204" t="n"/>
      <c r="Z270" s="204" t="n"/>
      <c r="AA270" s="204" t="n"/>
      <c r="AB270" s="204" t="n"/>
      <c r="AC270" s="204" t="n"/>
      <c r="AD270" s="204" t="n"/>
      <c r="AE270" s="204" t="n"/>
      <c r="AF270" s="204" t="n"/>
      <c r="AG270" s="204" t="n"/>
    </row>
    <row r="271" ht="12.75" customHeight="1" s="205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  <c r="S271" s="204" t="n"/>
      <c r="T271" s="204" t="n"/>
      <c r="U271" s="204" t="n"/>
      <c r="V271" s="204" t="n"/>
      <c r="W271" s="204" t="n"/>
      <c r="X271" s="204" t="n"/>
      <c r="Y271" s="204" t="n"/>
      <c r="Z271" s="204" t="n"/>
      <c r="AA271" s="204" t="n"/>
      <c r="AB271" s="204" t="n"/>
      <c r="AC271" s="204" t="n"/>
      <c r="AD271" s="204" t="n"/>
      <c r="AE271" s="204" t="n"/>
      <c r="AF271" s="204" t="n"/>
      <c r="AG271" s="204" t="n"/>
    </row>
    <row r="272" ht="12.75" customHeight="1" s="205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  <c r="S272" s="204" t="n"/>
      <c r="T272" s="204" t="n"/>
      <c r="U272" s="204" t="n"/>
      <c r="V272" s="204" t="n"/>
      <c r="W272" s="204" t="n"/>
      <c r="X272" s="204" t="n"/>
      <c r="Y272" s="204" t="n"/>
      <c r="Z272" s="204" t="n"/>
      <c r="AA272" s="204" t="n"/>
      <c r="AB272" s="204" t="n"/>
      <c r="AC272" s="204" t="n"/>
      <c r="AD272" s="204" t="n"/>
      <c r="AE272" s="204" t="n"/>
      <c r="AF272" s="204" t="n"/>
      <c r="AG272" s="204" t="n"/>
    </row>
    <row r="273" ht="12.75" customHeight="1" s="205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  <c r="S273" s="204" t="n"/>
      <c r="T273" s="204" t="n"/>
      <c r="U273" s="204" t="n"/>
      <c r="V273" s="204" t="n"/>
      <c r="W273" s="204" t="n"/>
      <c r="X273" s="204" t="n"/>
      <c r="Y273" s="204" t="n"/>
      <c r="Z273" s="204" t="n"/>
      <c r="AA273" s="204" t="n"/>
      <c r="AB273" s="204" t="n"/>
      <c r="AC273" s="204" t="n"/>
      <c r="AD273" s="204" t="n"/>
      <c r="AE273" s="204" t="n"/>
      <c r="AF273" s="204" t="n"/>
      <c r="AG273" s="204" t="n"/>
    </row>
    <row r="274" ht="12.75" customHeight="1" s="205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  <c r="S274" s="204" t="n"/>
      <c r="T274" s="204" t="n"/>
      <c r="U274" s="204" t="n"/>
      <c r="V274" s="204" t="n"/>
      <c r="W274" s="204" t="n"/>
      <c r="X274" s="204" t="n"/>
      <c r="Y274" s="204" t="n"/>
      <c r="Z274" s="204" t="n"/>
      <c r="AA274" s="204" t="n"/>
      <c r="AB274" s="204" t="n"/>
      <c r="AC274" s="204" t="n"/>
      <c r="AD274" s="204" t="n"/>
      <c r="AE274" s="204" t="n"/>
      <c r="AF274" s="204" t="n"/>
      <c r="AG274" s="204" t="n"/>
    </row>
    <row r="275" ht="12.75" customHeight="1" s="205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  <c r="S275" s="204" t="n"/>
      <c r="T275" s="204" t="n"/>
      <c r="U275" s="204" t="n"/>
      <c r="V275" s="204" t="n"/>
      <c r="W275" s="204" t="n"/>
      <c r="X275" s="204" t="n"/>
      <c r="Y275" s="204" t="n"/>
      <c r="Z275" s="204" t="n"/>
      <c r="AA275" s="204" t="n"/>
      <c r="AB275" s="204" t="n"/>
      <c r="AC275" s="204" t="n"/>
      <c r="AD275" s="204" t="n"/>
      <c r="AE275" s="204" t="n"/>
      <c r="AF275" s="204" t="n"/>
      <c r="AG275" s="204" t="n"/>
    </row>
    <row r="276" ht="12.75" customHeight="1" s="205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  <c r="S276" s="204" t="n"/>
      <c r="T276" s="204" t="n"/>
      <c r="U276" s="204" t="n"/>
      <c r="V276" s="204" t="n"/>
      <c r="W276" s="204" t="n"/>
      <c r="X276" s="204" t="n"/>
      <c r="Y276" s="204" t="n"/>
      <c r="Z276" s="204" t="n"/>
      <c r="AA276" s="204" t="n"/>
      <c r="AB276" s="204" t="n"/>
      <c r="AC276" s="204" t="n"/>
      <c r="AD276" s="204" t="n"/>
      <c r="AE276" s="204" t="n"/>
      <c r="AF276" s="204" t="n"/>
      <c r="AG276" s="204" t="n"/>
    </row>
    <row r="277" ht="12.75" customHeight="1" s="205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  <c r="S277" s="204" t="n"/>
      <c r="T277" s="204" t="n"/>
      <c r="U277" s="204" t="n"/>
      <c r="V277" s="204" t="n"/>
      <c r="W277" s="204" t="n"/>
      <c r="X277" s="204" t="n"/>
      <c r="Y277" s="204" t="n"/>
      <c r="Z277" s="204" t="n"/>
      <c r="AA277" s="204" t="n"/>
      <c r="AB277" s="204" t="n"/>
      <c r="AC277" s="204" t="n"/>
      <c r="AD277" s="204" t="n"/>
      <c r="AE277" s="204" t="n"/>
      <c r="AF277" s="204" t="n"/>
      <c r="AG277" s="204" t="n"/>
    </row>
    <row r="278" ht="12.75" customHeight="1" s="205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  <c r="S278" s="204" t="n"/>
      <c r="T278" s="204" t="n"/>
      <c r="U278" s="204" t="n"/>
      <c r="V278" s="204" t="n"/>
      <c r="W278" s="204" t="n"/>
      <c r="X278" s="204" t="n"/>
      <c r="Y278" s="204" t="n"/>
      <c r="Z278" s="204" t="n"/>
      <c r="AA278" s="204" t="n"/>
      <c r="AB278" s="204" t="n"/>
      <c r="AC278" s="204" t="n"/>
      <c r="AD278" s="204" t="n"/>
      <c r="AE278" s="204" t="n"/>
      <c r="AF278" s="204" t="n"/>
      <c r="AG278" s="204" t="n"/>
    </row>
    <row r="279" ht="12.75" customHeight="1" s="205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  <c r="S279" s="204" t="n"/>
      <c r="T279" s="204" t="n"/>
      <c r="U279" s="204" t="n"/>
      <c r="V279" s="204" t="n"/>
      <c r="W279" s="204" t="n"/>
      <c r="X279" s="204" t="n"/>
      <c r="Y279" s="204" t="n"/>
      <c r="Z279" s="204" t="n"/>
      <c r="AA279" s="204" t="n"/>
      <c r="AB279" s="204" t="n"/>
      <c r="AC279" s="204" t="n"/>
      <c r="AD279" s="204" t="n"/>
      <c r="AE279" s="204" t="n"/>
      <c r="AF279" s="204" t="n"/>
      <c r="AG279" s="204" t="n"/>
    </row>
    <row r="280" ht="12.75" customHeight="1" s="205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  <c r="S280" s="204" t="n"/>
      <c r="T280" s="204" t="n"/>
      <c r="U280" s="204" t="n"/>
      <c r="V280" s="204" t="n"/>
      <c r="W280" s="204" t="n"/>
      <c r="X280" s="204" t="n"/>
      <c r="Y280" s="204" t="n"/>
      <c r="Z280" s="204" t="n"/>
      <c r="AA280" s="204" t="n"/>
      <c r="AB280" s="204" t="n"/>
      <c r="AC280" s="204" t="n"/>
      <c r="AD280" s="204" t="n"/>
      <c r="AE280" s="204" t="n"/>
      <c r="AF280" s="204" t="n"/>
      <c r="AG280" s="204" t="n"/>
    </row>
    <row r="281" ht="12.75" customHeight="1" s="205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  <c r="S281" s="204" t="n"/>
      <c r="T281" s="204" t="n"/>
      <c r="U281" s="204" t="n"/>
      <c r="V281" s="204" t="n"/>
      <c r="W281" s="204" t="n"/>
      <c r="X281" s="204" t="n"/>
      <c r="Y281" s="204" t="n"/>
      <c r="Z281" s="204" t="n"/>
      <c r="AA281" s="204" t="n"/>
      <c r="AB281" s="204" t="n"/>
      <c r="AC281" s="204" t="n"/>
      <c r="AD281" s="204" t="n"/>
      <c r="AE281" s="204" t="n"/>
      <c r="AF281" s="204" t="n"/>
      <c r="AG281" s="204" t="n"/>
    </row>
    <row r="282" ht="12.75" customHeight="1" s="205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  <c r="S282" s="204" t="n"/>
      <c r="T282" s="204" t="n"/>
      <c r="U282" s="204" t="n"/>
      <c r="V282" s="204" t="n"/>
      <c r="W282" s="204" t="n"/>
      <c r="X282" s="204" t="n"/>
      <c r="Y282" s="204" t="n"/>
      <c r="Z282" s="204" t="n"/>
      <c r="AA282" s="204" t="n"/>
      <c r="AB282" s="204" t="n"/>
      <c r="AC282" s="204" t="n"/>
      <c r="AD282" s="204" t="n"/>
      <c r="AE282" s="204" t="n"/>
      <c r="AF282" s="204" t="n"/>
      <c r="AG282" s="204" t="n"/>
    </row>
    <row r="283" ht="12.75" customHeight="1" s="205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  <c r="S283" s="204" t="n"/>
      <c r="T283" s="204" t="n"/>
      <c r="U283" s="204" t="n"/>
      <c r="V283" s="204" t="n"/>
      <c r="W283" s="204" t="n"/>
      <c r="X283" s="204" t="n"/>
      <c r="Y283" s="204" t="n"/>
      <c r="Z283" s="204" t="n"/>
      <c r="AA283" s="204" t="n"/>
      <c r="AB283" s="204" t="n"/>
      <c r="AC283" s="204" t="n"/>
      <c r="AD283" s="204" t="n"/>
      <c r="AE283" s="204" t="n"/>
      <c r="AF283" s="204" t="n"/>
      <c r="AG283" s="204" t="n"/>
    </row>
    <row r="284" ht="12.75" customHeight="1" s="205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  <c r="S284" s="204" t="n"/>
      <c r="T284" s="204" t="n"/>
      <c r="U284" s="204" t="n"/>
      <c r="V284" s="204" t="n"/>
      <c r="W284" s="204" t="n"/>
      <c r="X284" s="204" t="n"/>
      <c r="Y284" s="204" t="n"/>
      <c r="Z284" s="204" t="n"/>
      <c r="AA284" s="204" t="n"/>
      <c r="AB284" s="204" t="n"/>
      <c r="AC284" s="204" t="n"/>
      <c r="AD284" s="204" t="n"/>
      <c r="AE284" s="204" t="n"/>
      <c r="AF284" s="204" t="n"/>
      <c r="AG284" s="204" t="n"/>
    </row>
    <row r="285" ht="12.75" customHeight="1" s="205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  <c r="S285" s="204" t="n"/>
      <c r="T285" s="204" t="n"/>
      <c r="U285" s="204" t="n"/>
      <c r="V285" s="204" t="n"/>
      <c r="W285" s="204" t="n"/>
      <c r="X285" s="204" t="n"/>
      <c r="Y285" s="204" t="n"/>
      <c r="Z285" s="204" t="n"/>
      <c r="AA285" s="204" t="n"/>
      <c r="AB285" s="204" t="n"/>
      <c r="AC285" s="204" t="n"/>
      <c r="AD285" s="204" t="n"/>
      <c r="AE285" s="204" t="n"/>
      <c r="AF285" s="204" t="n"/>
      <c r="AG285" s="204" t="n"/>
    </row>
    <row r="286" ht="12.75" customHeight="1" s="205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  <c r="S286" s="204" t="n"/>
      <c r="T286" s="204" t="n"/>
      <c r="U286" s="204" t="n"/>
      <c r="V286" s="204" t="n"/>
      <c r="W286" s="204" t="n"/>
      <c r="X286" s="204" t="n"/>
      <c r="Y286" s="204" t="n"/>
      <c r="Z286" s="204" t="n"/>
      <c r="AA286" s="204" t="n"/>
      <c r="AB286" s="204" t="n"/>
      <c r="AC286" s="204" t="n"/>
      <c r="AD286" s="204" t="n"/>
      <c r="AE286" s="204" t="n"/>
      <c r="AF286" s="204" t="n"/>
      <c r="AG286" s="204" t="n"/>
    </row>
    <row r="287" ht="12.75" customHeight="1" s="205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  <c r="S287" s="204" t="n"/>
      <c r="T287" s="204" t="n"/>
      <c r="U287" s="204" t="n"/>
      <c r="V287" s="204" t="n"/>
      <c r="W287" s="204" t="n"/>
      <c r="X287" s="204" t="n"/>
      <c r="Y287" s="204" t="n"/>
      <c r="Z287" s="204" t="n"/>
      <c r="AA287" s="204" t="n"/>
      <c r="AB287" s="204" t="n"/>
      <c r="AC287" s="204" t="n"/>
      <c r="AD287" s="204" t="n"/>
      <c r="AE287" s="204" t="n"/>
      <c r="AF287" s="204" t="n"/>
      <c r="AG287" s="204" t="n"/>
    </row>
    <row r="288" ht="12.75" customHeight="1" s="205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  <c r="S288" s="204" t="n"/>
      <c r="T288" s="204" t="n"/>
      <c r="U288" s="204" t="n"/>
      <c r="V288" s="204" t="n"/>
      <c r="W288" s="204" t="n"/>
      <c r="X288" s="204" t="n"/>
      <c r="Y288" s="204" t="n"/>
      <c r="Z288" s="204" t="n"/>
      <c r="AA288" s="204" t="n"/>
      <c r="AB288" s="204" t="n"/>
      <c r="AC288" s="204" t="n"/>
      <c r="AD288" s="204" t="n"/>
      <c r="AE288" s="204" t="n"/>
      <c r="AF288" s="204" t="n"/>
      <c r="AG288" s="204" t="n"/>
    </row>
    <row r="289" ht="12.75" customHeight="1" s="205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  <c r="S289" s="204" t="n"/>
      <c r="T289" s="204" t="n"/>
      <c r="U289" s="204" t="n"/>
      <c r="V289" s="204" t="n"/>
      <c r="W289" s="204" t="n"/>
      <c r="X289" s="204" t="n"/>
      <c r="Y289" s="204" t="n"/>
      <c r="Z289" s="204" t="n"/>
      <c r="AA289" s="204" t="n"/>
      <c r="AB289" s="204" t="n"/>
      <c r="AC289" s="204" t="n"/>
      <c r="AD289" s="204" t="n"/>
      <c r="AE289" s="204" t="n"/>
      <c r="AF289" s="204" t="n"/>
      <c r="AG289" s="204" t="n"/>
    </row>
    <row r="290" ht="12.75" customHeight="1" s="205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  <c r="S290" s="204" t="n"/>
      <c r="T290" s="204" t="n"/>
      <c r="U290" s="204" t="n"/>
      <c r="V290" s="204" t="n"/>
      <c r="W290" s="204" t="n"/>
      <c r="X290" s="204" t="n"/>
      <c r="Y290" s="204" t="n"/>
      <c r="Z290" s="204" t="n"/>
      <c r="AA290" s="204" t="n"/>
      <c r="AB290" s="204" t="n"/>
      <c r="AC290" s="204" t="n"/>
      <c r="AD290" s="204" t="n"/>
      <c r="AE290" s="204" t="n"/>
      <c r="AF290" s="204" t="n"/>
      <c r="AG290" s="204" t="n"/>
    </row>
    <row r="291" ht="12.75" customHeight="1" s="205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  <c r="S291" s="204" t="n"/>
      <c r="T291" s="204" t="n"/>
      <c r="U291" s="204" t="n"/>
      <c r="V291" s="204" t="n"/>
      <c r="W291" s="204" t="n"/>
      <c r="X291" s="204" t="n"/>
      <c r="Y291" s="204" t="n"/>
      <c r="Z291" s="204" t="n"/>
      <c r="AA291" s="204" t="n"/>
      <c r="AB291" s="204" t="n"/>
      <c r="AC291" s="204" t="n"/>
      <c r="AD291" s="204" t="n"/>
      <c r="AE291" s="204" t="n"/>
      <c r="AF291" s="204" t="n"/>
      <c r="AG291" s="204" t="n"/>
    </row>
    <row r="292" ht="12.75" customHeight="1" s="205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  <c r="S292" s="204" t="n"/>
      <c r="T292" s="204" t="n"/>
      <c r="U292" s="204" t="n"/>
      <c r="V292" s="204" t="n"/>
      <c r="W292" s="204" t="n"/>
      <c r="X292" s="204" t="n"/>
      <c r="Y292" s="204" t="n"/>
      <c r="Z292" s="204" t="n"/>
      <c r="AA292" s="204" t="n"/>
      <c r="AB292" s="204" t="n"/>
      <c r="AC292" s="204" t="n"/>
      <c r="AD292" s="204" t="n"/>
      <c r="AE292" s="204" t="n"/>
      <c r="AF292" s="204" t="n"/>
      <c r="AG292" s="204" t="n"/>
    </row>
    <row r="293" ht="12.75" customHeight="1" s="205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  <c r="S293" s="204" t="n"/>
      <c r="T293" s="204" t="n"/>
      <c r="U293" s="204" t="n"/>
      <c r="V293" s="204" t="n"/>
      <c r="W293" s="204" t="n"/>
      <c r="X293" s="204" t="n"/>
      <c r="Y293" s="204" t="n"/>
      <c r="Z293" s="204" t="n"/>
      <c r="AA293" s="204" t="n"/>
      <c r="AB293" s="204" t="n"/>
      <c r="AC293" s="204" t="n"/>
      <c r="AD293" s="204" t="n"/>
      <c r="AE293" s="204" t="n"/>
      <c r="AF293" s="204" t="n"/>
      <c r="AG293" s="204" t="n"/>
    </row>
    <row r="294" ht="12.75" customHeight="1" s="205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  <c r="S294" s="204" t="n"/>
      <c r="T294" s="204" t="n"/>
      <c r="U294" s="204" t="n"/>
      <c r="V294" s="204" t="n"/>
      <c r="W294" s="204" t="n"/>
      <c r="X294" s="204" t="n"/>
      <c r="Y294" s="204" t="n"/>
      <c r="Z294" s="204" t="n"/>
      <c r="AA294" s="204" t="n"/>
      <c r="AB294" s="204" t="n"/>
      <c r="AC294" s="204" t="n"/>
      <c r="AD294" s="204" t="n"/>
      <c r="AE294" s="204" t="n"/>
      <c r="AF294" s="204" t="n"/>
      <c r="AG294" s="204" t="n"/>
    </row>
    <row r="295" ht="12.75" customHeight="1" s="205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  <c r="S295" s="204" t="n"/>
      <c r="T295" s="204" t="n"/>
      <c r="U295" s="204" t="n"/>
      <c r="V295" s="204" t="n"/>
      <c r="W295" s="204" t="n"/>
      <c r="X295" s="204" t="n"/>
      <c r="Y295" s="204" t="n"/>
      <c r="Z295" s="204" t="n"/>
      <c r="AA295" s="204" t="n"/>
      <c r="AB295" s="204" t="n"/>
      <c r="AC295" s="204" t="n"/>
      <c r="AD295" s="204" t="n"/>
      <c r="AE295" s="204" t="n"/>
      <c r="AF295" s="204" t="n"/>
      <c r="AG295" s="204" t="n"/>
    </row>
    <row r="296" ht="12.75" customHeight="1" s="205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  <c r="S296" s="204" t="n"/>
      <c r="T296" s="204" t="n"/>
      <c r="U296" s="204" t="n"/>
      <c r="V296" s="204" t="n"/>
      <c r="W296" s="204" t="n"/>
      <c r="X296" s="204" t="n"/>
      <c r="Y296" s="204" t="n"/>
      <c r="Z296" s="204" t="n"/>
      <c r="AA296" s="204" t="n"/>
      <c r="AB296" s="204" t="n"/>
      <c r="AC296" s="204" t="n"/>
      <c r="AD296" s="204" t="n"/>
      <c r="AE296" s="204" t="n"/>
      <c r="AF296" s="204" t="n"/>
      <c r="AG296" s="204" t="n"/>
    </row>
    <row r="297" ht="12.75" customHeight="1" s="205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  <c r="S297" s="204" t="n"/>
      <c r="T297" s="204" t="n"/>
      <c r="U297" s="204" t="n"/>
      <c r="V297" s="204" t="n"/>
      <c r="W297" s="204" t="n"/>
      <c r="X297" s="204" t="n"/>
      <c r="Y297" s="204" t="n"/>
      <c r="Z297" s="204" t="n"/>
      <c r="AA297" s="204" t="n"/>
      <c r="AB297" s="204" t="n"/>
      <c r="AC297" s="204" t="n"/>
      <c r="AD297" s="204" t="n"/>
      <c r="AE297" s="204" t="n"/>
      <c r="AF297" s="204" t="n"/>
      <c r="AG297" s="204" t="n"/>
    </row>
    <row r="298" ht="12.75" customHeight="1" s="205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  <c r="S298" s="204" t="n"/>
      <c r="T298" s="204" t="n"/>
      <c r="U298" s="204" t="n"/>
      <c r="V298" s="204" t="n"/>
      <c r="W298" s="204" t="n"/>
      <c r="X298" s="204" t="n"/>
      <c r="Y298" s="204" t="n"/>
      <c r="Z298" s="204" t="n"/>
      <c r="AA298" s="204" t="n"/>
      <c r="AB298" s="204" t="n"/>
      <c r="AC298" s="204" t="n"/>
      <c r="AD298" s="204" t="n"/>
      <c r="AE298" s="204" t="n"/>
      <c r="AF298" s="204" t="n"/>
      <c r="AG298" s="204" t="n"/>
    </row>
    <row r="299" ht="12.75" customHeight="1" s="205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  <c r="S299" s="204" t="n"/>
      <c r="T299" s="204" t="n"/>
      <c r="U299" s="204" t="n"/>
      <c r="V299" s="204" t="n"/>
      <c r="W299" s="204" t="n"/>
      <c r="X299" s="204" t="n"/>
      <c r="Y299" s="204" t="n"/>
      <c r="Z299" s="204" t="n"/>
      <c r="AA299" s="204" t="n"/>
      <c r="AB299" s="204" t="n"/>
      <c r="AC299" s="204" t="n"/>
      <c r="AD299" s="204" t="n"/>
      <c r="AE299" s="204" t="n"/>
      <c r="AF299" s="204" t="n"/>
      <c r="AG299" s="204" t="n"/>
    </row>
    <row r="300" ht="12.75" customHeight="1" s="205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  <c r="S300" s="204" t="n"/>
      <c r="T300" s="204" t="n"/>
      <c r="U300" s="204" t="n"/>
      <c r="V300" s="204" t="n"/>
      <c r="W300" s="204" t="n"/>
      <c r="X300" s="204" t="n"/>
      <c r="Y300" s="204" t="n"/>
      <c r="Z300" s="204" t="n"/>
      <c r="AA300" s="204" t="n"/>
      <c r="AB300" s="204" t="n"/>
      <c r="AC300" s="204" t="n"/>
      <c r="AD300" s="204" t="n"/>
      <c r="AE300" s="204" t="n"/>
      <c r="AF300" s="204" t="n"/>
      <c r="AG300" s="204" t="n"/>
    </row>
    <row r="301" ht="12.75" customHeight="1" s="205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  <c r="S301" s="204" t="n"/>
      <c r="T301" s="204" t="n"/>
      <c r="U301" s="204" t="n"/>
      <c r="V301" s="204" t="n"/>
      <c r="W301" s="204" t="n"/>
      <c r="X301" s="204" t="n"/>
      <c r="Y301" s="204" t="n"/>
      <c r="Z301" s="204" t="n"/>
      <c r="AA301" s="204" t="n"/>
      <c r="AB301" s="204" t="n"/>
      <c r="AC301" s="204" t="n"/>
      <c r="AD301" s="204" t="n"/>
      <c r="AE301" s="204" t="n"/>
      <c r="AF301" s="204" t="n"/>
      <c r="AG301" s="204" t="n"/>
    </row>
    <row r="302" ht="12.75" customHeight="1" s="205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  <c r="S302" s="204" t="n"/>
      <c r="T302" s="204" t="n"/>
      <c r="U302" s="204" t="n"/>
      <c r="V302" s="204" t="n"/>
      <c r="W302" s="204" t="n"/>
      <c r="X302" s="204" t="n"/>
      <c r="Y302" s="204" t="n"/>
      <c r="Z302" s="204" t="n"/>
      <c r="AA302" s="204" t="n"/>
      <c r="AB302" s="204" t="n"/>
      <c r="AC302" s="204" t="n"/>
      <c r="AD302" s="204" t="n"/>
      <c r="AE302" s="204" t="n"/>
      <c r="AF302" s="204" t="n"/>
      <c r="AG302" s="204" t="n"/>
    </row>
    <row r="303" ht="12.75" customHeight="1" s="205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  <c r="S303" s="204" t="n"/>
      <c r="T303" s="204" t="n"/>
      <c r="U303" s="204" t="n"/>
      <c r="V303" s="204" t="n"/>
      <c r="W303" s="204" t="n"/>
      <c r="X303" s="204" t="n"/>
      <c r="Y303" s="204" t="n"/>
      <c r="Z303" s="204" t="n"/>
      <c r="AA303" s="204" t="n"/>
      <c r="AB303" s="204" t="n"/>
      <c r="AC303" s="204" t="n"/>
      <c r="AD303" s="204" t="n"/>
      <c r="AE303" s="204" t="n"/>
      <c r="AF303" s="204" t="n"/>
      <c r="AG303" s="204" t="n"/>
    </row>
    <row r="304" ht="12.75" customHeight="1" s="205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  <c r="S304" s="204" t="n"/>
      <c r="T304" s="204" t="n"/>
      <c r="U304" s="204" t="n"/>
      <c r="V304" s="204" t="n"/>
      <c r="W304" s="204" t="n"/>
      <c r="X304" s="204" t="n"/>
      <c r="Y304" s="204" t="n"/>
      <c r="Z304" s="204" t="n"/>
      <c r="AA304" s="204" t="n"/>
      <c r="AB304" s="204" t="n"/>
      <c r="AC304" s="204" t="n"/>
      <c r="AD304" s="204" t="n"/>
      <c r="AE304" s="204" t="n"/>
      <c r="AF304" s="204" t="n"/>
      <c r="AG304" s="204" t="n"/>
    </row>
    <row r="305" ht="12.75" customHeight="1" s="205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  <c r="S305" s="204" t="n"/>
      <c r="T305" s="204" t="n"/>
      <c r="U305" s="204" t="n"/>
      <c r="V305" s="204" t="n"/>
      <c r="W305" s="204" t="n"/>
      <c r="X305" s="204" t="n"/>
      <c r="Y305" s="204" t="n"/>
      <c r="Z305" s="204" t="n"/>
      <c r="AA305" s="204" t="n"/>
      <c r="AB305" s="204" t="n"/>
      <c r="AC305" s="204" t="n"/>
      <c r="AD305" s="204" t="n"/>
      <c r="AE305" s="204" t="n"/>
      <c r="AF305" s="204" t="n"/>
      <c r="AG305" s="204" t="n"/>
    </row>
    <row r="306" ht="12.75" customHeight="1" s="205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  <c r="S306" s="204" t="n"/>
      <c r="T306" s="204" t="n"/>
      <c r="U306" s="204" t="n"/>
      <c r="V306" s="204" t="n"/>
      <c r="W306" s="204" t="n"/>
      <c r="X306" s="204" t="n"/>
      <c r="Y306" s="204" t="n"/>
      <c r="Z306" s="204" t="n"/>
      <c r="AA306" s="204" t="n"/>
      <c r="AB306" s="204" t="n"/>
      <c r="AC306" s="204" t="n"/>
      <c r="AD306" s="204" t="n"/>
      <c r="AE306" s="204" t="n"/>
      <c r="AF306" s="204" t="n"/>
      <c r="AG306" s="204" t="n"/>
    </row>
    <row r="307" ht="12.75" customHeight="1" s="205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  <c r="S307" s="204" t="n"/>
      <c r="T307" s="204" t="n"/>
      <c r="U307" s="204" t="n"/>
      <c r="V307" s="204" t="n"/>
      <c r="W307" s="204" t="n"/>
      <c r="X307" s="204" t="n"/>
      <c r="Y307" s="204" t="n"/>
      <c r="Z307" s="204" t="n"/>
      <c r="AA307" s="204" t="n"/>
      <c r="AB307" s="204" t="n"/>
      <c r="AC307" s="204" t="n"/>
      <c r="AD307" s="204" t="n"/>
      <c r="AE307" s="204" t="n"/>
      <c r="AF307" s="204" t="n"/>
      <c r="AG307" s="204" t="n"/>
    </row>
    <row r="308" ht="12.75" customHeight="1" s="205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  <c r="S308" s="204" t="n"/>
      <c r="T308" s="204" t="n"/>
      <c r="U308" s="204" t="n"/>
      <c r="V308" s="204" t="n"/>
      <c r="W308" s="204" t="n"/>
      <c r="X308" s="204" t="n"/>
      <c r="Y308" s="204" t="n"/>
      <c r="Z308" s="204" t="n"/>
      <c r="AA308" s="204" t="n"/>
      <c r="AB308" s="204" t="n"/>
      <c r="AC308" s="204" t="n"/>
      <c r="AD308" s="204" t="n"/>
      <c r="AE308" s="204" t="n"/>
      <c r="AF308" s="204" t="n"/>
      <c r="AG308" s="204" t="n"/>
    </row>
    <row r="309" ht="12.75" customHeight="1" s="205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  <c r="S309" s="204" t="n"/>
      <c r="T309" s="204" t="n"/>
      <c r="U309" s="204" t="n"/>
      <c r="V309" s="204" t="n"/>
      <c r="W309" s="204" t="n"/>
      <c r="X309" s="204" t="n"/>
      <c r="Y309" s="204" t="n"/>
      <c r="Z309" s="204" t="n"/>
      <c r="AA309" s="204" t="n"/>
      <c r="AB309" s="204" t="n"/>
      <c r="AC309" s="204" t="n"/>
      <c r="AD309" s="204" t="n"/>
      <c r="AE309" s="204" t="n"/>
      <c r="AF309" s="204" t="n"/>
      <c r="AG309" s="204" t="n"/>
    </row>
    <row r="310" ht="12.75" customHeight="1" s="205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  <c r="S310" s="204" t="n"/>
      <c r="T310" s="204" t="n"/>
      <c r="U310" s="204" t="n"/>
      <c r="V310" s="204" t="n"/>
      <c r="W310" s="204" t="n"/>
      <c r="X310" s="204" t="n"/>
      <c r="Y310" s="204" t="n"/>
      <c r="Z310" s="204" t="n"/>
      <c r="AA310" s="204" t="n"/>
      <c r="AB310" s="204" t="n"/>
      <c r="AC310" s="204" t="n"/>
      <c r="AD310" s="204" t="n"/>
      <c r="AE310" s="204" t="n"/>
      <c r="AF310" s="204" t="n"/>
      <c r="AG310" s="204" t="n"/>
    </row>
    <row r="311" ht="12.75" customHeight="1" s="205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  <c r="S311" s="204" t="n"/>
      <c r="T311" s="204" t="n"/>
      <c r="U311" s="204" t="n"/>
      <c r="V311" s="204" t="n"/>
      <c r="W311" s="204" t="n"/>
      <c r="X311" s="204" t="n"/>
      <c r="Y311" s="204" t="n"/>
      <c r="Z311" s="204" t="n"/>
      <c r="AA311" s="204" t="n"/>
      <c r="AB311" s="204" t="n"/>
      <c r="AC311" s="204" t="n"/>
      <c r="AD311" s="204" t="n"/>
      <c r="AE311" s="204" t="n"/>
      <c r="AF311" s="204" t="n"/>
      <c r="AG311" s="204" t="n"/>
    </row>
    <row r="312" ht="12.75" customHeight="1" s="205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  <c r="S312" s="204" t="n"/>
      <c r="T312" s="204" t="n"/>
      <c r="U312" s="204" t="n"/>
      <c r="V312" s="204" t="n"/>
      <c r="W312" s="204" t="n"/>
      <c r="X312" s="204" t="n"/>
      <c r="Y312" s="204" t="n"/>
      <c r="Z312" s="204" t="n"/>
      <c r="AA312" s="204" t="n"/>
      <c r="AB312" s="204" t="n"/>
      <c r="AC312" s="204" t="n"/>
      <c r="AD312" s="204" t="n"/>
      <c r="AE312" s="204" t="n"/>
      <c r="AF312" s="204" t="n"/>
      <c r="AG312" s="204" t="n"/>
    </row>
    <row r="313" ht="12.75" customHeight="1" s="205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  <c r="S313" s="204" t="n"/>
      <c r="T313" s="204" t="n"/>
      <c r="U313" s="204" t="n"/>
      <c r="V313" s="204" t="n"/>
      <c r="W313" s="204" t="n"/>
      <c r="X313" s="204" t="n"/>
      <c r="Y313" s="204" t="n"/>
      <c r="Z313" s="204" t="n"/>
      <c r="AA313" s="204" t="n"/>
      <c r="AB313" s="204" t="n"/>
      <c r="AC313" s="204" t="n"/>
      <c r="AD313" s="204" t="n"/>
      <c r="AE313" s="204" t="n"/>
      <c r="AF313" s="204" t="n"/>
      <c r="AG313" s="204" t="n"/>
    </row>
    <row r="314" ht="12.75" customHeight="1" s="205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  <c r="S314" s="204" t="n"/>
      <c r="T314" s="204" t="n"/>
      <c r="U314" s="204" t="n"/>
      <c r="V314" s="204" t="n"/>
      <c r="W314" s="204" t="n"/>
      <c r="X314" s="204" t="n"/>
      <c r="Y314" s="204" t="n"/>
      <c r="Z314" s="204" t="n"/>
      <c r="AA314" s="204" t="n"/>
      <c r="AB314" s="204" t="n"/>
      <c r="AC314" s="204" t="n"/>
      <c r="AD314" s="204" t="n"/>
      <c r="AE314" s="204" t="n"/>
      <c r="AF314" s="204" t="n"/>
      <c r="AG314" s="204" t="n"/>
    </row>
    <row r="315" ht="12.75" customHeight="1" s="205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  <c r="S315" s="204" t="n"/>
      <c r="T315" s="204" t="n"/>
      <c r="U315" s="204" t="n"/>
      <c r="V315" s="204" t="n"/>
      <c r="W315" s="204" t="n"/>
      <c r="X315" s="204" t="n"/>
      <c r="Y315" s="204" t="n"/>
      <c r="Z315" s="204" t="n"/>
      <c r="AA315" s="204" t="n"/>
      <c r="AB315" s="204" t="n"/>
      <c r="AC315" s="204" t="n"/>
      <c r="AD315" s="204" t="n"/>
      <c r="AE315" s="204" t="n"/>
      <c r="AF315" s="204" t="n"/>
      <c r="AG315" s="204" t="n"/>
    </row>
    <row r="316" ht="12.75" customHeight="1" s="205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  <c r="S316" s="204" t="n"/>
      <c r="T316" s="204" t="n"/>
      <c r="U316" s="204" t="n"/>
      <c r="V316" s="204" t="n"/>
      <c r="W316" s="204" t="n"/>
      <c r="X316" s="204" t="n"/>
      <c r="Y316" s="204" t="n"/>
      <c r="Z316" s="204" t="n"/>
      <c r="AA316" s="204" t="n"/>
      <c r="AB316" s="204" t="n"/>
      <c r="AC316" s="204" t="n"/>
      <c r="AD316" s="204" t="n"/>
      <c r="AE316" s="204" t="n"/>
      <c r="AF316" s="204" t="n"/>
      <c r="AG316" s="204" t="n"/>
    </row>
    <row r="317" ht="12.75" customHeight="1" s="205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  <c r="S317" s="204" t="n"/>
      <c r="T317" s="204" t="n"/>
      <c r="U317" s="204" t="n"/>
      <c r="V317" s="204" t="n"/>
      <c r="W317" s="204" t="n"/>
      <c r="X317" s="204" t="n"/>
      <c r="Y317" s="204" t="n"/>
      <c r="Z317" s="204" t="n"/>
      <c r="AA317" s="204" t="n"/>
      <c r="AB317" s="204" t="n"/>
      <c r="AC317" s="204" t="n"/>
      <c r="AD317" s="204" t="n"/>
      <c r="AE317" s="204" t="n"/>
      <c r="AF317" s="204" t="n"/>
      <c r="AG317" s="204" t="n"/>
    </row>
    <row r="318" ht="12.75" customHeight="1" s="205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  <c r="S318" s="204" t="n"/>
      <c r="T318" s="204" t="n"/>
      <c r="U318" s="204" t="n"/>
      <c r="V318" s="204" t="n"/>
      <c r="W318" s="204" t="n"/>
      <c r="X318" s="204" t="n"/>
      <c r="Y318" s="204" t="n"/>
      <c r="Z318" s="204" t="n"/>
      <c r="AA318" s="204" t="n"/>
      <c r="AB318" s="204" t="n"/>
      <c r="AC318" s="204" t="n"/>
      <c r="AD318" s="204" t="n"/>
      <c r="AE318" s="204" t="n"/>
      <c r="AF318" s="204" t="n"/>
      <c r="AG318" s="204" t="n"/>
    </row>
    <row r="319" ht="12.75" customHeight="1" s="205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  <c r="S319" s="204" t="n"/>
      <c r="T319" s="204" t="n"/>
      <c r="U319" s="204" t="n"/>
      <c r="V319" s="204" t="n"/>
      <c r="W319" s="204" t="n"/>
      <c r="X319" s="204" t="n"/>
      <c r="Y319" s="204" t="n"/>
      <c r="Z319" s="204" t="n"/>
      <c r="AA319" s="204" t="n"/>
      <c r="AB319" s="204" t="n"/>
      <c r="AC319" s="204" t="n"/>
      <c r="AD319" s="204" t="n"/>
      <c r="AE319" s="204" t="n"/>
      <c r="AF319" s="204" t="n"/>
      <c r="AG319" s="204" t="n"/>
    </row>
    <row r="320" ht="12.75" customHeight="1" s="205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  <c r="S320" s="204" t="n"/>
      <c r="T320" s="204" t="n"/>
      <c r="U320" s="204" t="n"/>
      <c r="V320" s="204" t="n"/>
      <c r="W320" s="204" t="n"/>
      <c r="X320" s="204" t="n"/>
      <c r="Y320" s="204" t="n"/>
      <c r="Z320" s="204" t="n"/>
      <c r="AA320" s="204" t="n"/>
      <c r="AB320" s="204" t="n"/>
      <c r="AC320" s="204" t="n"/>
      <c r="AD320" s="204" t="n"/>
      <c r="AE320" s="204" t="n"/>
      <c r="AF320" s="204" t="n"/>
      <c r="AG320" s="204" t="n"/>
    </row>
    <row r="321" ht="12.75" customHeight="1" s="205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  <c r="S321" s="204" t="n"/>
      <c r="T321" s="204" t="n"/>
      <c r="U321" s="204" t="n"/>
      <c r="V321" s="204" t="n"/>
      <c r="W321" s="204" t="n"/>
      <c r="X321" s="204" t="n"/>
      <c r="Y321" s="204" t="n"/>
      <c r="Z321" s="204" t="n"/>
      <c r="AA321" s="204" t="n"/>
      <c r="AB321" s="204" t="n"/>
      <c r="AC321" s="204" t="n"/>
      <c r="AD321" s="204" t="n"/>
      <c r="AE321" s="204" t="n"/>
      <c r="AF321" s="204" t="n"/>
      <c r="AG321" s="204" t="n"/>
    </row>
    <row r="322" ht="12.75" customHeight="1" s="205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  <c r="S322" s="204" t="n"/>
      <c r="T322" s="204" t="n"/>
      <c r="U322" s="204" t="n"/>
      <c r="V322" s="204" t="n"/>
      <c r="W322" s="204" t="n"/>
      <c r="X322" s="204" t="n"/>
      <c r="Y322" s="204" t="n"/>
      <c r="Z322" s="204" t="n"/>
      <c r="AA322" s="204" t="n"/>
      <c r="AB322" s="204" t="n"/>
      <c r="AC322" s="204" t="n"/>
      <c r="AD322" s="204" t="n"/>
      <c r="AE322" s="204" t="n"/>
      <c r="AF322" s="204" t="n"/>
      <c r="AG322" s="204" t="n"/>
    </row>
    <row r="323" ht="12.75" customHeight="1" s="205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  <c r="S323" s="204" t="n"/>
      <c r="T323" s="204" t="n"/>
      <c r="U323" s="204" t="n"/>
      <c r="V323" s="204" t="n"/>
      <c r="W323" s="204" t="n"/>
      <c r="X323" s="204" t="n"/>
      <c r="Y323" s="204" t="n"/>
      <c r="Z323" s="204" t="n"/>
      <c r="AA323" s="204" t="n"/>
      <c r="AB323" s="204" t="n"/>
      <c r="AC323" s="204" t="n"/>
      <c r="AD323" s="204" t="n"/>
      <c r="AE323" s="204" t="n"/>
      <c r="AF323" s="204" t="n"/>
      <c r="AG323" s="204" t="n"/>
    </row>
    <row r="324" ht="12.75" customHeight="1" s="205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  <c r="S324" s="204" t="n"/>
      <c r="T324" s="204" t="n"/>
      <c r="U324" s="204" t="n"/>
      <c r="V324" s="204" t="n"/>
      <c r="W324" s="204" t="n"/>
      <c r="X324" s="204" t="n"/>
      <c r="Y324" s="204" t="n"/>
      <c r="Z324" s="204" t="n"/>
      <c r="AA324" s="204" t="n"/>
      <c r="AB324" s="204" t="n"/>
      <c r="AC324" s="204" t="n"/>
      <c r="AD324" s="204" t="n"/>
      <c r="AE324" s="204" t="n"/>
      <c r="AF324" s="204" t="n"/>
      <c r="AG324" s="204" t="n"/>
    </row>
    <row r="325" ht="12.75" customHeight="1" s="205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  <c r="S325" s="204" t="n"/>
      <c r="T325" s="204" t="n"/>
      <c r="U325" s="204" t="n"/>
      <c r="V325" s="204" t="n"/>
      <c r="W325" s="204" t="n"/>
      <c r="X325" s="204" t="n"/>
      <c r="Y325" s="204" t="n"/>
      <c r="Z325" s="204" t="n"/>
      <c r="AA325" s="204" t="n"/>
      <c r="AB325" s="204" t="n"/>
      <c r="AC325" s="204" t="n"/>
      <c r="AD325" s="204" t="n"/>
      <c r="AE325" s="204" t="n"/>
      <c r="AF325" s="204" t="n"/>
      <c r="AG325" s="204" t="n"/>
    </row>
    <row r="326" ht="12.75" customHeight="1" s="205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  <c r="S326" s="204" t="n"/>
      <c r="T326" s="204" t="n"/>
      <c r="U326" s="204" t="n"/>
      <c r="V326" s="204" t="n"/>
      <c r="W326" s="204" t="n"/>
      <c r="X326" s="204" t="n"/>
      <c r="Y326" s="204" t="n"/>
      <c r="Z326" s="204" t="n"/>
      <c r="AA326" s="204" t="n"/>
      <c r="AB326" s="204" t="n"/>
      <c r="AC326" s="204" t="n"/>
      <c r="AD326" s="204" t="n"/>
      <c r="AE326" s="204" t="n"/>
      <c r="AF326" s="204" t="n"/>
      <c r="AG326" s="204" t="n"/>
    </row>
    <row r="327" ht="12.75" customHeight="1" s="205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  <c r="S327" s="204" t="n"/>
      <c r="T327" s="204" t="n"/>
      <c r="U327" s="204" t="n"/>
      <c r="V327" s="204" t="n"/>
      <c r="W327" s="204" t="n"/>
      <c r="X327" s="204" t="n"/>
      <c r="Y327" s="204" t="n"/>
      <c r="Z327" s="204" t="n"/>
      <c r="AA327" s="204" t="n"/>
      <c r="AB327" s="204" t="n"/>
      <c r="AC327" s="204" t="n"/>
      <c r="AD327" s="204" t="n"/>
      <c r="AE327" s="204" t="n"/>
      <c r="AF327" s="204" t="n"/>
      <c r="AG327" s="204" t="n"/>
    </row>
    <row r="328" ht="12.75" customHeight="1" s="205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  <c r="S328" s="204" t="n"/>
      <c r="T328" s="204" t="n"/>
      <c r="U328" s="204" t="n"/>
      <c r="V328" s="204" t="n"/>
      <c r="W328" s="204" t="n"/>
      <c r="X328" s="204" t="n"/>
      <c r="Y328" s="204" t="n"/>
      <c r="Z328" s="204" t="n"/>
      <c r="AA328" s="204" t="n"/>
      <c r="AB328" s="204" t="n"/>
      <c r="AC328" s="204" t="n"/>
      <c r="AD328" s="204" t="n"/>
      <c r="AE328" s="204" t="n"/>
      <c r="AF328" s="204" t="n"/>
      <c r="AG328" s="204" t="n"/>
    </row>
    <row r="329" ht="12.75" customHeight="1" s="205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  <c r="S329" s="204" t="n"/>
      <c r="T329" s="204" t="n"/>
      <c r="U329" s="204" t="n"/>
      <c r="V329" s="204" t="n"/>
      <c r="W329" s="204" t="n"/>
      <c r="X329" s="204" t="n"/>
      <c r="Y329" s="204" t="n"/>
      <c r="Z329" s="204" t="n"/>
      <c r="AA329" s="204" t="n"/>
      <c r="AB329" s="204" t="n"/>
      <c r="AC329" s="204" t="n"/>
      <c r="AD329" s="204" t="n"/>
      <c r="AE329" s="204" t="n"/>
      <c r="AF329" s="204" t="n"/>
      <c r="AG329" s="204" t="n"/>
    </row>
    <row r="330" ht="12.75" customHeight="1" s="205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  <c r="S330" s="204" t="n"/>
      <c r="T330" s="204" t="n"/>
      <c r="U330" s="204" t="n"/>
      <c r="V330" s="204" t="n"/>
      <c r="W330" s="204" t="n"/>
      <c r="X330" s="204" t="n"/>
      <c r="Y330" s="204" t="n"/>
      <c r="Z330" s="204" t="n"/>
      <c r="AA330" s="204" t="n"/>
      <c r="AB330" s="204" t="n"/>
      <c r="AC330" s="204" t="n"/>
      <c r="AD330" s="204" t="n"/>
      <c r="AE330" s="204" t="n"/>
      <c r="AF330" s="204" t="n"/>
      <c r="AG330" s="204" t="n"/>
    </row>
    <row r="331" ht="12.75" customHeight="1" s="205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  <c r="S331" s="204" t="n"/>
      <c r="T331" s="204" t="n"/>
      <c r="U331" s="204" t="n"/>
      <c r="V331" s="204" t="n"/>
      <c r="W331" s="204" t="n"/>
      <c r="X331" s="204" t="n"/>
      <c r="Y331" s="204" t="n"/>
      <c r="Z331" s="204" t="n"/>
      <c r="AA331" s="204" t="n"/>
      <c r="AB331" s="204" t="n"/>
      <c r="AC331" s="204" t="n"/>
      <c r="AD331" s="204" t="n"/>
      <c r="AE331" s="204" t="n"/>
      <c r="AF331" s="204" t="n"/>
      <c r="AG331" s="204" t="n"/>
    </row>
    <row r="332" ht="12.75" customHeight="1" s="205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  <c r="S332" s="204" t="n"/>
      <c r="T332" s="204" t="n"/>
      <c r="U332" s="204" t="n"/>
      <c r="V332" s="204" t="n"/>
      <c r="W332" s="204" t="n"/>
      <c r="X332" s="204" t="n"/>
      <c r="Y332" s="204" t="n"/>
      <c r="Z332" s="204" t="n"/>
      <c r="AA332" s="204" t="n"/>
      <c r="AB332" s="204" t="n"/>
      <c r="AC332" s="204" t="n"/>
      <c r="AD332" s="204" t="n"/>
      <c r="AE332" s="204" t="n"/>
      <c r="AF332" s="204" t="n"/>
      <c r="AG332" s="204" t="n"/>
    </row>
    <row r="333" ht="12.75" customHeight="1" s="205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  <c r="S333" s="204" t="n"/>
      <c r="T333" s="204" t="n"/>
      <c r="U333" s="204" t="n"/>
      <c r="V333" s="204" t="n"/>
      <c r="W333" s="204" t="n"/>
      <c r="X333" s="204" t="n"/>
      <c r="Y333" s="204" t="n"/>
      <c r="Z333" s="204" t="n"/>
      <c r="AA333" s="204" t="n"/>
      <c r="AB333" s="204" t="n"/>
      <c r="AC333" s="204" t="n"/>
      <c r="AD333" s="204" t="n"/>
      <c r="AE333" s="204" t="n"/>
      <c r="AF333" s="204" t="n"/>
      <c r="AG333" s="204" t="n"/>
    </row>
    <row r="334" ht="12.75" customHeight="1" s="205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  <c r="S334" s="204" t="n"/>
      <c r="T334" s="204" t="n"/>
      <c r="U334" s="204" t="n"/>
      <c r="V334" s="204" t="n"/>
      <c r="W334" s="204" t="n"/>
      <c r="X334" s="204" t="n"/>
      <c r="Y334" s="204" t="n"/>
      <c r="Z334" s="204" t="n"/>
      <c r="AA334" s="204" t="n"/>
      <c r="AB334" s="204" t="n"/>
      <c r="AC334" s="204" t="n"/>
      <c r="AD334" s="204" t="n"/>
      <c r="AE334" s="204" t="n"/>
      <c r="AF334" s="204" t="n"/>
      <c r="AG334" s="204" t="n"/>
    </row>
    <row r="335" ht="12.75" customHeight="1" s="205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  <c r="S335" s="204" t="n"/>
      <c r="T335" s="204" t="n"/>
      <c r="U335" s="204" t="n"/>
      <c r="V335" s="204" t="n"/>
      <c r="W335" s="204" t="n"/>
      <c r="X335" s="204" t="n"/>
      <c r="Y335" s="204" t="n"/>
      <c r="Z335" s="204" t="n"/>
      <c r="AA335" s="204" t="n"/>
      <c r="AB335" s="204" t="n"/>
      <c r="AC335" s="204" t="n"/>
      <c r="AD335" s="204" t="n"/>
      <c r="AE335" s="204" t="n"/>
      <c r="AF335" s="204" t="n"/>
      <c r="AG335" s="204" t="n"/>
    </row>
    <row r="336" ht="12.75" customHeight="1" s="205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  <c r="S336" s="204" t="n"/>
      <c r="T336" s="204" t="n"/>
      <c r="U336" s="204" t="n"/>
      <c r="V336" s="204" t="n"/>
      <c r="W336" s="204" t="n"/>
      <c r="X336" s="204" t="n"/>
      <c r="Y336" s="204" t="n"/>
      <c r="Z336" s="204" t="n"/>
      <c r="AA336" s="204" t="n"/>
      <c r="AB336" s="204" t="n"/>
      <c r="AC336" s="204" t="n"/>
      <c r="AD336" s="204" t="n"/>
      <c r="AE336" s="204" t="n"/>
      <c r="AF336" s="204" t="n"/>
      <c r="AG336" s="204" t="n"/>
    </row>
    <row r="337" ht="12.75" customHeight="1" s="205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  <c r="S337" s="204" t="n"/>
      <c r="T337" s="204" t="n"/>
      <c r="U337" s="204" t="n"/>
      <c r="V337" s="204" t="n"/>
      <c r="W337" s="204" t="n"/>
      <c r="X337" s="204" t="n"/>
      <c r="Y337" s="204" t="n"/>
      <c r="Z337" s="204" t="n"/>
      <c r="AA337" s="204" t="n"/>
      <c r="AB337" s="204" t="n"/>
      <c r="AC337" s="204" t="n"/>
      <c r="AD337" s="204" t="n"/>
      <c r="AE337" s="204" t="n"/>
      <c r="AF337" s="204" t="n"/>
      <c r="AG337" s="204" t="n"/>
    </row>
    <row r="338" ht="12.75" customHeight="1" s="205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  <c r="S338" s="204" t="n"/>
      <c r="T338" s="204" t="n"/>
      <c r="U338" s="204" t="n"/>
      <c r="V338" s="204" t="n"/>
      <c r="W338" s="204" t="n"/>
      <c r="X338" s="204" t="n"/>
      <c r="Y338" s="204" t="n"/>
      <c r="Z338" s="204" t="n"/>
      <c r="AA338" s="204" t="n"/>
      <c r="AB338" s="204" t="n"/>
      <c r="AC338" s="204" t="n"/>
      <c r="AD338" s="204" t="n"/>
      <c r="AE338" s="204" t="n"/>
      <c r="AF338" s="204" t="n"/>
      <c r="AG338" s="204" t="n"/>
    </row>
    <row r="339" ht="12.75" customHeight="1" s="205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  <c r="S339" s="204" t="n"/>
      <c r="T339" s="204" t="n"/>
      <c r="U339" s="204" t="n"/>
      <c r="V339" s="204" t="n"/>
      <c r="W339" s="204" t="n"/>
      <c r="X339" s="204" t="n"/>
      <c r="Y339" s="204" t="n"/>
      <c r="Z339" s="204" t="n"/>
      <c r="AA339" s="204" t="n"/>
      <c r="AB339" s="204" t="n"/>
      <c r="AC339" s="204" t="n"/>
      <c r="AD339" s="204" t="n"/>
      <c r="AE339" s="204" t="n"/>
      <c r="AF339" s="204" t="n"/>
      <c r="AG339" s="204" t="n"/>
    </row>
    <row r="340" ht="12.75" customHeight="1" s="205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  <c r="S340" s="204" t="n"/>
      <c r="T340" s="204" t="n"/>
      <c r="U340" s="204" t="n"/>
      <c r="V340" s="204" t="n"/>
      <c r="W340" s="204" t="n"/>
      <c r="X340" s="204" t="n"/>
      <c r="Y340" s="204" t="n"/>
      <c r="Z340" s="204" t="n"/>
      <c r="AA340" s="204" t="n"/>
      <c r="AB340" s="204" t="n"/>
      <c r="AC340" s="204" t="n"/>
      <c r="AD340" s="204" t="n"/>
      <c r="AE340" s="204" t="n"/>
      <c r="AF340" s="204" t="n"/>
      <c r="AG340" s="204" t="n"/>
    </row>
    <row r="341" ht="12.75" customHeight="1" s="205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  <c r="S341" s="204" t="n"/>
      <c r="T341" s="204" t="n"/>
      <c r="U341" s="204" t="n"/>
      <c r="V341" s="204" t="n"/>
      <c r="W341" s="204" t="n"/>
      <c r="X341" s="204" t="n"/>
      <c r="Y341" s="204" t="n"/>
      <c r="Z341" s="204" t="n"/>
      <c r="AA341" s="204" t="n"/>
      <c r="AB341" s="204" t="n"/>
      <c r="AC341" s="204" t="n"/>
      <c r="AD341" s="204" t="n"/>
      <c r="AE341" s="204" t="n"/>
      <c r="AF341" s="204" t="n"/>
      <c r="AG341" s="204" t="n"/>
    </row>
    <row r="342" ht="12.75" customHeight="1" s="205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  <c r="S342" s="204" t="n"/>
      <c r="T342" s="204" t="n"/>
      <c r="U342" s="204" t="n"/>
      <c r="V342" s="204" t="n"/>
      <c r="W342" s="204" t="n"/>
      <c r="X342" s="204" t="n"/>
      <c r="Y342" s="204" t="n"/>
      <c r="Z342" s="204" t="n"/>
      <c r="AA342" s="204" t="n"/>
      <c r="AB342" s="204" t="n"/>
      <c r="AC342" s="204" t="n"/>
      <c r="AD342" s="204" t="n"/>
      <c r="AE342" s="204" t="n"/>
      <c r="AF342" s="204" t="n"/>
      <c r="AG342" s="204" t="n"/>
    </row>
    <row r="343" ht="12.75" customHeight="1" s="205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  <c r="S343" s="204" t="n"/>
      <c r="T343" s="204" t="n"/>
      <c r="U343" s="204" t="n"/>
      <c r="V343" s="204" t="n"/>
      <c r="W343" s="204" t="n"/>
      <c r="X343" s="204" t="n"/>
      <c r="Y343" s="204" t="n"/>
      <c r="Z343" s="204" t="n"/>
      <c r="AA343" s="204" t="n"/>
      <c r="AB343" s="204" t="n"/>
      <c r="AC343" s="204" t="n"/>
      <c r="AD343" s="204" t="n"/>
      <c r="AE343" s="204" t="n"/>
      <c r="AF343" s="204" t="n"/>
      <c r="AG343" s="204" t="n"/>
    </row>
    <row r="344" ht="12.75" customHeight="1" s="205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  <c r="S344" s="204" t="n"/>
      <c r="T344" s="204" t="n"/>
      <c r="U344" s="204" t="n"/>
      <c r="V344" s="204" t="n"/>
      <c r="W344" s="204" t="n"/>
      <c r="X344" s="204" t="n"/>
      <c r="Y344" s="204" t="n"/>
      <c r="Z344" s="204" t="n"/>
      <c r="AA344" s="204" t="n"/>
      <c r="AB344" s="204" t="n"/>
      <c r="AC344" s="204" t="n"/>
      <c r="AD344" s="204" t="n"/>
      <c r="AE344" s="204" t="n"/>
      <c r="AF344" s="204" t="n"/>
      <c r="AG344" s="204" t="n"/>
    </row>
    <row r="345" ht="12.75" customHeight="1" s="205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  <c r="S345" s="204" t="n"/>
      <c r="T345" s="204" t="n"/>
      <c r="U345" s="204" t="n"/>
      <c r="V345" s="204" t="n"/>
      <c r="W345" s="204" t="n"/>
      <c r="X345" s="204" t="n"/>
      <c r="Y345" s="204" t="n"/>
      <c r="Z345" s="204" t="n"/>
      <c r="AA345" s="204" t="n"/>
      <c r="AB345" s="204" t="n"/>
      <c r="AC345" s="204" t="n"/>
      <c r="AD345" s="204" t="n"/>
      <c r="AE345" s="204" t="n"/>
      <c r="AF345" s="204" t="n"/>
      <c r="AG345" s="204" t="n"/>
    </row>
    <row r="346" ht="12.75" customHeight="1" s="205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  <c r="S346" s="204" t="n"/>
      <c r="T346" s="204" t="n"/>
      <c r="U346" s="204" t="n"/>
      <c r="V346" s="204" t="n"/>
      <c r="W346" s="204" t="n"/>
      <c r="X346" s="204" t="n"/>
      <c r="Y346" s="204" t="n"/>
      <c r="Z346" s="204" t="n"/>
      <c r="AA346" s="204" t="n"/>
      <c r="AB346" s="204" t="n"/>
      <c r="AC346" s="204" t="n"/>
      <c r="AD346" s="204" t="n"/>
      <c r="AE346" s="204" t="n"/>
      <c r="AF346" s="204" t="n"/>
      <c r="AG346" s="204" t="n"/>
    </row>
    <row r="347" ht="12.75" customHeight="1" s="205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  <c r="S347" s="204" t="n"/>
      <c r="T347" s="204" t="n"/>
      <c r="U347" s="204" t="n"/>
      <c r="V347" s="204" t="n"/>
      <c r="W347" s="204" t="n"/>
      <c r="X347" s="204" t="n"/>
      <c r="Y347" s="204" t="n"/>
      <c r="Z347" s="204" t="n"/>
      <c r="AA347" s="204" t="n"/>
      <c r="AB347" s="204" t="n"/>
      <c r="AC347" s="204" t="n"/>
      <c r="AD347" s="204" t="n"/>
      <c r="AE347" s="204" t="n"/>
      <c r="AF347" s="204" t="n"/>
      <c r="AG347" s="204" t="n"/>
    </row>
    <row r="348" ht="12.75" customHeight="1" s="205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  <c r="S348" s="204" t="n"/>
      <c r="T348" s="204" t="n"/>
      <c r="U348" s="204" t="n"/>
      <c r="V348" s="204" t="n"/>
      <c r="W348" s="204" t="n"/>
      <c r="X348" s="204" t="n"/>
      <c r="Y348" s="204" t="n"/>
      <c r="Z348" s="204" t="n"/>
      <c r="AA348" s="204" t="n"/>
      <c r="AB348" s="204" t="n"/>
      <c r="AC348" s="204" t="n"/>
      <c r="AD348" s="204" t="n"/>
      <c r="AE348" s="204" t="n"/>
      <c r="AF348" s="204" t="n"/>
      <c r="AG348" s="204" t="n"/>
    </row>
    <row r="349" ht="12.75" customHeight="1" s="205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  <c r="S349" s="204" t="n"/>
      <c r="T349" s="204" t="n"/>
      <c r="U349" s="204" t="n"/>
      <c r="V349" s="204" t="n"/>
      <c r="W349" s="204" t="n"/>
      <c r="X349" s="204" t="n"/>
      <c r="Y349" s="204" t="n"/>
      <c r="Z349" s="204" t="n"/>
      <c r="AA349" s="204" t="n"/>
      <c r="AB349" s="204" t="n"/>
      <c r="AC349" s="204" t="n"/>
      <c r="AD349" s="204" t="n"/>
      <c r="AE349" s="204" t="n"/>
      <c r="AF349" s="204" t="n"/>
      <c r="AG349" s="204" t="n"/>
    </row>
    <row r="350" ht="12.75" customHeight="1" s="205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  <c r="S350" s="204" t="n"/>
      <c r="T350" s="204" t="n"/>
      <c r="U350" s="204" t="n"/>
      <c r="V350" s="204" t="n"/>
      <c r="W350" s="204" t="n"/>
      <c r="X350" s="204" t="n"/>
      <c r="Y350" s="204" t="n"/>
      <c r="Z350" s="204" t="n"/>
      <c r="AA350" s="204" t="n"/>
      <c r="AB350" s="204" t="n"/>
      <c r="AC350" s="204" t="n"/>
      <c r="AD350" s="204" t="n"/>
      <c r="AE350" s="204" t="n"/>
      <c r="AF350" s="204" t="n"/>
      <c r="AG350" s="204" t="n"/>
    </row>
    <row r="351" ht="12.75" customHeight="1" s="205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  <c r="S351" s="204" t="n"/>
      <c r="T351" s="204" t="n"/>
      <c r="U351" s="204" t="n"/>
      <c r="V351" s="204" t="n"/>
      <c r="W351" s="204" t="n"/>
      <c r="X351" s="204" t="n"/>
      <c r="Y351" s="204" t="n"/>
      <c r="Z351" s="204" t="n"/>
      <c r="AA351" s="204" t="n"/>
      <c r="AB351" s="204" t="n"/>
      <c r="AC351" s="204" t="n"/>
      <c r="AD351" s="204" t="n"/>
      <c r="AE351" s="204" t="n"/>
      <c r="AF351" s="204" t="n"/>
      <c r="AG351" s="204" t="n"/>
    </row>
    <row r="352" ht="12.75" customHeight="1" s="205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  <c r="S352" s="204" t="n"/>
      <c r="T352" s="204" t="n"/>
      <c r="U352" s="204" t="n"/>
      <c r="V352" s="204" t="n"/>
      <c r="W352" s="204" t="n"/>
      <c r="X352" s="204" t="n"/>
      <c r="Y352" s="204" t="n"/>
      <c r="Z352" s="204" t="n"/>
      <c r="AA352" s="204" t="n"/>
      <c r="AB352" s="204" t="n"/>
      <c r="AC352" s="204" t="n"/>
      <c r="AD352" s="204" t="n"/>
      <c r="AE352" s="204" t="n"/>
      <c r="AF352" s="204" t="n"/>
      <c r="AG352" s="204" t="n"/>
    </row>
    <row r="353" ht="12.75" customHeight="1" s="205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  <c r="S353" s="204" t="n"/>
      <c r="T353" s="204" t="n"/>
      <c r="U353" s="204" t="n"/>
      <c r="V353" s="204" t="n"/>
      <c r="W353" s="204" t="n"/>
      <c r="X353" s="204" t="n"/>
      <c r="Y353" s="204" t="n"/>
      <c r="Z353" s="204" t="n"/>
      <c r="AA353" s="204" t="n"/>
      <c r="AB353" s="204" t="n"/>
      <c r="AC353" s="204" t="n"/>
      <c r="AD353" s="204" t="n"/>
      <c r="AE353" s="204" t="n"/>
      <c r="AF353" s="204" t="n"/>
      <c r="AG353" s="204" t="n"/>
    </row>
    <row r="354" ht="12.75" customHeight="1" s="205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  <c r="S354" s="204" t="n"/>
      <c r="T354" s="204" t="n"/>
      <c r="U354" s="204" t="n"/>
      <c r="V354" s="204" t="n"/>
      <c r="W354" s="204" t="n"/>
      <c r="X354" s="204" t="n"/>
      <c r="Y354" s="204" t="n"/>
      <c r="Z354" s="204" t="n"/>
      <c r="AA354" s="204" t="n"/>
      <c r="AB354" s="204" t="n"/>
      <c r="AC354" s="204" t="n"/>
      <c r="AD354" s="204" t="n"/>
      <c r="AE354" s="204" t="n"/>
      <c r="AF354" s="204" t="n"/>
      <c r="AG354" s="204" t="n"/>
    </row>
    <row r="355" ht="12.75" customHeight="1" s="205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  <c r="S355" s="204" t="n"/>
      <c r="T355" s="204" t="n"/>
      <c r="U355" s="204" t="n"/>
      <c r="V355" s="204" t="n"/>
      <c r="W355" s="204" t="n"/>
      <c r="X355" s="204" t="n"/>
      <c r="Y355" s="204" t="n"/>
      <c r="Z355" s="204" t="n"/>
      <c r="AA355" s="204" t="n"/>
      <c r="AB355" s="204" t="n"/>
      <c r="AC355" s="204" t="n"/>
      <c r="AD355" s="204" t="n"/>
      <c r="AE355" s="204" t="n"/>
      <c r="AF355" s="204" t="n"/>
      <c r="AG355" s="204" t="n"/>
    </row>
    <row r="356" ht="12.75" customHeight="1" s="205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  <c r="S356" s="204" t="n"/>
      <c r="T356" s="204" t="n"/>
      <c r="U356" s="204" t="n"/>
      <c r="V356" s="204" t="n"/>
      <c r="W356" s="204" t="n"/>
      <c r="X356" s="204" t="n"/>
      <c r="Y356" s="204" t="n"/>
      <c r="Z356" s="204" t="n"/>
      <c r="AA356" s="204" t="n"/>
      <c r="AB356" s="204" t="n"/>
      <c r="AC356" s="204" t="n"/>
      <c r="AD356" s="204" t="n"/>
      <c r="AE356" s="204" t="n"/>
      <c r="AF356" s="204" t="n"/>
      <c r="AG356" s="204" t="n"/>
    </row>
    <row r="357" ht="12.75" customHeight="1" s="205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  <c r="S357" s="204" t="n"/>
      <c r="T357" s="204" t="n"/>
      <c r="U357" s="204" t="n"/>
      <c r="V357" s="204" t="n"/>
      <c r="W357" s="204" t="n"/>
      <c r="X357" s="204" t="n"/>
      <c r="Y357" s="204" t="n"/>
      <c r="Z357" s="204" t="n"/>
      <c r="AA357" s="204" t="n"/>
      <c r="AB357" s="204" t="n"/>
      <c r="AC357" s="204" t="n"/>
      <c r="AD357" s="204" t="n"/>
      <c r="AE357" s="204" t="n"/>
      <c r="AF357" s="204" t="n"/>
      <c r="AG357" s="204" t="n"/>
    </row>
    <row r="358" ht="12.75" customHeight="1" s="205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  <c r="S358" s="204" t="n"/>
      <c r="T358" s="204" t="n"/>
      <c r="U358" s="204" t="n"/>
      <c r="V358" s="204" t="n"/>
      <c r="W358" s="204" t="n"/>
      <c r="X358" s="204" t="n"/>
      <c r="Y358" s="204" t="n"/>
      <c r="Z358" s="204" t="n"/>
      <c r="AA358" s="204" t="n"/>
      <c r="AB358" s="204" t="n"/>
      <c r="AC358" s="204" t="n"/>
      <c r="AD358" s="204" t="n"/>
      <c r="AE358" s="204" t="n"/>
      <c r="AF358" s="204" t="n"/>
      <c r="AG358" s="204" t="n"/>
    </row>
    <row r="359" ht="12.75" customHeight="1" s="205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  <c r="S359" s="204" t="n"/>
      <c r="T359" s="204" t="n"/>
      <c r="U359" s="204" t="n"/>
      <c r="V359" s="204" t="n"/>
      <c r="W359" s="204" t="n"/>
      <c r="X359" s="204" t="n"/>
      <c r="Y359" s="204" t="n"/>
      <c r="Z359" s="204" t="n"/>
      <c r="AA359" s="204" t="n"/>
      <c r="AB359" s="204" t="n"/>
      <c r="AC359" s="204" t="n"/>
      <c r="AD359" s="204" t="n"/>
      <c r="AE359" s="204" t="n"/>
      <c r="AF359" s="204" t="n"/>
      <c r="AG359" s="204" t="n"/>
    </row>
    <row r="360" ht="12.75" customHeight="1" s="205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  <c r="S360" s="204" t="n"/>
      <c r="T360" s="204" t="n"/>
      <c r="U360" s="204" t="n"/>
      <c r="V360" s="204" t="n"/>
      <c r="W360" s="204" t="n"/>
      <c r="X360" s="204" t="n"/>
      <c r="Y360" s="204" t="n"/>
      <c r="Z360" s="204" t="n"/>
      <c r="AA360" s="204" t="n"/>
      <c r="AB360" s="204" t="n"/>
      <c r="AC360" s="204" t="n"/>
      <c r="AD360" s="204" t="n"/>
      <c r="AE360" s="204" t="n"/>
      <c r="AF360" s="204" t="n"/>
      <c r="AG360" s="204" t="n"/>
    </row>
    <row r="361" ht="12.75" customHeight="1" s="205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  <c r="S361" s="204" t="n"/>
      <c r="T361" s="204" t="n"/>
      <c r="U361" s="204" t="n"/>
      <c r="V361" s="204" t="n"/>
      <c r="W361" s="204" t="n"/>
      <c r="X361" s="204" t="n"/>
      <c r="Y361" s="204" t="n"/>
      <c r="Z361" s="204" t="n"/>
      <c r="AA361" s="204" t="n"/>
      <c r="AB361" s="204" t="n"/>
      <c r="AC361" s="204" t="n"/>
      <c r="AD361" s="204" t="n"/>
      <c r="AE361" s="204" t="n"/>
      <c r="AF361" s="204" t="n"/>
      <c r="AG361" s="204" t="n"/>
    </row>
    <row r="362" ht="12.75" customHeight="1" s="205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  <c r="S362" s="204" t="n"/>
      <c r="T362" s="204" t="n"/>
      <c r="U362" s="204" t="n"/>
      <c r="V362" s="204" t="n"/>
      <c r="W362" s="204" t="n"/>
      <c r="X362" s="204" t="n"/>
      <c r="Y362" s="204" t="n"/>
      <c r="Z362" s="204" t="n"/>
      <c r="AA362" s="204" t="n"/>
      <c r="AB362" s="204" t="n"/>
      <c r="AC362" s="204" t="n"/>
      <c r="AD362" s="204" t="n"/>
      <c r="AE362" s="204" t="n"/>
      <c r="AF362" s="204" t="n"/>
      <c r="AG362" s="204" t="n"/>
    </row>
    <row r="363" ht="12.75" customHeight="1" s="205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  <c r="S363" s="204" t="n"/>
      <c r="T363" s="204" t="n"/>
      <c r="U363" s="204" t="n"/>
      <c r="V363" s="204" t="n"/>
      <c r="W363" s="204" t="n"/>
      <c r="X363" s="204" t="n"/>
      <c r="Y363" s="204" t="n"/>
      <c r="Z363" s="204" t="n"/>
      <c r="AA363" s="204" t="n"/>
      <c r="AB363" s="204" t="n"/>
      <c r="AC363" s="204" t="n"/>
      <c r="AD363" s="204" t="n"/>
      <c r="AE363" s="204" t="n"/>
      <c r="AF363" s="204" t="n"/>
      <c r="AG363" s="204" t="n"/>
    </row>
    <row r="364" ht="12.75" customHeight="1" s="205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  <c r="S364" s="204" t="n"/>
      <c r="T364" s="204" t="n"/>
      <c r="U364" s="204" t="n"/>
      <c r="V364" s="204" t="n"/>
      <c r="W364" s="204" t="n"/>
      <c r="X364" s="204" t="n"/>
      <c r="Y364" s="204" t="n"/>
      <c r="Z364" s="204" t="n"/>
      <c r="AA364" s="204" t="n"/>
      <c r="AB364" s="204" t="n"/>
      <c r="AC364" s="204" t="n"/>
      <c r="AD364" s="204" t="n"/>
      <c r="AE364" s="204" t="n"/>
      <c r="AF364" s="204" t="n"/>
      <c r="AG364" s="204" t="n"/>
    </row>
    <row r="365" ht="12.75" customHeight="1" s="205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  <c r="S365" s="204" t="n"/>
      <c r="T365" s="204" t="n"/>
      <c r="U365" s="204" t="n"/>
      <c r="V365" s="204" t="n"/>
      <c r="W365" s="204" t="n"/>
      <c r="X365" s="204" t="n"/>
      <c r="Y365" s="204" t="n"/>
      <c r="Z365" s="204" t="n"/>
      <c r="AA365" s="204" t="n"/>
      <c r="AB365" s="204" t="n"/>
      <c r="AC365" s="204" t="n"/>
      <c r="AD365" s="204" t="n"/>
      <c r="AE365" s="204" t="n"/>
      <c r="AF365" s="204" t="n"/>
      <c r="AG365" s="204" t="n"/>
    </row>
    <row r="366" ht="12.75" customHeight="1" s="205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  <c r="S366" s="204" t="n"/>
      <c r="T366" s="204" t="n"/>
      <c r="U366" s="204" t="n"/>
      <c r="V366" s="204" t="n"/>
      <c r="W366" s="204" t="n"/>
      <c r="X366" s="204" t="n"/>
      <c r="Y366" s="204" t="n"/>
      <c r="Z366" s="204" t="n"/>
      <c r="AA366" s="204" t="n"/>
      <c r="AB366" s="204" t="n"/>
      <c r="AC366" s="204" t="n"/>
      <c r="AD366" s="204" t="n"/>
      <c r="AE366" s="204" t="n"/>
      <c r="AF366" s="204" t="n"/>
      <c r="AG366" s="204" t="n"/>
    </row>
    <row r="367" ht="12.75" customHeight="1" s="205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  <c r="S367" s="204" t="n"/>
      <c r="T367" s="204" t="n"/>
      <c r="U367" s="204" t="n"/>
      <c r="V367" s="204" t="n"/>
      <c r="W367" s="204" t="n"/>
      <c r="X367" s="204" t="n"/>
      <c r="Y367" s="204" t="n"/>
      <c r="Z367" s="204" t="n"/>
      <c r="AA367" s="204" t="n"/>
      <c r="AB367" s="204" t="n"/>
      <c r="AC367" s="204" t="n"/>
      <c r="AD367" s="204" t="n"/>
      <c r="AE367" s="204" t="n"/>
      <c r="AF367" s="204" t="n"/>
      <c r="AG367" s="204" t="n"/>
    </row>
    <row r="368" ht="12.75" customHeight="1" s="205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  <c r="S368" s="204" t="n"/>
      <c r="T368" s="204" t="n"/>
      <c r="U368" s="204" t="n"/>
      <c r="V368" s="204" t="n"/>
      <c r="W368" s="204" t="n"/>
      <c r="X368" s="204" t="n"/>
      <c r="Y368" s="204" t="n"/>
      <c r="Z368" s="204" t="n"/>
      <c r="AA368" s="204" t="n"/>
      <c r="AB368" s="204" t="n"/>
      <c r="AC368" s="204" t="n"/>
      <c r="AD368" s="204" t="n"/>
      <c r="AE368" s="204" t="n"/>
      <c r="AF368" s="204" t="n"/>
      <c r="AG368" s="204" t="n"/>
    </row>
    <row r="369" ht="12.75" customHeight="1" s="205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  <c r="S369" s="204" t="n"/>
      <c r="T369" s="204" t="n"/>
      <c r="U369" s="204" t="n"/>
      <c r="V369" s="204" t="n"/>
      <c r="W369" s="204" t="n"/>
      <c r="X369" s="204" t="n"/>
      <c r="Y369" s="204" t="n"/>
      <c r="Z369" s="204" t="n"/>
      <c r="AA369" s="204" t="n"/>
      <c r="AB369" s="204" t="n"/>
      <c r="AC369" s="204" t="n"/>
      <c r="AD369" s="204" t="n"/>
      <c r="AE369" s="204" t="n"/>
      <c r="AF369" s="204" t="n"/>
      <c r="AG369" s="204" t="n"/>
    </row>
    <row r="370" ht="12.75" customHeight="1" s="205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  <c r="S370" s="204" t="n"/>
      <c r="T370" s="204" t="n"/>
      <c r="U370" s="204" t="n"/>
      <c r="V370" s="204" t="n"/>
      <c r="W370" s="204" t="n"/>
      <c r="X370" s="204" t="n"/>
      <c r="Y370" s="204" t="n"/>
      <c r="Z370" s="204" t="n"/>
      <c r="AA370" s="204" t="n"/>
      <c r="AB370" s="204" t="n"/>
      <c r="AC370" s="204" t="n"/>
      <c r="AD370" s="204" t="n"/>
      <c r="AE370" s="204" t="n"/>
      <c r="AF370" s="204" t="n"/>
      <c r="AG370" s="204" t="n"/>
    </row>
    <row r="371" ht="12.75" customHeight="1" s="205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  <c r="S371" s="204" t="n"/>
      <c r="T371" s="204" t="n"/>
      <c r="U371" s="204" t="n"/>
      <c r="V371" s="204" t="n"/>
      <c r="W371" s="204" t="n"/>
      <c r="X371" s="204" t="n"/>
      <c r="Y371" s="204" t="n"/>
      <c r="Z371" s="204" t="n"/>
      <c r="AA371" s="204" t="n"/>
      <c r="AB371" s="204" t="n"/>
      <c r="AC371" s="204" t="n"/>
      <c r="AD371" s="204" t="n"/>
      <c r="AE371" s="204" t="n"/>
      <c r="AF371" s="204" t="n"/>
      <c r="AG371" s="204" t="n"/>
    </row>
    <row r="372" ht="12.75" customHeight="1" s="205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  <c r="S372" s="204" t="n"/>
      <c r="T372" s="204" t="n"/>
      <c r="U372" s="204" t="n"/>
      <c r="V372" s="204" t="n"/>
      <c r="W372" s="204" t="n"/>
      <c r="X372" s="204" t="n"/>
      <c r="Y372" s="204" t="n"/>
      <c r="Z372" s="204" t="n"/>
      <c r="AA372" s="204" t="n"/>
      <c r="AB372" s="204" t="n"/>
      <c r="AC372" s="204" t="n"/>
      <c r="AD372" s="204" t="n"/>
      <c r="AE372" s="204" t="n"/>
      <c r="AF372" s="204" t="n"/>
      <c r="AG372" s="204" t="n"/>
    </row>
    <row r="373" ht="12.75" customHeight="1" s="205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  <c r="S373" s="204" t="n"/>
      <c r="T373" s="204" t="n"/>
      <c r="U373" s="204" t="n"/>
      <c r="V373" s="204" t="n"/>
      <c r="W373" s="204" t="n"/>
      <c r="X373" s="204" t="n"/>
      <c r="Y373" s="204" t="n"/>
      <c r="Z373" s="204" t="n"/>
      <c r="AA373" s="204" t="n"/>
      <c r="AB373" s="204" t="n"/>
      <c r="AC373" s="204" t="n"/>
      <c r="AD373" s="204" t="n"/>
      <c r="AE373" s="204" t="n"/>
      <c r="AF373" s="204" t="n"/>
      <c r="AG373" s="204" t="n"/>
    </row>
    <row r="374" ht="12.75" customHeight="1" s="205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  <c r="S374" s="204" t="n"/>
      <c r="T374" s="204" t="n"/>
      <c r="U374" s="204" t="n"/>
      <c r="V374" s="204" t="n"/>
      <c r="W374" s="204" t="n"/>
      <c r="X374" s="204" t="n"/>
      <c r="Y374" s="204" t="n"/>
      <c r="Z374" s="204" t="n"/>
      <c r="AA374" s="204" t="n"/>
      <c r="AB374" s="204" t="n"/>
      <c r="AC374" s="204" t="n"/>
      <c r="AD374" s="204" t="n"/>
      <c r="AE374" s="204" t="n"/>
      <c r="AF374" s="204" t="n"/>
      <c r="AG374" s="204" t="n"/>
    </row>
    <row r="375" ht="12.75" customHeight="1" s="205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  <c r="S375" s="204" t="n"/>
      <c r="T375" s="204" t="n"/>
      <c r="U375" s="204" t="n"/>
      <c r="V375" s="204" t="n"/>
      <c r="W375" s="204" t="n"/>
      <c r="X375" s="204" t="n"/>
      <c r="Y375" s="204" t="n"/>
      <c r="Z375" s="204" t="n"/>
      <c r="AA375" s="204" t="n"/>
      <c r="AB375" s="204" t="n"/>
      <c r="AC375" s="204" t="n"/>
      <c r="AD375" s="204" t="n"/>
      <c r="AE375" s="204" t="n"/>
      <c r="AF375" s="204" t="n"/>
      <c r="AG375" s="204" t="n"/>
    </row>
    <row r="376" ht="12.75" customHeight="1" s="205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  <c r="S376" s="204" t="n"/>
      <c r="T376" s="204" t="n"/>
      <c r="U376" s="204" t="n"/>
      <c r="V376" s="204" t="n"/>
      <c r="W376" s="204" t="n"/>
      <c r="X376" s="204" t="n"/>
      <c r="Y376" s="204" t="n"/>
      <c r="Z376" s="204" t="n"/>
      <c r="AA376" s="204" t="n"/>
      <c r="AB376" s="204" t="n"/>
      <c r="AC376" s="204" t="n"/>
      <c r="AD376" s="204" t="n"/>
      <c r="AE376" s="204" t="n"/>
      <c r="AF376" s="204" t="n"/>
      <c r="AG376" s="204" t="n"/>
    </row>
    <row r="377" ht="12.75" customHeight="1" s="205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  <c r="S377" s="204" t="n"/>
      <c r="T377" s="204" t="n"/>
      <c r="U377" s="204" t="n"/>
      <c r="V377" s="204" t="n"/>
      <c r="W377" s="204" t="n"/>
      <c r="X377" s="204" t="n"/>
      <c r="Y377" s="204" t="n"/>
      <c r="Z377" s="204" t="n"/>
      <c r="AA377" s="204" t="n"/>
      <c r="AB377" s="204" t="n"/>
      <c r="AC377" s="204" t="n"/>
      <c r="AD377" s="204" t="n"/>
      <c r="AE377" s="204" t="n"/>
      <c r="AF377" s="204" t="n"/>
      <c r="AG377" s="204" t="n"/>
    </row>
    <row r="378" ht="12.75" customHeight="1" s="205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  <c r="S378" s="204" t="n"/>
      <c r="T378" s="204" t="n"/>
      <c r="U378" s="204" t="n"/>
      <c r="V378" s="204" t="n"/>
      <c r="W378" s="204" t="n"/>
      <c r="X378" s="204" t="n"/>
      <c r="Y378" s="204" t="n"/>
      <c r="Z378" s="204" t="n"/>
      <c r="AA378" s="204" t="n"/>
      <c r="AB378" s="204" t="n"/>
      <c r="AC378" s="204" t="n"/>
      <c r="AD378" s="204" t="n"/>
      <c r="AE378" s="204" t="n"/>
      <c r="AF378" s="204" t="n"/>
      <c r="AG378" s="204" t="n"/>
    </row>
    <row r="379" ht="12.75" customHeight="1" s="205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  <c r="S379" s="204" t="n"/>
      <c r="T379" s="204" t="n"/>
      <c r="U379" s="204" t="n"/>
      <c r="V379" s="204" t="n"/>
      <c r="W379" s="204" t="n"/>
      <c r="X379" s="204" t="n"/>
      <c r="Y379" s="204" t="n"/>
      <c r="Z379" s="204" t="n"/>
      <c r="AA379" s="204" t="n"/>
      <c r="AB379" s="204" t="n"/>
      <c r="AC379" s="204" t="n"/>
      <c r="AD379" s="204" t="n"/>
      <c r="AE379" s="204" t="n"/>
      <c r="AF379" s="204" t="n"/>
      <c r="AG379" s="204" t="n"/>
    </row>
    <row r="380" ht="12.75" customHeight="1" s="205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  <c r="S380" s="204" t="n"/>
      <c r="T380" s="204" t="n"/>
      <c r="U380" s="204" t="n"/>
      <c r="V380" s="204" t="n"/>
      <c r="W380" s="204" t="n"/>
      <c r="X380" s="204" t="n"/>
      <c r="Y380" s="204" t="n"/>
      <c r="Z380" s="204" t="n"/>
      <c r="AA380" s="204" t="n"/>
      <c r="AB380" s="204" t="n"/>
      <c r="AC380" s="204" t="n"/>
      <c r="AD380" s="204" t="n"/>
      <c r="AE380" s="204" t="n"/>
      <c r="AF380" s="204" t="n"/>
      <c r="AG380" s="204" t="n"/>
    </row>
    <row r="381" ht="12.75" customHeight="1" s="205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  <c r="S381" s="204" t="n"/>
      <c r="T381" s="204" t="n"/>
      <c r="U381" s="204" t="n"/>
      <c r="V381" s="204" t="n"/>
      <c r="W381" s="204" t="n"/>
      <c r="X381" s="204" t="n"/>
      <c r="Y381" s="204" t="n"/>
      <c r="Z381" s="204" t="n"/>
      <c r="AA381" s="204" t="n"/>
      <c r="AB381" s="204" t="n"/>
      <c r="AC381" s="204" t="n"/>
      <c r="AD381" s="204" t="n"/>
      <c r="AE381" s="204" t="n"/>
      <c r="AF381" s="204" t="n"/>
      <c r="AG381" s="204" t="n"/>
    </row>
    <row r="382" ht="12.75" customHeight="1" s="205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  <c r="S382" s="204" t="n"/>
      <c r="T382" s="204" t="n"/>
      <c r="U382" s="204" t="n"/>
      <c r="V382" s="204" t="n"/>
      <c r="W382" s="204" t="n"/>
      <c r="X382" s="204" t="n"/>
      <c r="Y382" s="204" t="n"/>
      <c r="Z382" s="204" t="n"/>
      <c r="AA382" s="204" t="n"/>
      <c r="AB382" s="204" t="n"/>
      <c r="AC382" s="204" t="n"/>
      <c r="AD382" s="204" t="n"/>
      <c r="AE382" s="204" t="n"/>
      <c r="AF382" s="204" t="n"/>
      <c r="AG382" s="204" t="n"/>
    </row>
    <row r="383" ht="12.75" customHeight="1" s="205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  <c r="S383" s="204" t="n"/>
      <c r="T383" s="204" t="n"/>
      <c r="U383" s="204" t="n"/>
      <c r="V383" s="204" t="n"/>
      <c r="W383" s="204" t="n"/>
      <c r="X383" s="204" t="n"/>
      <c r="Y383" s="204" t="n"/>
      <c r="Z383" s="204" t="n"/>
      <c r="AA383" s="204" t="n"/>
      <c r="AB383" s="204" t="n"/>
      <c r="AC383" s="204" t="n"/>
      <c r="AD383" s="204" t="n"/>
      <c r="AE383" s="204" t="n"/>
      <c r="AF383" s="204" t="n"/>
      <c r="AG383" s="204" t="n"/>
    </row>
    <row r="384" ht="12.75" customHeight="1" s="205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  <c r="S384" s="204" t="n"/>
      <c r="T384" s="204" t="n"/>
      <c r="U384" s="204" t="n"/>
      <c r="V384" s="204" t="n"/>
      <c r="W384" s="204" t="n"/>
      <c r="X384" s="204" t="n"/>
      <c r="Y384" s="204" t="n"/>
      <c r="Z384" s="204" t="n"/>
      <c r="AA384" s="204" t="n"/>
      <c r="AB384" s="204" t="n"/>
      <c r="AC384" s="204" t="n"/>
      <c r="AD384" s="204" t="n"/>
      <c r="AE384" s="204" t="n"/>
      <c r="AF384" s="204" t="n"/>
      <c r="AG384" s="204" t="n"/>
    </row>
    <row r="385" ht="12.75" customHeight="1" s="205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  <c r="S385" s="204" t="n"/>
      <c r="T385" s="204" t="n"/>
      <c r="U385" s="204" t="n"/>
      <c r="V385" s="204" t="n"/>
      <c r="W385" s="204" t="n"/>
      <c r="X385" s="204" t="n"/>
      <c r="Y385" s="204" t="n"/>
      <c r="Z385" s="204" t="n"/>
      <c r="AA385" s="204" t="n"/>
      <c r="AB385" s="204" t="n"/>
      <c r="AC385" s="204" t="n"/>
      <c r="AD385" s="204" t="n"/>
      <c r="AE385" s="204" t="n"/>
      <c r="AF385" s="204" t="n"/>
      <c r="AG385" s="204" t="n"/>
    </row>
    <row r="386" ht="12.75" customHeight="1" s="205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  <c r="S386" s="204" t="n"/>
      <c r="T386" s="204" t="n"/>
      <c r="U386" s="204" t="n"/>
      <c r="V386" s="204" t="n"/>
      <c r="W386" s="204" t="n"/>
      <c r="X386" s="204" t="n"/>
      <c r="Y386" s="204" t="n"/>
      <c r="Z386" s="204" t="n"/>
      <c r="AA386" s="204" t="n"/>
      <c r="AB386" s="204" t="n"/>
      <c r="AC386" s="204" t="n"/>
      <c r="AD386" s="204" t="n"/>
      <c r="AE386" s="204" t="n"/>
      <c r="AF386" s="204" t="n"/>
      <c r="AG386" s="204" t="n"/>
    </row>
    <row r="387" ht="12.75" customHeight="1" s="205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  <c r="S387" s="204" t="n"/>
      <c r="T387" s="204" t="n"/>
      <c r="U387" s="204" t="n"/>
      <c r="V387" s="204" t="n"/>
      <c r="W387" s="204" t="n"/>
      <c r="X387" s="204" t="n"/>
      <c r="Y387" s="204" t="n"/>
      <c r="Z387" s="204" t="n"/>
      <c r="AA387" s="204" t="n"/>
      <c r="AB387" s="204" t="n"/>
      <c r="AC387" s="204" t="n"/>
      <c r="AD387" s="204" t="n"/>
      <c r="AE387" s="204" t="n"/>
      <c r="AF387" s="204" t="n"/>
      <c r="AG387" s="204" t="n"/>
    </row>
    <row r="388" ht="12.75" customHeight="1" s="205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  <c r="S388" s="204" t="n"/>
      <c r="T388" s="204" t="n"/>
      <c r="U388" s="204" t="n"/>
      <c r="V388" s="204" t="n"/>
      <c r="W388" s="204" t="n"/>
      <c r="X388" s="204" t="n"/>
      <c r="Y388" s="204" t="n"/>
      <c r="Z388" s="204" t="n"/>
      <c r="AA388" s="204" t="n"/>
      <c r="AB388" s="204" t="n"/>
      <c r="AC388" s="204" t="n"/>
      <c r="AD388" s="204" t="n"/>
      <c r="AE388" s="204" t="n"/>
      <c r="AF388" s="204" t="n"/>
      <c r="AG388" s="204" t="n"/>
    </row>
    <row r="389" ht="12.75" customHeight="1" s="205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  <c r="S389" s="204" t="n"/>
      <c r="T389" s="204" t="n"/>
      <c r="U389" s="204" t="n"/>
      <c r="V389" s="204" t="n"/>
      <c r="W389" s="204" t="n"/>
      <c r="X389" s="204" t="n"/>
      <c r="Y389" s="204" t="n"/>
      <c r="Z389" s="204" t="n"/>
      <c r="AA389" s="204" t="n"/>
      <c r="AB389" s="204" t="n"/>
      <c r="AC389" s="204" t="n"/>
      <c r="AD389" s="204" t="n"/>
      <c r="AE389" s="204" t="n"/>
      <c r="AF389" s="204" t="n"/>
      <c r="AG389" s="204" t="n"/>
    </row>
    <row r="390" ht="12.75" customHeight="1" s="205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  <c r="S390" s="204" t="n"/>
      <c r="T390" s="204" t="n"/>
      <c r="U390" s="204" t="n"/>
      <c r="V390" s="204" t="n"/>
      <c r="W390" s="204" t="n"/>
      <c r="X390" s="204" t="n"/>
      <c r="Y390" s="204" t="n"/>
      <c r="Z390" s="204" t="n"/>
      <c r="AA390" s="204" t="n"/>
      <c r="AB390" s="204" t="n"/>
      <c r="AC390" s="204" t="n"/>
      <c r="AD390" s="204" t="n"/>
      <c r="AE390" s="204" t="n"/>
      <c r="AF390" s="204" t="n"/>
      <c r="AG390" s="204" t="n"/>
    </row>
    <row r="391" ht="12.75" customHeight="1" s="205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  <c r="S391" s="204" t="n"/>
      <c r="T391" s="204" t="n"/>
      <c r="U391" s="204" t="n"/>
      <c r="V391" s="204" t="n"/>
      <c r="W391" s="204" t="n"/>
      <c r="X391" s="204" t="n"/>
      <c r="Y391" s="204" t="n"/>
      <c r="Z391" s="204" t="n"/>
      <c r="AA391" s="204" t="n"/>
      <c r="AB391" s="204" t="n"/>
      <c r="AC391" s="204" t="n"/>
      <c r="AD391" s="204" t="n"/>
      <c r="AE391" s="204" t="n"/>
      <c r="AF391" s="204" t="n"/>
      <c r="AG391" s="204" t="n"/>
    </row>
    <row r="392" ht="12.75" customHeight="1" s="205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  <c r="S392" s="204" t="n"/>
      <c r="T392" s="204" t="n"/>
      <c r="U392" s="204" t="n"/>
      <c r="V392" s="204" t="n"/>
      <c r="W392" s="204" t="n"/>
      <c r="X392" s="204" t="n"/>
      <c r="Y392" s="204" t="n"/>
      <c r="Z392" s="204" t="n"/>
      <c r="AA392" s="204" t="n"/>
      <c r="AB392" s="204" t="n"/>
      <c r="AC392" s="204" t="n"/>
      <c r="AD392" s="204" t="n"/>
      <c r="AE392" s="204" t="n"/>
      <c r="AF392" s="204" t="n"/>
      <c r="AG392" s="204" t="n"/>
    </row>
    <row r="393" ht="12.75" customHeight="1" s="205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  <c r="S393" s="204" t="n"/>
      <c r="T393" s="204" t="n"/>
      <c r="U393" s="204" t="n"/>
      <c r="V393" s="204" t="n"/>
      <c r="W393" s="204" t="n"/>
      <c r="X393" s="204" t="n"/>
      <c r="Y393" s="204" t="n"/>
      <c r="Z393" s="204" t="n"/>
      <c r="AA393" s="204" t="n"/>
      <c r="AB393" s="204" t="n"/>
      <c r="AC393" s="204" t="n"/>
      <c r="AD393" s="204" t="n"/>
      <c r="AE393" s="204" t="n"/>
      <c r="AF393" s="204" t="n"/>
      <c r="AG393" s="204" t="n"/>
    </row>
    <row r="394" ht="12.75" customHeight="1" s="205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  <c r="S394" s="204" t="n"/>
      <c r="T394" s="204" t="n"/>
      <c r="U394" s="204" t="n"/>
      <c r="V394" s="204" t="n"/>
      <c r="W394" s="204" t="n"/>
      <c r="X394" s="204" t="n"/>
      <c r="Y394" s="204" t="n"/>
      <c r="Z394" s="204" t="n"/>
      <c r="AA394" s="204" t="n"/>
      <c r="AB394" s="204" t="n"/>
      <c r="AC394" s="204" t="n"/>
      <c r="AD394" s="204" t="n"/>
      <c r="AE394" s="204" t="n"/>
      <c r="AF394" s="204" t="n"/>
      <c r="AG394" s="204" t="n"/>
    </row>
    <row r="395" ht="12.75" customHeight="1" s="205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  <c r="S395" s="204" t="n"/>
      <c r="T395" s="204" t="n"/>
      <c r="U395" s="204" t="n"/>
      <c r="V395" s="204" t="n"/>
      <c r="W395" s="204" t="n"/>
      <c r="X395" s="204" t="n"/>
      <c r="Y395" s="204" t="n"/>
      <c r="Z395" s="204" t="n"/>
      <c r="AA395" s="204" t="n"/>
      <c r="AB395" s="204" t="n"/>
      <c r="AC395" s="204" t="n"/>
      <c r="AD395" s="204" t="n"/>
      <c r="AE395" s="204" t="n"/>
      <c r="AF395" s="204" t="n"/>
      <c r="AG395" s="204" t="n"/>
    </row>
    <row r="396" ht="12.75" customHeight="1" s="205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  <c r="S396" s="204" t="n"/>
      <c r="T396" s="204" t="n"/>
      <c r="U396" s="204" t="n"/>
      <c r="V396" s="204" t="n"/>
      <c r="W396" s="204" t="n"/>
      <c r="X396" s="204" t="n"/>
      <c r="Y396" s="204" t="n"/>
      <c r="Z396" s="204" t="n"/>
      <c r="AA396" s="204" t="n"/>
      <c r="AB396" s="204" t="n"/>
      <c r="AC396" s="204" t="n"/>
      <c r="AD396" s="204" t="n"/>
      <c r="AE396" s="204" t="n"/>
      <c r="AF396" s="204" t="n"/>
      <c r="AG396" s="204" t="n"/>
    </row>
    <row r="397" ht="12.75" customHeight="1" s="205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  <c r="S397" s="204" t="n"/>
      <c r="T397" s="204" t="n"/>
      <c r="U397" s="204" t="n"/>
      <c r="V397" s="204" t="n"/>
      <c r="W397" s="204" t="n"/>
      <c r="X397" s="204" t="n"/>
      <c r="Y397" s="204" t="n"/>
      <c r="Z397" s="204" t="n"/>
      <c r="AA397" s="204" t="n"/>
      <c r="AB397" s="204" t="n"/>
      <c r="AC397" s="204" t="n"/>
      <c r="AD397" s="204" t="n"/>
      <c r="AE397" s="204" t="n"/>
      <c r="AF397" s="204" t="n"/>
      <c r="AG397" s="204" t="n"/>
    </row>
    <row r="398" ht="12.75" customHeight="1" s="205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  <c r="S398" s="204" t="n"/>
      <c r="T398" s="204" t="n"/>
      <c r="U398" s="204" t="n"/>
      <c r="V398" s="204" t="n"/>
      <c r="W398" s="204" t="n"/>
      <c r="X398" s="204" t="n"/>
      <c r="Y398" s="204" t="n"/>
      <c r="Z398" s="204" t="n"/>
      <c r="AA398" s="204" t="n"/>
      <c r="AB398" s="204" t="n"/>
      <c r="AC398" s="204" t="n"/>
      <c r="AD398" s="204" t="n"/>
      <c r="AE398" s="204" t="n"/>
      <c r="AF398" s="204" t="n"/>
      <c r="AG398" s="204" t="n"/>
    </row>
    <row r="399" ht="12.75" customHeight="1" s="205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  <c r="S399" s="204" t="n"/>
      <c r="T399" s="204" t="n"/>
      <c r="U399" s="204" t="n"/>
      <c r="V399" s="204" t="n"/>
      <c r="W399" s="204" t="n"/>
      <c r="X399" s="204" t="n"/>
      <c r="Y399" s="204" t="n"/>
      <c r="Z399" s="204" t="n"/>
      <c r="AA399" s="204" t="n"/>
      <c r="AB399" s="204" t="n"/>
      <c r="AC399" s="204" t="n"/>
      <c r="AD399" s="204" t="n"/>
      <c r="AE399" s="204" t="n"/>
      <c r="AF399" s="204" t="n"/>
      <c r="AG399" s="204" t="n"/>
    </row>
    <row r="400" ht="12.75" customHeight="1" s="205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  <c r="S400" s="204" t="n"/>
      <c r="T400" s="204" t="n"/>
      <c r="U400" s="204" t="n"/>
      <c r="V400" s="204" t="n"/>
      <c r="W400" s="204" t="n"/>
      <c r="X400" s="204" t="n"/>
      <c r="Y400" s="204" t="n"/>
      <c r="Z400" s="204" t="n"/>
      <c r="AA400" s="204" t="n"/>
      <c r="AB400" s="204" t="n"/>
      <c r="AC400" s="204" t="n"/>
      <c r="AD400" s="204" t="n"/>
      <c r="AE400" s="204" t="n"/>
      <c r="AF400" s="204" t="n"/>
      <c r="AG400" s="204" t="n"/>
    </row>
    <row r="401" ht="12.75" customHeight="1" s="205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  <c r="S401" s="204" t="n"/>
      <c r="T401" s="204" t="n"/>
      <c r="U401" s="204" t="n"/>
      <c r="V401" s="204" t="n"/>
      <c r="W401" s="204" t="n"/>
      <c r="X401" s="204" t="n"/>
      <c r="Y401" s="204" t="n"/>
      <c r="Z401" s="204" t="n"/>
      <c r="AA401" s="204" t="n"/>
      <c r="AB401" s="204" t="n"/>
      <c r="AC401" s="204" t="n"/>
      <c r="AD401" s="204" t="n"/>
      <c r="AE401" s="204" t="n"/>
      <c r="AF401" s="204" t="n"/>
      <c r="AG401" s="204" t="n"/>
    </row>
    <row r="402" ht="12.75" customHeight="1" s="205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  <c r="S402" s="204" t="n"/>
      <c r="T402" s="204" t="n"/>
      <c r="U402" s="204" t="n"/>
      <c r="V402" s="204" t="n"/>
      <c r="W402" s="204" t="n"/>
      <c r="X402" s="204" t="n"/>
      <c r="Y402" s="204" t="n"/>
      <c r="Z402" s="204" t="n"/>
      <c r="AA402" s="204" t="n"/>
      <c r="AB402" s="204" t="n"/>
      <c r="AC402" s="204" t="n"/>
      <c r="AD402" s="204" t="n"/>
      <c r="AE402" s="204" t="n"/>
      <c r="AF402" s="204" t="n"/>
      <c r="AG402" s="204" t="n"/>
    </row>
    <row r="403" ht="12.75" customHeight="1" s="205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  <c r="S403" s="204" t="n"/>
      <c r="T403" s="204" t="n"/>
      <c r="U403" s="204" t="n"/>
      <c r="V403" s="204" t="n"/>
      <c r="W403" s="204" t="n"/>
      <c r="X403" s="204" t="n"/>
      <c r="Y403" s="204" t="n"/>
      <c r="Z403" s="204" t="n"/>
      <c r="AA403" s="204" t="n"/>
      <c r="AB403" s="204" t="n"/>
      <c r="AC403" s="204" t="n"/>
      <c r="AD403" s="204" t="n"/>
      <c r="AE403" s="204" t="n"/>
      <c r="AF403" s="204" t="n"/>
      <c r="AG403" s="204" t="n"/>
    </row>
    <row r="404" ht="12.75" customHeight="1" s="205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  <c r="S404" s="204" t="n"/>
      <c r="T404" s="204" t="n"/>
      <c r="U404" s="204" t="n"/>
      <c r="V404" s="204" t="n"/>
      <c r="W404" s="204" t="n"/>
      <c r="X404" s="204" t="n"/>
      <c r="Y404" s="204" t="n"/>
      <c r="Z404" s="204" t="n"/>
      <c r="AA404" s="204" t="n"/>
      <c r="AB404" s="204" t="n"/>
      <c r="AC404" s="204" t="n"/>
      <c r="AD404" s="204" t="n"/>
      <c r="AE404" s="204" t="n"/>
      <c r="AF404" s="204" t="n"/>
      <c r="AG404" s="204" t="n"/>
    </row>
    <row r="405" ht="12.75" customHeight="1" s="205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  <c r="S405" s="204" t="n"/>
      <c r="T405" s="204" t="n"/>
      <c r="U405" s="204" t="n"/>
      <c r="V405" s="204" t="n"/>
      <c r="W405" s="204" t="n"/>
      <c r="X405" s="204" t="n"/>
      <c r="Y405" s="204" t="n"/>
      <c r="Z405" s="204" t="n"/>
      <c r="AA405" s="204" t="n"/>
      <c r="AB405" s="204" t="n"/>
      <c r="AC405" s="204" t="n"/>
      <c r="AD405" s="204" t="n"/>
      <c r="AE405" s="204" t="n"/>
      <c r="AF405" s="204" t="n"/>
      <c r="AG405" s="204" t="n"/>
    </row>
    <row r="406" ht="12.75" customHeight="1" s="205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  <c r="S406" s="204" t="n"/>
      <c r="T406" s="204" t="n"/>
      <c r="U406" s="204" t="n"/>
      <c r="V406" s="204" t="n"/>
      <c r="W406" s="204" t="n"/>
      <c r="X406" s="204" t="n"/>
      <c r="Y406" s="204" t="n"/>
      <c r="Z406" s="204" t="n"/>
      <c r="AA406" s="204" t="n"/>
      <c r="AB406" s="204" t="n"/>
      <c r="AC406" s="204" t="n"/>
      <c r="AD406" s="204" t="n"/>
      <c r="AE406" s="204" t="n"/>
      <c r="AF406" s="204" t="n"/>
      <c r="AG406" s="204" t="n"/>
    </row>
    <row r="407" ht="12.75" customHeight="1" s="205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  <c r="S407" s="204" t="n"/>
      <c r="T407" s="204" t="n"/>
      <c r="U407" s="204" t="n"/>
      <c r="V407" s="204" t="n"/>
      <c r="W407" s="204" t="n"/>
      <c r="X407" s="204" t="n"/>
      <c r="Y407" s="204" t="n"/>
      <c r="Z407" s="204" t="n"/>
      <c r="AA407" s="204" t="n"/>
      <c r="AB407" s="204" t="n"/>
      <c r="AC407" s="204" t="n"/>
      <c r="AD407" s="204" t="n"/>
      <c r="AE407" s="204" t="n"/>
      <c r="AF407" s="204" t="n"/>
      <c r="AG407" s="204" t="n"/>
    </row>
    <row r="408" ht="12.75" customHeight="1" s="205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  <c r="S408" s="204" t="n"/>
      <c r="T408" s="204" t="n"/>
      <c r="U408" s="204" t="n"/>
      <c r="V408" s="204" t="n"/>
      <c r="W408" s="204" t="n"/>
      <c r="X408" s="204" t="n"/>
      <c r="Y408" s="204" t="n"/>
      <c r="Z408" s="204" t="n"/>
      <c r="AA408" s="204" t="n"/>
      <c r="AB408" s="204" t="n"/>
      <c r="AC408" s="204" t="n"/>
      <c r="AD408" s="204" t="n"/>
      <c r="AE408" s="204" t="n"/>
      <c r="AF408" s="204" t="n"/>
      <c r="AG408" s="204" t="n"/>
    </row>
    <row r="409" ht="12.75" customHeight="1" s="205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  <c r="S409" s="204" t="n"/>
      <c r="T409" s="204" t="n"/>
      <c r="U409" s="204" t="n"/>
      <c r="V409" s="204" t="n"/>
      <c r="W409" s="204" t="n"/>
      <c r="X409" s="204" t="n"/>
      <c r="Y409" s="204" t="n"/>
      <c r="Z409" s="204" t="n"/>
      <c r="AA409" s="204" t="n"/>
      <c r="AB409" s="204" t="n"/>
      <c r="AC409" s="204" t="n"/>
      <c r="AD409" s="204" t="n"/>
      <c r="AE409" s="204" t="n"/>
      <c r="AF409" s="204" t="n"/>
      <c r="AG409" s="204" t="n"/>
    </row>
    <row r="410" ht="12.75" customHeight="1" s="205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  <c r="S410" s="204" t="n"/>
      <c r="T410" s="204" t="n"/>
      <c r="U410" s="204" t="n"/>
      <c r="V410" s="204" t="n"/>
      <c r="W410" s="204" t="n"/>
      <c r="X410" s="204" t="n"/>
      <c r="Y410" s="204" t="n"/>
      <c r="Z410" s="204" t="n"/>
      <c r="AA410" s="204" t="n"/>
      <c r="AB410" s="204" t="n"/>
      <c r="AC410" s="204" t="n"/>
      <c r="AD410" s="204" t="n"/>
      <c r="AE410" s="204" t="n"/>
      <c r="AF410" s="204" t="n"/>
      <c r="AG410" s="204" t="n"/>
    </row>
    <row r="411" ht="12.75" customHeight="1" s="205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  <c r="S411" s="204" t="n"/>
      <c r="T411" s="204" t="n"/>
      <c r="U411" s="204" t="n"/>
      <c r="V411" s="204" t="n"/>
      <c r="W411" s="204" t="n"/>
      <c r="X411" s="204" t="n"/>
      <c r="Y411" s="204" t="n"/>
      <c r="Z411" s="204" t="n"/>
      <c r="AA411" s="204" t="n"/>
      <c r="AB411" s="204" t="n"/>
      <c r="AC411" s="204" t="n"/>
      <c r="AD411" s="204" t="n"/>
      <c r="AE411" s="204" t="n"/>
      <c r="AF411" s="204" t="n"/>
      <c r="AG411" s="204" t="n"/>
    </row>
    <row r="412" ht="12.75" customHeight="1" s="205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  <c r="S412" s="204" t="n"/>
      <c r="T412" s="204" t="n"/>
      <c r="U412" s="204" t="n"/>
      <c r="V412" s="204" t="n"/>
      <c r="W412" s="204" t="n"/>
      <c r="X412" s="204" t="n"/>
      <c r="Y412" s="204" t="n"/>
      <c r="Z412" s="204" t="n"/>
      <c r="AA412" s="204" t="n"/>
      <c r="AB412" s="204" t="n"/>
      <c r="AC412" s="204" t="n"/>
      <c r="AD412" s="204" t="n"/>
      <c r="AE412" s="204" t="n"/>
      <c r="AF412" s="204" t="n"/>
      <c r="AG412" s="204" t="n"/>
    </row>
    <row r="413" ht="12.75" customHeight="1" s="205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  <c r="S413" s="204" t="n"/>
      <c r="T413" s="204" t="n"/>
      <c r="U413" s="204" t="n"/>
      <c r="V413" s="204" t="n"/>
      <c r="W413" s="204" t="n"/>
      <c r="X413" s="204" t="n"/>
      <c r="Y413" s="204" t="n"/>
      <c r="Z413" s="204" t="n"/>
      <c r="AA413" s="204" t="n"/>
      <c r="AB413" s="204" t="n"/>
      <c r="AC413" s="204" t="n"/>
      <c r="AD413" s="204" t="n"/>
      <c r="AE413" s="204" t="n"/>
      <c r="AF413" s="204" t="n"/>
      <c r="AG413" s="204" t="n"/>
    </row>
    <row r="414" ht="12.75" customHeight="1" s="205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  <c r="S414" s="204" t="n"/>
      <c r="T414" s="204" t="n"/>
      <c r="U414" s="204" t="n"/>
      <c r="V414" s="204" t="n"/>
      <c r="W414" s="204" t="n"/>
      <c r="X414" s="204" t="n"/>
      <c r="Y414" s="204" t="n"/>
      <c r="Z414" s="204" t="n"/>
      <c r="AA414" s="204" t="n"/>
      <c r="AB414" s="204" t="n"/>
      <c r="AC414" s="204" t="n"/>
      <c r="AD414" s="204" t="n"/>
      <c r="AE414" s="204" t="n"/>
      <c r="AF414" s="204" t="n"/>
      <c r="AG414" s="204" t="n"/>
    </row>
    <row r="415" ht="12.75" customHeight="1" s="205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  <c r="S415" s="204" t="n"/>
      <c r="T415" s="204" t="n"/>
      <c r="U415" s="204" t="n"/>
      <c r="V415" s="204" t="n"/>
      <c r="W415" s="204" t="n"/>
      <c r="X415" s="204" t="n"/>
      <c r="Y415" s="204" t="n"/>
      <c r="Z415" s="204" t="n"/>
      <c r="AA415" s="204" t="n"/>
      <c r="AB415" s="204" t="n"/>
      <c r="AC415" s="204" t="n"/>
      <c r="AD415" s="204" t="n"/>
      <c r="AE415" s="204" t="n"/>
      <c r="AF415" s="204" t="n"/>
      <c r="AG415" s="204" t="n"/>
    </row>
    <row r="416" ht="12.75" customHeight="1" s="205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  <c r="S416" s="204" t="n"/>
      <c r="T416" s="204" t="n"/>
      <c r="U416" s="204" t="n"/>
      <c r="V416" s="204" t="n"/>
      <c r="W416" s="204" t="n"/>
      <c r="X416" s="204" t="n"/>
      <c r="Y416" s="204" t="n"/>
      <c r="Z416" s="204" t="n"/>
      <c r="AA416" s="204" t="n"/>
      <c r="AB416" s="204" t="n"/>
      <c r="AC416" s="204" t="n"/>
      <c r="AD416" s="204" t="n"/>
      <c r="AE416" s="204" t="n"/>
      <c r="AF416" s="204" t="n"/>
      <c r="AG416" s="204" t="n"/>
    </row>
    <row r="417" ht="12.75" customHeight="1" s="205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  <c r="S417" s="204" t="n"/>
      <c r="T417" s="204" t="n"/>
      <c r="U417" s="204" t="n"/>
      <c r="V417" s="204" t="n"/>
      <c r="W417" s="204" t="n"/>
      <c r="X417" s="204" t="n"/>
      <c r="Y417" s="204" t="n"/>
      <c r="Z417" s="204" t="n"/>
      <c r="AA417" s="204" t="n"/>
      <c r="AB417" s="204" t="n"/>
      <c r="AC417" s="204" t="n"/>
      <c r="AD417" s="204" t="n"/>
      <c r="AE417" s="204" t="n"/>
      <c r="AF417" s="204" t="n"/>
      <c r="AG417" s="204" t="n"/>
    </row>
    <row r="418" ht="12.75" customHeight="1" s="205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  <c r="S418" s="204" t="n"/>
      <c r="T418" s="204" t="n"/>
      <c r="U418" s="204" t="n"/>
      <c r="V418" s="204" t="n"/>
      <c r="W418" s="204" t="n"/>
      <c r="X418" s="204" t="n"/>
      <c r="Y418" s="204" t="n"/>
      <c r="Z418" s="204" t="n"/>
      <c r="AA418" s="204" t="n"/>
      <c r="AB418" s="204" t="n"/>
      <c r="AC418" s="204" t="n"/>
      <c r="AD418" s="204" t="n"/>
      <c r="AE418" s="204" t="n"/>
      <c r="AF418" s="204" t="n"/>
      <c r="AG418" s="204" t="n"/>
    </row>
    <row r="419" ht="12.75" customHeight="1" s="205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  <c r="S419" s="204" t="n"/>
      <c r="T419" s="204" t="n"/>
      <c r="U419" s="204" t="n"/>
      <c r="V419" s="204" t="n"/>
      <c r="W419" s="204" t="n"/>
      <c r="X419" s="204" t="n"/>
      <c r="Y419" s="204" t="n"/>
      <c r="Z419" s="204" t="n"/>
      <c r="AA419" s="204" t="n"/>
      <c r="AB419" s="204" t="n"/>
      <c r="AC419" s="204" t="n"/>
      <c r="AD419" s="204" t="n"/>
      <c r="AE419" s="204" t="n"/>
      <c r="AF419" s="204" t="n"/>
      <c r="AG419" s="204" t="n"/>
    </row>
    <row r="420" ht="12.75" customHeight="1" s="205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  <c r="S420" s="204" t="n"/>
      <c r="T420" s="204" t="n"/>
      <c r="U420" s="204" t="n"/>
      <c r="V420" s="204" t="n"/>
      <c r="W420" s="204" t="n"/>
      <c r="X420" s="204" t="n"/>
      <c r="Y420" s="204" t="n"/>
      <c r="Z420" s="204" t="n"/>
      <c r="AA420" s="204" t="n"/>
      <c r="AB420" s="204" t="n"/>
      <c r="AC420" s="204" t="n"/>
      <c r="AD420" s="204" t="n"/>
      <c r="AE420" s="204" t="n"/>
      <c r="AF420" s="204" t="n"/>
      <c r="AG420" s="204" t="n"/>
    </row>
    <row r="421" ht="12.75" customHeight="1" s="205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  <c r="S421" s="204" t="n"/>
      <c r="T421" s="204" t="n"/>
      <c r="U421" s="204" t="n"/>
      <c r="V421" s="204" t="n"/>
      <c r="W421" s="204" t="n"/>
      <c r="X421" s="204" t="n"/>
      <c r="Y421" s="204" t="n"/>
      <c r="Z421" s="204" t="n"/>
      <c r="AA421" s="204" t="n"/>
      <c r="AB421" s="204" t="n"/>
      <c r="AC421" s="204" t="n"/>
      <c r="AD421" s="204" t="n"/>
      <c r="AE421" s="204" t="n"/>
      <c r="AF421" s="204" t="n"/>
      <c r="AG421" s="204" t="n"/>
    </row>
    <row r="422" ht="12.75" customHeight="1" s="205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  <c r="S422" s="204" t="n"/>
      <c r="T422" s="204" t="n"/>
      <c r="U422" s="204" t="n"/>
      <c r="V422" s="204" t="n"/>
      <c r="W422" s="204" t="n"/>
      <c r="X422" s="204" t="n"/>
      <c r="Y422" s="204" t="n"/>
      <c r="Z422" s="204" t="n"/>
      <c r="AA422" s="204" t="n"/>
      <c r="AB422" s="204" t="n"/>
      <c r="AC422" s="204" t="n"/>
      <c r="AD422" s="204" t="n"/>
      <c r="AE422" s="204" t="n"/>
      <c r="AF422" s="204" t="n"/>
      <c r="AG422" s="204" t="n"/>
    </row>
    <row r="423" ht="12.75" customHeight="1" s="205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  <c r="S423" s="204" t="n"/>
      <c r="T423" s="204" t="n"/>
      <c r="U423" s="204" t="n"/>
      <c r="V423" s="204" t="n"/>
      <c r="W423" s="204" t="n"/>
      <c r="X423" s="204" t="n"/>
      <c r="Y423" s="204" t="n"/>
      <c r="Z423" s="204" t="n"/>
      <c r="AA423" s="204" t="n"/>
      <c r="AB423" s="204" t="n"/>
      <c r="AC423" s="204" t="n"/>
      <c r="AD423" s="204" t="n"/>
      <c r="AE423" s="204" t="n"/>
      <c r="AF423" s="204" t="n"/>
      <c r="AG423" s="204" t="n"/>
    </row>
    <row r="424" ht="12.75" customHeight="1" s="205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  <c r="S424" s="204" t="n"/>
      <c r="T424" s="204" t="n"/>
      <c r="U424" s="204" t="n"/>
      <c r="V424" s="204" t="n"/>
      <c r="W424" s="204" t="n"/>
      <c r="X424" s="204" t="n"/>
      <c r="Y424" s="204" t="n"/>
      <c r="Z424" s="204" t="n"/>
      <c r="AA424" s="204" t="n"/>
      <c r="AB424" s="204" t="n"/>
      <c r="AC424" s="204" t="n"/>
      <c r="AD424" s="204" t="n"/>
      <c r="AE424" s="204" t="n"/>
      <c r="AF424" s="204" t="n"/>
      <c r="AG424" s="204" t="n"/>
    </row>
    <row r="425" ht="12.75" customHeight="1" s="205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  <c r="S425" s="204" t="n"/>
      <c r="T425" s="204" t="n"/>
      <c r="U425" s="204" t="n"/>
      <c r="V425" s="204" t="n"/>
      <c r="W425" s="204" t="n"/>
      <c r="X425" s="204" t="n"/>
      <c r="Y425" s="204" t="n"/>
      <c r="Z425" s="204" t="n"/>
      <c r="AA425" s="204" t="n"/>
      <c r="AB425" s="204" t="n"/>
      <c r="AC425" s="204" t="n"/>
      <c r="AD425" s="204" t="n"/>
      <c r="AE425" s="204" t="n"/>
      <c r="AF425" s="204" t="n"/>
      <c r="AG425" s="204" t="n"/>
    </row>
    <row r="426" ht="12.75" customHeight="1" s="205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  <c r="S426" s="204" t="n"/>
      <c r="T426" s="204" t="n"/>
      <c r="U426" s="204" t="n"/>
      <c r="V426" s="204" t="n"/>
      <c r="W426" s="204" t="n"/>
      <c r="X426" s="204" t="n"/>
      <c r="Y426" s="204" t="n"/>
      <c r="Z426" s="204" t="n"/>
      <c r="AA426" s="204" t="n"/>
      <c r="AB426" s="204" t="n"/>
      <c r="AC426" s="204" t="n"/>
      <c r="AD426" s="204" t="n"/>
      <c r="AE426" s="204" t="n"/>
      <c r="AF426" s="204" t="n"/>
      <c r="AG426" s="204" t="n"/>
    </row>
    <row r="427" ht="12.75" customHeight="1" s="205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  <c r="S427" s="204" t="n"/>
      <c r="T427" s="204" t="n"/>
      <c r="U427" s="204" t="n"/>
      <c r="V427" s="204" t="n"/>
      <c r="W427" s="204" t="n"/>
      <c r="X427" s="204" t="n"/>
      <c r="Y427" s="204" t="n"/>
      <c r="Z427" s="204" t="n"/>
      <c r="AA427" s="204" t="n"/>
      <c r="AB427" s="204" t="n"/>
      <c r="AC427" s="204" t="n"/>
      <c r="AD427" s="204" t="n"/>
      <c r="AE427" s="204" t="n"/>
      <c r="AF427" s="204" t="n"/>
      <c r="AG427" s="204" t="n"/>
    </row>
    <row r="428" ht="12.75" customHeight="1" s="205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  <c r="S428" s="204" t="n"/>
      <c r="T428" s="204" t="n"/>
      <c r="U428" s="204" t="n"/>
      <c r="V428" s="204" t="n"/>
      <c r="W428" s="204" t="n"/>
      <c r="X428" s="204" t="n"/>
      <c r="Y428" s="204" t="n"/>
      <c r="Z428" s="204" t="n"/>
      <c r="AA428" s="204" t="n"/>
      <c r="AB428" s="204" t="n"/>
      <c r="AC428" s="204" t="n"/>
      <c r="AD428" s="204" t="n"/>
      <c r="AE428" s="204" t="n"/>
      <c r="AF428" s="204" t="n"/>
      <c r="AG428" s="204" t="n"/>
    </row>
    <row r="429" ht="12.75" customHeight="1" s="205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  <c r="S429" s="204" t="n"/>
      <c r="T429" s="204" t="n"/>
      <c r="U429" s="204" t="n"/>
      <c r="V429" s="204" t="n"/>
      <c r="W429" s="204" t="n"/>
      <c r="X429" s="204" t="n"/>
      <c r="Y429" s="204" t="n"/>
      <c r="Z429" s="204" t="n"/>
      <c r="AA429" s="204" t="n"/>
      <c r="AB429" s="204" t="n"/>
      <c r="AC429" s="204" t="n"/>
      <c r="AD429" s="204" t="n"/>
      <c r="AE429" s="204" t="n"/>
      <c r="AF429" s="204" t="n"/>
      <c r="AG429" s="204" t="n"/>
    </row>
    <row r="430" ht="12.75" customHeight="1" s="205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  <c r="S430" s="204" t="n"/>
      <c r="T430" s="204" t="n"/>
      <c r="U430" s="204" t="n"/>
      <c r="V430" s="204" t="n"/>
      <c r="W430" s="204" t="n"/>
      <c r="X430" s="204" t="n"/>
      <c r="Y430" s="204" t="n"/>
      <c r="Z430" s="204" t="n"/>
      <c r="AA430" s="204" t="n"/>
      <c r="AB430" s="204" t="n"/>
      <c r="AC430" s="204" t="n"/>
      <c r="AD430" s="204" t="n"/>
      <c r="AE430" s="204" t="n"/>
      <c r="AF430" s="204" t="n"/>
      <c r="AG430" s="204" t="n"/>
    </row>
    <row r="431" ht="12.75" customHeight="1" s="205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  <c r="S431" s="204" t="n"/>
      <c r="T431" s="204" t="n"/>
      <c r="U431" s="204" t="n"/>
      <c r="V431" s="204" t="n"/>
      <c r="W431" s="204" t="n"/>
      <c r="X431" s="204" t="n"/>
      <c r="Y431" s="204" t="n"/>
      <c r="Z431" s="204" t="n"/>
      <c r="AA431" s="204" t="n"/>
      <c r="AB431" s="204" t="n"/>
      <c r="AC431" s="204" t="n"/>
      <c r="AD431" s="204" t="n"/>
      <c r="AE431" s="204" t="n"/>
      <c r="AF431" s="204" t="n"/>
      <c r="AG431" s="204" t="n"/>
    </row>
    <row r="432" ht="12.75" customHeight="1" s="205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  <c r="S432" s="204" t="n"/>
      <c r="T432" s="204" t="n"/>
      <c r="U432" s="204" t="n"/>
      <c r="V432" s="204" t="n"/>
      <c r="W432" s="204" t="n"/>
      <c r="X432" s="204" t="n"/>
      <c r="Y432" s="204" t="n"/>
      <c r="Z432" s="204" t="n"/>
      <c r="AA432" s="204" t="n"/>
      <c r="AB432" s="204" t="n"/>
      <c r="AC432" s="204" t="n"/>
      <c r="AD432" s="204" t="n"/>
      <c r="AE432" s="204" t="n"/>
      <c r="AF432" s="204" t="n"/>
      <c r="AG432" s="204" t="n"/>
    </row>
    <row r="433" ht="12.75" customHeight="1" s="205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  <c r="S433" s="204" t="n"/>
      <c r="T433" s="204" t="n"/>
      <c r="U433" s="204" t="n"/>
      <c r="V433" s="204" t="n"/>
      <c r="W433" s="204" t="n"/>
      <c r="X433" s="204" t="n"/>
      <c r="Y433" s="204" t="n"/>
      <c r="Z433" s="204" t="n"/>
      <c r="AA433" s="204" t="n"/>
      <c r="AB433" s="204" t="n"/>
      <c r="AC433" s="204" t="n"/>
      <c r="AD433" s="204" t="n"/>
      <c r="AE433" s="204" t="n"/>
      <c r="AF433" s="204" t="n"/>
      <c r="AG433" s="204" t="n"/>
    </row>
    <row r="434" ht="12.75" customHeight="1" s="205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  <c r="S434" s="204" t="n"/>
      <c r="T434" s="204" t="n"/>
      <c r="U434" s="204" t="n"/>
      <c r="V434" s="204" t="n"/>
      <c r="W434" s="204" t="n"/>
      <c r="X434" s="204" t="n"/>
      <c r="Y434" s="204" t="n"/>
      <c r="Z434" s="204" t="n"/>
      <c r="AA434" s="204" t="n"/>
      <c r="AB434" s="204" t="n"/>
      <c r="AC434" s="204" t="n"/>
      <c r="AD434" s="204" t="n"/>
      <c r="AE434" s="204" t="n"/>
      <c r="AF434" s="204" t="n"/>
      <c r="AG434" s="204" t="n"/>
    </row>
    <row r="435" ht="12.75" customHeight="1" s="205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  <c r="S435" s="204" t="n"/>
      <c r="T435" s="204" t="n"/>
      <c r="U435" s="204" t="n"/>
      <c r="V435" s="204" t="n"/>
      <c r="W435" s="204" t="n"/>
      <c r="X435" s="204" t="n"/>
      <c r="Y435" s="204" t="n"/>
      <c r="Z435" s="204" t="n"/>
      <c r="AA435" s="204" t="n"/>
      <c r="AB435" s="204" t="n"/>
      <c r="AC435" s="204" t="n"/>
      <c r="AD435" s="204" t="n"/>
      <c r="AE435" s="204" t="n"/>
      <c r="AF435" s="204" t="n"/>
      <c r="AG435" s="204" t="n"/>
    </row>
    <row r="436" ht="12.75" customHeight="1" s="205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  <c r="S436" s="204" t="n"/>
      <c r="T436" s="204" t="n"/>
      <c r="U436" s="204" t="n"/>
      <c r="V436" s="204" t="n"/>
      <c r="W436" s="204" t="n"/>
      <c r="X436" s="204" t="n"/>
      <c r="Y436" s="204" t="n"/>
      <c r="Z436" s="204" t="n"/>
      <c r="AA436" s="204" t="n"/>
      <c r="AB436" s="204" t="n"/>
      <c r="AC436" s="204" t="n"/>
      <c r="AD436" s="204" t="n"/>
      <c r="AE436" s="204" t="n"/>
      <c r="AF436" s="204" t="n"/>
      <c r="AG436" s="204" t="n"/>
    </row>
    <row r="437" ht="12.75" customHeight="1" s="205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  <c r="S437" s="204" t="n"/>
      <c r="T437" s="204" t="n"/>
      <c r="U437" s="204" t="n"/>
      <c r="V437" s="204" t="n"/>
      <c r="W437" s="204" t="n"/>
      <c r="X437" s="204" t="n"/>
      <c r="Y437" s="204" t="n"/>
      <c r="Z437" s="204" t="n"/>
      <c r="AA437" s="204" t="n"/>
      <c r="AB437" s="204" t="n"/>
      <c r="AC437" s="204" t="n"/>
      <c r="AD437" s="204" t="n"/>
      <c r="AE437" s="204" t="n"/>
      <c r="AF437" s="204" t="n"/>
      <c r="AG437" s="204" t="n"/>
    </row>
    <row r="438" ht="12.75" customHeight="1" s="205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  <c r="S438" s="204" t="n"/>
      <c r="T438" s="204" t="n"/>
      <c r="U438" s="204" t="n"/>
      <c r="V438" s="204" t="n"/>
      <c r="W438" s="204" t="n"/>
      <c r="X438" s="204" t="n"/>
      <c r="Y438" s="204" t="n"/>
      <c r="Z438" s="204" t="n"/>
      <c r="AA438" s="204" t="n"/>
      <c r="AB438" s="204" t="n"/>
      <c r="AC438" s="204" t="n"/>
      <c r="AD438" s="204" t="n"/>
      <c r="AE438" s="204" t="n"/>
      <c r="AF438" s="204" t="n"/>
      <c r="AG438" s="204" t="n"/>
    </row>
    <row r="439" ht="12.75" customHeight="1" s="205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  <c r="S439" s="204" t="n"/>
      <c r="T439" s="204" t="n"/>
      <c r="U439" s="204" t="n"/>
      <c r="V439" s="204" t="n"/>
      <c r="W439" s="204" t="n"/>
      <c r="X439" s="204" t="n"/>
      <c r="Y439" s="204" t="n"/>
      <c r="Z439" s="204" t="n"/>
      <c r="AA439" s="204" t="n"/>
      <c r="AB439" s="204" t="n"/>
      <c r="AC439" s="204" t="n"/>
      <c r="AD439" s="204" t="n"/>
      <c r="AE439" s="204" t="n"/>
      <c r="AF439" s="204" t="n"/>
      <c r="AG439" s="204" t="n"/>
    </row>
    <row r="440" ht="12.75" customHeight="1" s="205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  <c r="S440" s="204" t="n"/>
      <c r="T440" s="204" t="n"/>
      <c r="U440" s="204" t="n"/>
      <c r="V440" s="204" t="n"/>
      <c r="W440" s="204" t="n"/>
      <c r="X440" s="204" t="n"/>
      <c r="Y440" s="204" t="n"/>
      <c r="Z440" s="204" t="n"/>
      <c r="AA440" s="204" t="n"/>
      <c r="AB440" s="204" t="n"/>
      <c r="AC440" s="204" t="n"/>
      <c r="AD440" s="204" t="n"/>
      <c r="AE440" s="204" t="n"/>
      <c r="AF440" s="204" t="n"/>
      <c r="AG440" s="204" t="n"/>
    </row>
    <row r="441" ht="12.75" customHeight="1" s="205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  <c r="S441" s="204" t="n"/>
      <c r="T441" s="204" t="n"/>
      <c r="U441" s="204" t="n"/>
      <c r="V441" s="204" t="n"/>
      <c r="W441" s="204" t="n"/>
      <c r="X441" s="204" t="n"/>
      <c r="Y441" s="204" t="n"/>
      <c r="Z441" s="204" t="n"/>
      <c r="AA441" s="204" t="n"/>
      <c r="AB441" s="204" t="n"/>
      <c r="AC441" s="204" t="n"/>
      <c r="AD441" s="204" t="n"/>
      <c r="AE441" s="204" t="n"/>
      <c r="AF441" s="204" t="n"/>
      <c r="AG441" s="204" t="n"/>
    </row>
    <row r="442" ht="12.75" customHeight="1" s="205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  <c r="S442" s="204" t="n"/>
      <c r="T442" s="204" t="n"/>
      <c r="U442" s="204" t="n"/>
      <c r="V442" s="204" t="n"/>
      <c r="W442" s="204" t="n"/>
      <c r="X442" s="204" t="n"/>
      <c r="Y442" s="204" t="n"/>
      <c r="Z442" s="204" t="n"/>
      <c r="AA442" s="204" t="n"/>
      <c r="AB442" s="204" t="n"/>
      <c r="AC442" s="204" t="n"/>
      <c r="AD442" s="204" t="n"/>
      <c r="AE442" s="204" t="n"/>
      <c r="AF442" s="204" t="n"/>
      <c r="AG442" s="204" t="n"/>
    </row>
    <row r="443" ht="12.75" customHeight="1" s="205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  <c r="S443" s="204" t="n"/>
      <c r="T443" s="204" t="n"/>
      <c r="U443" s="204" t="n"/>
      <c r="V443" s="204" t="n"/>
      <c r="W443" s="204" t="n"/>
      <c r="X443" s="204" t="n"/>
      <c r="Y443" s="204" t="n"/>
      <c r="Z443" s="204" t="n"/>
      <c r="AA443" s="204" t="n"/>
      <c r="AB443" s="204" t="n"/>
      <c r="AC443" s="204" t="n"/>
      <c r="AD443" s="204" t="n"/>
      <c r="AE443" s="204" t="n"/>
      <c r="AF443" s="204" t="n"/>
      <c r="AG443" s="204" t="n"/>
    </row>
    <row r="444" ht="12.75" customHeight="1" s="205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  <c r="S444" s="204" t="n"/>
      <c r="T444" s="204" t="n"/>
      <c r="U444" s="204" t="n"/>
      <c r="V444" s="204" t="n"/>
      <c r="W444" s="204" t="n"/>
      <c r="X444" s="204" t="n"/>
      <c r="Y444" s="204" t="n"/>
      <c r="Z444" s="204" t="n"/>
      <c r="AA444" s="204" t="n"/>
      <c r="AB444" s="204" t="n"/>
      <c r="AC444" s="204" t="n"/>
      <c r="AD444" s="204" t="n"/>
      <c r="AE444" s="204" t="n"/>
      <c r="AF444" s="204" t="n"/>
      <c r="AG444" s="204" t="n"/>
    </row>
    <row r="445" ht="12.75" customHeight="1" s="205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  <c r="S445" s="204" t="n"/>
      <c r="T445" s="204" t="n"/>
      <c r="U445" s="204" t="n"/>
      <c r="V445" s="204" t="n"/>
      <c r="W445" s="204" t="n"/>
      <c r="X445" s="204" t="n"/>
      <c r="Y445" s="204" t="n"/>
      <c r="Z445" s="204" t="n"/>
      <c r="AA445" s="204" t="n"/>
      <c r="AB445" s="204" t="n"/>
      <c r="AC445" s="204" t="n"/>
      <c r="AD445" s="204" t="n"/>
      <c r="AE445" s="204" t="n"/>
      <c r="AF445" s="204" t="n"/>
      <c r="AG445" s="204" t="n"/>
    </row>
    <row r="446" ht="12.75" customHeight="1" s="205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  <c r="S446" s="204" t="n"/>
      <c r="T446" s="204" t="n"/>
      <c r="U446" s="204" t="n"/>
      <c r="V446" s="204" t="n"/>
      <c r="W446" s="204" t="n"/>
      <c r="X446" s="204" t="n"/>
      <c r="Y446" s="204" t="n"/>
      <c r="Z446" s="204" t="n"/>
      <c r="AA446" s="204" t="n"/>
      <c r="AB446" s="204" t="n"/>
      <c r="AC446" s="204" t="n"/>
      <c r="AD446" s="204" t="n"/>
      <c r="AE446" s="204" t="n"/>
      <c r="AF446" s="204" t="n"/>
      <c r="AG446" s="204" t="n"/>
    </row>
    <row r="447" ht="12.75" customHeight="1" s="205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  <c r="S447" s="204" t="n"/>
      <c r="T447" s="204" t="n"/>
      <c r="U447" s="204" t="n"/>
      <c r="V447" s="204" t="n"/>
      <c r="W447" s="204" t="n"/>
      <c r="X447" s="204" t="n"/>
      <c r="Y447" s="204" t="n"/>
      <c r="Z447" s="204" t="n"/>
      <c r="AA447" s="204" t="n"/>
      <c r="AB447" s="204" t="n"/>
      <c r="AC447" s="204" t="n"/>
      <c r="AD447" s="204" t="n"/>
      <c r="AE447" s="204" t="n"/>
      <c r="AF447" s="204" t="n"/>
      <c r="AG447" s="204" t="n"/>
    </row>
    <row r="448" ht="12.75" customHeight="1" s="205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  <c r="S448" s="204" t="n"/>
      <c r="T448" s="204" t="n"/>
      <c r="U448" s="204" t="n"/>
      <c r="V448" s="204" t="n"/>
      <c r="W448" s="204" t="n"/>
      <c r="X448" s="204" t="n"/>
      <c r="Y448" s="204" t="n"/>
      <c r="Z448" s="204" t="n"/>
      <c r="AA448" s="204" t="n"/>
      <c r="AB448" s="204" t="n"/>
      <c r="AC448" s="204" t="n"/>
      <c r="AD448" s="204" t="n"/>
      <c r="AE448" s="204" t="n"/>
      <c r="AF448" s="204" t="n"/>
      <c r="AG448" s="204" t="n"/>
    </row>
    <row r="449" ht="12.75" customHeight="1" s="205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  <c r="S449" s="204" t="n"/>
      <c r="T449" s="204" t="n"/>
      <c r="U449" s="204" t="n"/>
      <c r="V449" s="204" t="n"/>
      <c r="W449" s="204" t="n"/>
      <c r="X449" s="204" t="n"/>
      <c r="Y449" s="204" t="n"/>
      <c r="Z449" s="204" t="n"/>
      <c r="AA449" s="204" t="n"/>
      <c r="AB449" s="204" t="n"/>
      <c r="AC449" s="204" t="n"/>
      <c r="AD449" s="204" t="n"/>
      <c r="AE449" s="204" t="n"/>
      <c r="AF449" s="204" t="n"/>
      <c r="AG449" s="204" t="n"/>
    </row>
    <row r="450" ht="12.75" customHeight="1" s="205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  <c r="S450" s="204" t="n"/>
      <c r="T450" s="204" t="n"/>
      <c r="U450" s="204" t="n"/>
      <c r="V450" s="204" t="n"/>
      <c r="W450" s="204" t="n"/>
      <c r="X450" s="204" t="n"/>
      <c r="Y450" s="204" t="n"/>
      <c r="Z450" s="204" t="n"/>
      <c r="AA450" s="204" t="n"/>
      <c r="AB450" s="204" t="n"/>
      <c r="AC450" s="204" t="n"/>
      <c r="AD450" s="204" t="n"/>
      <c r="AE450" s="204" t="n"/>
      <c r="AF450" s="204" t="n"/>
      <c r="AG450" s="204" t="n"/>
    </row>
    <row r="451" ht="12.75" customHeight="1" s="205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  <c r="S451" s="204" t="n"/>
      <c r="T451" s="204" t="n"/>
      <c r="U451" s="204" t="n"/>
      <c r="V451" s="204" t="n"/>
      <c r="W451" s="204" t="n"/>
      <c r="X451" s="204" t="n"/>
      <c r="Y451" s="204" t="n"/>
      <c r="Z451" s="204" t="n"/>
      <c r="AA451" s="204" t="n"/>
      <c r="AB451" s="204" t="n"/>
      <c r="AC451" s="204" t="n"/>
      <c r="AD451" s="204" t="n"/>
      <c r="AE451" s="204" t="n"/>
      <c r="AF451" s="204" t="n"/>
      <c r="AG451" s="204" t="n"/>
    </row>
    <row r="452" ht="12.75" customHeight="1" s="205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  <c r="S452" s="204" t="n"/>
      <c r="T452" s="204" t="n"/>
      <c r="U452" s="204" t="n"/>
      <c r="V452" s="204" t="n"/>
      <c r="W452" s="204" t="n"/>
      <c r="X452" s="204" t="n"/>
      <c r="Y452" s="204" t="n"/>
      <c r="Z452" s="204" t="n"/>
      <c r="AA452" s="204" t="n"/>
      <c r="AB452" s="204" t="n"/>
      <c r="AC452" s="204" t="n"/>
      <c r="AD452" s="204" t="n"/>
      <c r="AE452" s="204" t="n"/>
      <c r="AF452" s="204" t="n"/>
      <c r="AG452" s="204" t="n"/>
    </row>
    <row r="453" ht="12.75" customHeight="1" s="205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  <c r="S453" s="204" t="n"/>
      <c r="T453" s="204" t="n"/>
      <c r="U453" s="204" t="n"/>
      <c r="V453" s="204" t="n"/>
      <c r="W453" s="204" t="n"/>
      <c r="X453" s="204" t="n"/>
      <c r="Y453" s="204" t="n"/>
      <c r="Z453" s="204" t="n"/>
      <c r="AA453" s="204" t="n"/>
      <c r="AB453" s="204" t="n"/>
      <c r="AC453" s="204" t="n"/>
      <c r="AD453" s="204" t="n"/>
      <c r="AE453" s="204" t="n"/>
      <c r="AF453" s="204" t="n"/>
      <c r="AG453" s="204" t="n"/>
    </row>
    <row r="454" ht="12.75" customHeight="1" s="205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  <c r="S454" s="204" t="n"/>
      <c r="T454" s="204" t="n"/>
      <c r="U454" s="204" t="n"/>
      <c r="V454" s="204" t="n"/>
      <c r="W454" s="204" t="n"/>
      <c r="X454" s="204" t="n"/>
      <c r="Y454" s="204" t="n"/>
      <c r="Z454" s="204" t="n"/>
      <c r="AA454" s="204" t="n"/>
      <c r="AB454" s="204" t="n"/>
      <c r="AC454" s="204" t="n"/>
      <c r="AD454" s="204" t="n"/>
      <c r="AE454" s="204" t="n"/>
      <c r="AF454" s="204" t="n"/>
      <c r="AG454" s="204" t="n"/>
    </row>
    <row r="455" ht="12.75" customHeight="1" s="205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  <c r="S455" s="204" t="n"/>
      <c r="T455" s="204" t="n"/>
      <c r="U455" s="204" t="n"/>
      <c r="V455" s="204" t="n"/>
      <c r="W455" s="204" t="n"/>
      <c r="X455" s="204" t="n"/>
      <c r="Y455" s="204" t="n"/>
      <c r="Z455" s="204" t="n"/>
      <c r="AA455" s="204" t="n"/>
      <c r="AB455" s="204" t="n"/>
      <c r="AC455" s="204" t="n"/>
      <c r="AD455" s="204" t="n"/>
      <c r="AE455" s="204" t="n"/>
      <c r="AF455" s="204" t="n"/>
      <c r="AG455" s="204" t="n"/>
    </row>
    <row r="456" ht="12.75" customHeight="1" s="205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  <c r="S456" s="204" t="n"/>
      <c r="T456" s="204" t="n"/>
      <c r="U456" s="204" t="n"/>
      <c r="V456" s="204" t="n"/>
      <c r="W456" s="204" t="n"/>
      <c r="X456" s="204" t="n"/>
      <c r="Y456" s="204" t="n"/>
      <c r="Z456" s="204" t="n"/>
      <c r="AA456" s="204" t="n"/>
      <c r="AB456" s="204" t="n"/>
      <c r="AC456" s="204" t="n"/>
      <c r="AD456" s="204" t="n"/>
      <c r="AE456" s="204" t="n"/>
      <c r="AF456" s="204" t="n"/>
      <c r="AG456" s="204" t="n"/>
    </row>
    <row r="457" ht="12.75" customHeight="1" s="205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  <c r="S457" s="204" t="n"/>
      <c r="T457" s="204" t="n"/>
      <c r="U457" s="204" t="n"/>
      <c r="V457" s="204" t="n"/>
      <c r="W457" s="204" t="n"/>
      <c r="X457" s="204" t="n"/>
      <c r="Y457" s="204" t="n"/>
      <c r="Z457" s="204" t="n"/>
      <c r="AA457" s="204" t="n"/>
      <c r="AB457" s="204" t="n"/>
      <c r="AC457" s="204" t="n"/>
      <c r="AD457" s="204" t="n"/>
      <c r="AE457" s="204" t="n"/>
      <c r="AF457" s="204" t="n"/>
      <c r="AG457" s="204" t="n"/>
    </row>
    <row r="458" ht="12.75" customHeight="1" s="205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  <c r="S458" s="204" t="n"/>
      <c r="T458" s="204" t="n"/>
      <c r="U458" s="204" t="n"/>
      <c r="V458" s="204" t="n"/>
      <c r="W458" s="204" t="n"/>
      <c r="X458" s="204" t="n"/>
      <c r="Y458" s="204" t="n"/>
      <c r="Z458" s="204" t="n"/>
      <c r="AA458" s="204" t="n"/>
      <c r="AB458" s="204" t="n"/>
      <c r="AC458" s="204" t="n"/>
      <c r="AD458" s="204" t="n"/>
      <c r="AE458" s="204" t="n"/>
      <c r="AF458" s="204" t="n"/>
      <c r="AG458" s="204" t="n"/>
    </row>
    <row r="459" ht="12.75" customHeight="1" s="205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  <c r="S459" s="204" t="n"/>
      <c r="T459" s="204" t="n"/>
      <c r="U459" s="204" t="n"/>
      <c r="V459" s="204" t="n"/>
      <c r="W459" s="204" t="n"/>
      <c r="X459" s="204" t="n"/>
      <c r="Y459" s="204" t="n"/>
      <c r="Z459" s="204" t="n"/>
      <c r="AA459" s="204" t="n"/>
      <c r="AB459" s="204" t="n"/>
      <c r="AC459" s="204" t="n"/>
      <c r="AD459" s="204" t="n"/>
      <c r="AE459" s="204" t="n"/>
      <c r="AF459" s="204" t="n"/>
      <c r="AG459" s="204" t="n"/>
    </row>
    <row r="460" ht="12.75" customHeight="1" s="205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  <c r="S460" s="204" t="n"/>
      <c r="T460" s="204" t="n"/>
      <c r="U460" s="204" t="n"/>
      <c r="V460" s="204" t="n"/>
      <c r="W460" s="204" t="n"/>
      <c r="X460" s="204" t="n"/>
      <c r="Y460" s="204" t="n"/>
      <c r="Z460" s="204" t="n"/>
      <c r="AA460" s="204" t="n"/>
      <c r="AB460" s="204" t="n"/>
      <c r="AC460" s="204" t="n"/>
      <c r="AD460" s="204" t="n"/>
      <c r="AE460" s="204" t="n"/>
      <c r="AF460" s="204" t="n"/>
      <c r="AG460" s="204" t="n"/>
    </row>
    <row r="461" ht="12.75" customHeight="1" s="205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  <c r="S461" s="204" t="n"/>
      <c r="T461" s="204" t="n"/>
      <c r="U461" s="204" t="n"/>
      <c r="V461" s="204" t="n"/>
      <c r="W461" s="204" t="n"/>
      <c r="X461" s="204" t="n"/>
      <c r="Y461" s="204" t="n"/>
      <c r="Z461" s="204" t="n"/>
      <c r="AA461" s="204" t="n"/>
      <c r="AB461" s="204" t="n"/>
      <c r="AC461" s="204" t="n"/>
      <c r="AD461" s="204" t="n"/>
      <c r="AE461" s="204" t="n"/>
      <c r="AF461" s="204" t="n"/>
      <c r="AG461" s="204" t="n"/>
    </row>
    <row r="462" ht="12.75" customHeight="1" s="205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  <c r="S462" s="204" t="n"/>
      <c r="T462" s="204" t="n"/>
      <c r="U462" s="204" t="n"/>
      <c r="V462" s="204" t="n"/>
      <c r="W462" s="204" t="n"/>
      <c r="X462" s="204" t="n"/>
      <c r="Y462" s="204" t="n"/>
      <c r="Z462" s="204" t="n"/>
      <c r="AA462" s="204" t="n"/>
      <c r="AB462" s="204" t="n"/>
      <c r="AC462" s="204" t="n"/>
      <c r="AD462" s="204" t="n"/>
      <c r="AE462" s="204" t="n"/>
      <c r="AF462" s="204" t="n"/>
      <c r="AG462" s="204" t="n"/>
    </row>
    <row r="463" ht="12.75" customHeight="1" s="205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  <c r="S463" s="204" t="n"/>
      <c r="T463" s="204" t="n"/>
      <c r="U463" s="204" t="n"/>
      <c r="V463" s="204" t="n"/>
      <c r="W463" s="204" t="n"/>
      <c r="X463" s="204" t="n"/>
      <c r="Y463" s="204" t="n"/>
      <c r="Z463" s="204" t="n"/>
      <c r="AA463" s="204" t="n"/>
      <c r="AB463" s="204" t="n"/>
      <c r="AC463" s="204" t="n"/>
      <c r="AD463" s="204" t="n"/>
      <c r="AE463" s="204" t="n"/>
      <c r="AF463" s="204" t="n"/>
      <c r="AG463" s="204" t="n"/>
    </row>
    <row r="464" ht="12.75" customHeight="1" s="205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  <c r="S464" s="204" t="n"/>
      <c r="T464" s="204" t="n"/>
      <c r="U464" s="204" t="n"/>
      <c r="V464" s="204" t="n"/>
      <c r="W464" s="204" t="n"/>
      <c r="X464" s="204" t="n"/>
      <c r="Y464" s="204" t="n"/>
      <c r="Z464" s="204" t="n"/>
      <c r="AA464" s="204" t="n"/>
      <c r="AB464" s="204" t="n"/>
      <c r="AC464" s="204" t="n"/>
      <c r="AD464" s="204" t="n"/>
      <c r="AE464" s="204" t="n"/>
      <c r="AF464" s="204" t="n"/>
      <c r="AG464" s="204" t="n"/>
    </row>
    <row r="465" ht="12.75" customHeight="1" s="205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  <c r="S465" s="204" t="n"/>
      <c r="T465" s="204" t="n"/>
      <c r="U465" s="204" t="n"/>
      <c r="V465" s="204" t="n"/>
      <c r="W465" s="204" t="n"/>
      <c r="X465" s="204" t="n"/>
      <c r="Y465" s="204" t="n"/>
      <c r="Z465" s="204" t="n"/>
      <c r="AA465" s="204" t="n"/>
      <c r="AB465" s="204" t="n"/>
      <c r="AC465" s="204" t="n"/>
      <c r="AD465" s="204" t="n"/>
      <c r="AE465" s="204" t="n"/>
      <c r="AF465" s="204" t="n"/>
      <c r="AG465" s="204" t="n"/>
    </row>
    <row r="466" ht="12.75" customHeight="1" s="205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  <c r="S466" s="204" t="n"/>
      <c r="T466" s="204" t="n"/>
      <c r="U466" s="204" t="n"/>
      <c r="V466" s="204" t="n"/>
      <c r="W466" s="204" t="n"/>
      <c r="X466" s="204" t="n"/>
      <c r="Y466" s="204" t="n"/>
      <c r="Z466" s="204" t="n"/>
      <c r="AA466" s="204" t="n"/>
      <c r="AB466" s="204" t="n"/>
      <c r="AC466" s="204" t="n"/>
      <c r="AD466" s="204" t="n"/>
      <c r="AE466" s="204" t="n"/>
      <c r="AF466" s="204" t="n"/>
      <c r="AG466" s="204" t="n"/>
    </row>
    <row r="467" ht="12.75" customHeight="1" s="205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  <c r="S467" s="204" t="n"/>
      <c r="T467" s="204" t="n"/>
      <c r="U467" s="204" t="n"/>
      <c r="V467" s="204" t="n"/>
      <c r="W467" s="204" t="n"/>
      <c r="X467" s="204" t="n"/>
      <c r="Y467" s="204" t="n"/>
      <c r="Z467" s="204" t="n"/>
      <c r="AA467" s="204" t="n"/>
      <c r="AB467" s="204" t="n"/>
      <c r="AC467" s="204" t="n"/>
      <c r="AD467" s="204" t="n"/>
      <c r="AE467" s="204" t="n"/>
      <c r="AF467" s="204" t="n"/>
      <c r="AG467" s="204" t="n"/>
    </row>
    <row r="468" ht="12.75" customHeight="1" s="205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  <c r="S468" s="204" t="n"/>
      <c r="T468" s="204" t="n"/>
      <c r="U468" s="204" t="n"/>
      <c r="V468" s="204" t="n"/>
      <c r="W468" s="204" t="n"/>
      <c r="X468" s="204" t="n"/>
      <c r="Y468" s="204" t="n"/>
      <c r="Z468" s="204" t="n"/>
      <c r="AA468" s="204" t="n"/>
      <c r="AB468" s="204" t="n"/>
      <c r="AC468" s="204" t="n"/>
      <c r="AD468" s="204" t="n"/>
      <c r="AE468" s="204" t="n"/>
      <c r="AF468" s="204" t="n"/>
      <c r="AG468" s="204" t="n"/>
    </row>
    <row r="469" ht="12.75" customHeight="1" s="205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  <c r="S469" s="204" t="n"/>
      <c r="T469" s="204" t="n"/>
      <c r="U469" s="204" t="n"/>
      <c r="V469" s="204" t="n"/>
      <c r="W469" s="204" t="n"/>
      <c r="X469" s="204" t="n"/>
      <c r="Y469" s="204" t="n"/>
      <c r="Z469" s="204" t="n"/>
      <c r="AA469" s="204" t="n"/>
      <c r="AB469" s="204" t="n"/>
      <c r="AC469" s="204" t="n"/>
      <c r="AD469" s="204" t="n"/>
      <c r="AE469" s="204" t="n"/>
      <c r="AF469" s="204" t="n"/>
      <c r="AG469" s="204" t="n"/>
    </row>
    <row r="470" ht="12.75" customHeight="1" s="205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  <c r="S470" s="204" t="n"/>
      <c r="T470" s="204" t="n"/>
      <c r="U470" s="204" t="n"/>
      <c r="V470" s="204" t="n"/>
      <c r="W470" s="204" t="n"/>
      <c r="X470" s="204" t="n"/>
      <c r="Y470" s="204" t="n"/>
      <c r="Z470" s="204" t="n"/>
      <c r="AA470" s="204" t="n"/>
      <c r="AB470" s="204" t="n"/>
      <c r="AC470" s="204" t="n"/>
      <c r="AD470" s="204" t="n"/>
      <c r="AE470" s="204" t="n"/>
      <c r="AF470" s="204" t="n"/>
      <c r="AG470" s="204" t="n"/>
    </row>
    <row r="471" ht="12.75" customHeight="1" s="205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  <c r="S471" s="204" t="n"/>
      <c r="T471" s="204" t="n"/>
      <c r="U471" s="204" t="n"/>
      <c r="V471" s="204" t="n"/>
      <c r="W471" s="204" t="n"/>
      <c r="X471" s="204" t="n"/>
      <c r="Y471" s="204" t="n"/>
      <c r="Z471" s="204" t="n"/>
      <c r="AA471" s="204" t="n"/>
      <c r="AB471" s="204" t="n"/>
      <c r="AC471" s="204" t="n"/>
      <c r="AD471" s="204" t="n"/>
      <c r="AE471" s="204" t="n"/>
      <c r="AF471" s="204" t="n"/>
      <c r="AG471" s="204" t="n"/>
    </row>
    <row r="472" ht="12.75" customHeight="1" s="205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  <c r="S472" s="204" t="n"/>
      <c r="T472" s="204" t="n"/>
      <c r="U472" s="204" t="n"/>
      <c r="V472" s="204" t="n"/>
      <c r="W472" s="204" t="n"/>
      <c r="X472" s="204" t="n"/>
      <c r="Y472" s="204" t="n"/>
      <c r="Z472" s="204" t="n"/>
      <c r="AA472" s="204" t="n"/>
      <c r="AB472" s="204" t="n"/>
      <c r="AC472" s="204" t="n"/>
      <c r="AD472" s="204" t="n"/>
      <c r="AE472" s="204" t="n"/>
      <c r="AF472" s="204" t="n"/>
      <c r="AG472" s="204" t="n"/>
    </row>
    <row r="473" ht="12.75" customHeight="1" s="205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  <c r="S473" s="204" t="n"/>
      <c r="T473" s="204" t="n"/>
      <c r="U473" s="204" t="n"/>
      <c r="V473" s="204" t="n"/>
      <c r="W473" s="204" t="n"/>
      <c r="X473" s="204" t="n"/>
      <c r="Y473" s="204" t="n"/>
      <c r="Z473" s="204" t="n"/>
      <c r="AA473" s="204" t="n"/>
      <c r="AB473" s="204" t="n"/>
      <c r="AC473" s="204" t="n"/>
      <c r="AD473" s="204" t="n"/>
      <c r="AE473" s="204" t="n"/>
      <c r="AF473" s="204" t="n"/>
      <c r="AG473" s="204" t="n"/>
    </row>
    <row r="474" ht="12.75" customHeight="1" s="205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  <c r="S474" s="204" t="n"/>
      <c r="T474" s="204" t="n"/>
      <c r="U474" s="204" t="n"/>
      <c r="V474" s="204" t="n"/>
      <c r="W474" s="204" t="n"/>
      <c r="X474" s="204" t="n"/>
      <c r="Y474" s="204" t="n"/>
      <c r="Z474" s="204" t="n"/>
      <c r="AA474" s="204" t="n"/>
      <c r="AB474" s="204" t="n"/>
      <c r="AC474" s="204" t="n"/>
      <c r="AD474" s="204" t="n"/>
      <c r="AE474" s="204" t="n"/>
      <c r="AF474" s="204" t="n"/>
      <c r="AG474" s="204" t="n"/>
    </row>
    <row r="475" ht="12.75" customHeight="1" s="205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  <c r="S475" s="204" t="n"/>
      <c r="T475" s="204" t="n"/>
      <c r="U475" s="204" t="n"/>
      <c r="V475" s="204" t="n"/>
      <c r="W475" s="204" t="n"/>
      <c r="X475" s="204" t="n"/>
      <c r="Y475" s="204" t="n"/>
      <c r="Z475" s="204" t="n"/>
      <c r="AA475" s="204" t="n"/>
      <c r="AB475" s="204" t="n"/>
      <c r="AC475" s="204" t="n"/>
      <c r="AD475" s="204" t="n"/>
      <c r="AE475" s="204" t="n"/>
      <c r="AF475" s="204" t="n"/>
      <c r="AG475" s="204" t="n"/>
    </row>
    <row r="476" ht="12.75" customHeight="1" s="205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  <c r="S476" s="204" t="n"/>
      <c r="T476" s="204" t="n"/>
      <c r="U476" s="204" t="n"/>
      <c r="V476" s="204" t="n"/>
      <c r="W476" s="204" t="n"/>
      <c r="X476" s="204" t="n"/>
      <c r="Y476" s="204" t="n"/>
      <c r="Z476" s="204" t="n"/>
      <c r="AA476" s="204" t="n"/>
      <c r="AB476" s="204" t="n"/>
      <c r="AC476" s="204" t="n"/>
      <c r="AD476" s="204" t="n"/>
      <c r="AE476" s="204" t="n"/>
      <c r="AF476" s="204" t="n"/>
      <c r="AG476" s="204" t="n"/>
    </row>
    <row r="477" ht="12.75" customHeight="1" s="205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  <c r="S477" s="204" t="n"/>
      <c r="T477" s="204" t="n"/>
      <c r="U477" s="204" t="n"/>
      <c r="V477" s="204" t="n"/>
      <c r="W477" s="204" t="n"/>
      <c r="X477" s="204" t="n"/>
      <c r="Y477" s="204" t="n"/>
      <c r="Z477" s="204" t="n"/>
      <c r="AA477" s="204" t="n"/>
      <c r="AB477" s="204" t="n"/>
      <c r="AC477" s="204" t="n"/>
      <c r="AD477" s="204" t="n"/>
      <c r="AE477" s="204" t="n"/>
      <c r="AF477" s="204" t="n"/>
      <c r="AG477" s="204" t="n"/>
    </row>
    <row r="478" ht="12.75" customHeight="1" s="205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  <c r="S478" s="204" t="n"/>
      <c r="T478" s="204" t="n"/>
      <c r="U478" s="204" t="n"/>
      <c r="V478" s="204" t="n"/>
      <c r="W478" s="204" t="n"/>
      <c r="X478" s="204" t="n"/>
      <c r="Y478" s="204" t="n"/>
      <c r="Z478" s="204" t="n"/>
      <c r="AA478" s="204" t="n"/>
      <c r="AB478" s="204" t="n"/>
      <c r="AC478" s="204" t="n"/>
      <c r="AD478" s="204" t="n"/>
      <c r="AE478" s="204" t="n"/>
      <c r="AF478" s="204" t="n"/>
      <c r="AG478" s="204" t="n"/>
    </row>
    <row r="479" ht="12.75" customHeight="1" s="205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  <c r="S479" s="204" t="n"/>
      <c r="T479" s="204" t="n"/>
      <c r="U479" s="204" t="n"/>
      <c r="V479" s="204" t="n"/>
      <c r="W479" s="204" t="n"/>
      <c r="X479" s="204" t="n"/>
      <c r="Y479" s="204" t="n"/>
      <c r="Z479" s="204" t="n"/>
      <c r="AA479" s="204" t="n"/>
      <c r="AB479" s="204" t="n"/>
      <c r="AC479" s="204" t="n"/>
      <c r="AD479" s="204" t="n"/>
      <c r="AE479" s="204" t="n"/>
      <c r="AF479" s="204" t="n"/>
      <c r="AG479" s="204" t="n"/>
    </row>
    <row r="480" ht="12.75" customHeight="1" s="205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  <c r="S480" s="204" t="n"/>
      <c r="T480" s="204" t="n"/>
      <c r="U480" s="204" t="n"/>
      <c r="V480" s="204" t="n"/>
      <c r="W480" s="204" t="n"/>
      <c r="X480" s="204" t="n"/>
      <c r="Y480" s="204" t="n"/>
      <c r="Z480" s="204" t="n"/>
      <c r="AA480" s="204" t="n"/>
      <c r="AB480" s="204" t="n"/>
      <c r="AC480" s="204" t="n"/>
      <c r="AD480" s="204" t="n"/>
      <c r="AE480" s="204" t="n"/>
      <c r="AF480" s="204" t="n"/>
      <c r="AG480" s="204" t="n"/>
    </row>
    <row r="481" ht="12.75" customHeight="1" s="205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  <c r="S481" s="204" t="n"/>
      <c r="T481" s="204" t="n"/>
      <c r="U481" s="204" t="n"/>
      <c r="V481" s="204" t="n"/>
      <c r="W481" s="204" t="n"/>
      <c r="X481" s="204" t="n"/>
      <c r="Y481" s="204" t="n"/>
      <c r="Z481" s="204" t="n"/>
      <c r="AA481" s="204" t="n"/>
      <c r="AB481" s="204" t="n"/>
      <c r="AC481" s="204" t="n"/>
      <c r="AD481" s="204" t="n"/>
      <c r="AE481" s="204" t="n"/>
      <c r="AF481" s="204" t="n"/>
      <c r="AG481" s="204" t="n"/>
    </row>
    <row r="482" ht="12.75" customHeight="1" s="205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  <c r="S482" s="204" t="n"/>
      <c r="T482" s="204" t="n"/>
      <c r="U482" s="204" t="n"/>
      <c r="V482" s="204" t="n"/>
      <c r="W482" s="204" t="n"/>
      <c r="X482" s="204" t="n"/>
      <c r="Y482" s="204" t="n"/>
      <c r="Z482" s="204" t="n"/>
      <c r="AA482" s="204" t="n"/>
      <c r="AB482" s="204" t="n"/>
      <c r="AC482" s="204" t="n"/>
      <c r="AD482" s="204" t="n"/>
      <c r="AE482" s="204" t="n"/>
      <c r="AF482" s="204" t="n"/>
      <c r="AG482" s="204" t="n"/>
    </row>
    <row r="483" ht="12.75" customHeight="1" s="205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  <c r="S483" s="204" t="n"/>
      <c r="T483" s="204" t="n"/>
      <c r="U483" s="204" t="n"/>
      <c r="V483" s="204" t="n"/>
      <c r="W483" s="204" t="n"/>
      <c r="X483" s="204" t="n"/>
      <c r="Y483" s="204" t="n"/>
      <c r="Z483" s="204" t="n"/>
      <c r="AA483" s="204" t="n"/>
      <c r="AB483" s="204" t="n"/>
      <c r="AC483" s="204" t="n"/>
      <c r="AD483" s="204" t="n"/>
      <c r="AE483" s="204" t="n"/>
      <c r="AF483" s="204" t="n"/>
      <c r="AG483" s="204" t="n"/>
    </row>
    <row r="484" ht="12.75" customHeight="1" s="205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  <c r="S484" s="204" t="n"/>
      <c r="T484" s="204" t="n"/>
      <c r="U484" s="204" t="n"/>
      <c r="V484" s="204" t="n"/>
      <c r="W484" s="204" t="n"/>
      <c r="X484" s="204" t="n"/>
      <c r="Y484" s="204" t="n"/>
      <c r="Z484" s="204" t="n"/>
      <c r="AA484" s="204" t="n"/>
      <c r="AB484" s="204" t="n"/>
      <c r="AC484" s="204" t="n"/>
      <c r="AD484" s="204" t="n"/>
      <c r="AE484" s="204" t="n"/>
      <c r="AF484" s="204" t="n"/>
      <c r="AG484" s="204" t="n"/>
    </row>
    <row r="485" ht="12.75" customHeight="1" s="205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  <c r="S485" s="204" t="n"/>
      <c r="T485" s="204" t="n"/>
      <c r="U485" s="204" t="n"/>
      <c r="V485" s="204" t="n"/>
      <c r="W485" s="204" t="n"/>
      <c r="X485" s="204" t="n"/>
      <c r="Y485" s="204" t="n"/>
      <c r="Z485" s="204" t="n"/>
      <c r="AA485" s="204" t="n"/>
      <c r="AB485" s="204" t="n"/>
      <c r="AC485" s="204" t="n"/>
      <c r="AD485" s="204" t="n"/>
      <c r="AE485" s="204" t="n"/>
      <c r="AF485" s="204" t="n"/>
      <c r="AG485" s="204" t="n"/>
    </row>
    <row r="486" ht="12.75" customHeight="1" s="205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  <c r="S486" s="204" t="n"/>
      <c r="T486" s="204" t="n"/>
      <c r="U486" s="204" t="n"/>
      <c r="V486" s="204" t="n"/>
      <c r="W486" s="204" t="n"/>
      <c r="X486" s="204" t="n"/>
      <c r="Y486" s="204" t="n"/>
      <c r="Z486" s="204" t="n"/>
      <c r="AA486" s="204" t="n"/>
      <c r="AB486" s="204" t="n"/>
      <c r="AC486" s="204" t="n"/>
      <c r="AD486" s="204" t="n"/>
      <c r="AE486" s="204" t="n"/>
      <c r="AF486" s="204" t="n"/>
      <c r="AG486" s="204" t="n"/>
    </row>
    <row r="487" ht="12.75" customHeight="1" s="205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  <c r="S487" s="204" t="n"/>
      <c r="T487" s="204" t="n"/>
      <c r="U487" s="204" t="n"/>
      <c r="V487" s="204" t="n"/>
      <c r="W487" s="204" t="n"/>
      <c r="X487" s="204" t="n"/>
      <c r="Y487" s="204" t="n"/>
      <c r="Z487" s="204" t="n"/>
      <c r="AA487" s="204" t="n"/>
      <c r="AB487" s="204" t="n"/>
      <c r="AC487" s="204" t="n"/>
      <c r="AD487" s="204" t="n"/>
      <c r="AE487" s="204" t="n"/>
      <c r="AF487" s="204" t="n"/>
      <c r="AG487" s="204" t="n"/>
    </row>
    <row r="488" ht="12.75" customHeight="1" s="205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  <c r="S488" s="204" t="n"/>
      <c r="T488" s="204" t="n"/>
      <c r="U488" s="204" t="n"/>
      <c r="V488" s="204" t="n"/>
      <c r="W488" s="204" t="n"/>
      <c r="X488" s="204" t="n"/>
      <c r="Y488" s="204" t="n"/>
      <c r="Z488" s="204" t="n"/>
      <c r="AA488" s="204" t="n"/>
      <c r="AB488" s="204" t="n"/>
      <c r="AC488" s="204" t="n"/>
      <c r="AD488" s="204" t="n"/>
      <c r="AE488" s="204" t="n"/>
      <c r="AF488" s="204" t="n"/>
      <c r="AG488" s="204" t="n"/>
    </row>
    <row r="489" ht="12.75" customHeight="1" s="205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  <c r="S489" s="204" t="n"/>
      <c r="T489" s="204" t="n"/>
      <c r="U489" s="204" t="n"/>
      <c r="V489" s="204" t="n"/>
      <c r="W489" s="204" t="n"/>
      <c r="X489" s="204" t="n"/>
      <c r="Y489" s="204" t="n"/>
      <c r="Z489" s="204" t="n"/>
      <c r="AA489" s="204" t="n"/>
      <c r="AB489" s="204" t="n"/>
      <c r="AC489" s="204" t="n"/>
      <c r="AD489" s="204" t="n"/>
      <c r="AE489" s="204" t="n"/>
      <c r="AF489" s="204" t="n"/>
      <c r="AG489" s="204" t="n"/>
    </row>
    <row r="490" ht="12.75" customHeight="1" s="205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  <c r="S490" s="204" t="n"/>
      <c r="T490" s="204" t="n"/>
      <c r="U490" s="204" t="n"/>
      <c r="V490" s="204" t="n"/>
      <c r="W490" s="204" t="n"/>
      <c r="X490" s="204" t="n"/>
      <c r="Y490" s="204" t="n"/>
      <c r="Z490" s="204" t="n"/>
      <c r="AA490" s="204" t="n"/>
      <c r="AB490" s="204" t="n"/>
      <c r="AC490" s="204" t="n"/>
      <c r="AD490" s="204" t="n"/>
      <c r="AE490" s="204" t="n"/>
      <c r="AF490" s="204" t="n"/>
      <c r="AG490" s="204" t="n"/>
    </row>
    <row r="491" ht="12.75" customHeight="1" s="205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  <c r="S491" s="204" t="n"/>
      <c r="T491" s="204" t="n"/>
      <c r="U491" s="204" t="n"/>
      <c r="V491" s="204" t="n"/>
      <c r="W491" s="204" t="n"/>
      <c r="X491" s="204" t="n"/>
      <c r="Y491" s="204" t="n"/>
      <c r="Z491" s="204" t="n"/>
      <c r="AA491" s="204" t="n"/>
      <c r="AB491" s="204" t="n"/>
      <c r="AC491" s="204" t="n"/>
      <c r="AD491" s="204" t="n"/>
      <c r="AE491" s="204" t="n"/>
      <c r="AF491" s="204" t="n"/>
      <c r="AG491" s="204" t="n"/>
    </row>
    <row r="492" ht="12.75" customHeight="1" s="205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  <c r="S492" s="204" t="n"/>
      <c r="T492" s="204" t="n"/>
      <c r="U492" s="204" t="n"/>
      <c r="V492" s="204" t="n"/>
      <c r="W492" s="204" t="n"/>
      <c r="X492" s="204" t="n"/>
      <c r="Y492" s="204" t="n"/>
      <c r="Z492" s="204" t="n"/>
      <c r="AA492" s="204" t="n"/>
      <c r="AB492" s="204" t="n"/>
      <c r="AC492" s="204" t="n"/>
      <c r="AD492" s="204" t="n"/>
      <c r="AE492" s="204" t="n"/>
      <c r="AF492" s="204" t="n"/>
      <c r="AG492" s="204" t="n"/>
    </row>
    <row r="493" ht="12.75" customHeight="1" s="205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  <c r="S493" s="204" t="n"/>
      <c r="T493" s="204" t="n"/>
      <c r="U493" s="204" t="n"/>
      <c r="V493" s="204" t="n"/>
      <c r="W493" s="204" t="n"/>
      <c r="X493" s="204" t="n"/>
      <c r="Y493" s="204" t="n"/>
      <c r="Z493" s="204" t="n"/>
      <c r="AA493" s="204" t="n"/>
      <c r="AB493" s="204" t="n"/>
      <c r="AC493" s="204" t="n"/>
      <c r="AD493" s="204" t="n"/>
      <c r="AE493" s="204" t="n"/>
      <c r="AF493" s="204" t="n"/>
      <c r="AG493" s="204" t="n"/>
    </row>
    <row r="494" ht="12.75" customHeight="1" s="205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  <c r="S494" s="204" t="n"/>
      <c r="T494" s="204" t="n"/>
      <c r="U494" s="204" t="n"/>
      <c r="V494" s="204" t="n"/>
      <c r="W494" s="204" t="n"/>
      <c r="X494" s="204" t="n"/>
      <c r="Y494" s="204" t="n"/>
      <c r="Z494" s="204" t="n"/>
      <c r="AA494" s="204" t="n"/>
      <c r="AB494" s="204" t="n"/>
      <c r="AC494" s="204" t="n"/>
      <c r="AD494" s="204" t="n"/>
      <c r="AE494" s="204" t="n"/>
      <c r="AF494" s="204" t="n"/>
      <c r="AG494" s="204" t="n"/>
    </row>
    <row r="495" ht="12.75" customHeight="1" s="205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  <c r="S495" s="204" t="n"/>
      <c r="T495" s="204" t="n"/>
      <c r="U495" s="204" t="n"/>
      <c r="V495" s="204" t="n"/>
      <c r="W495" s="204" t="n"/>
      <c r="X495" s="204" t="n"/>
      <c r="Y495" s="204" t="n"/>
      <c r="Z495" s="204" t="n"/>
      <c r="AA495" s="204" t="n"/>
      <c r="AB495" s="204" t="n"/>
      <c r="AC495" s="204" t="n"/>
      <c r="AD495" s="204" t="n"/>
      <c r="AE495" s="204" t="n"/>
      <c r="AF495" s="204" t="n"/>
      <c r="AG495" s="204" t="n"/>
    </row>
    <row r="496" ht="12.75" customHeight="1" s="205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  <c r="S496" s="204" t="n"/>
      <c r="T496" s="204" t="n"/>
      <c r="U496" s="204" t="n"/>
      <c r="V496" s="204" t="n"/>
      <c r="W496" s="204" t="n"/>
      <c r="X496" s="204" t="n"/>
      <c r="Y496" s="204" t="n"/>
      <c r="Z496" s="204" t="n"/>
      <c r="AA496" s="204" t="n"/>
      <c r="AB496" s="204" t="n"/>
      <c r="AC496" s="204" t="n"/>
      <c r="AD496" s="204" t="n"/>
      <c r="AE496" s="204" t="n"/>
      <c r="AF496" s="204" t="n"/>
      <c r="AG496" s="204" t="n"/>
    </row>
    <row r="497" ht="12.75" customHeight="1" s="205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  <c r="S497" s="204" t="n"/>
      <c r="T497" s="204" t="n"/>
      <c r="U497" s="204" t="n"/>
      <c r="V497" s="204" t="n"/>
      <c r="W497" s="204" t="n"/>
      <c r="X497" s="204" t="n"/>
      <c r="Y497" s="204" t="n"/>
      <c r="Z497" s="204" t="n"/>
      <c r="AA497" s="204" t="n"/>
      <c r="AB497" s="204" t="n"/>
      <c r="AC497" s="204" t="n"/>
      <c r="AD497" s="204" t="n"/>
      <c r="AE497" s="204" t="n"/>
      <c r="AF497" s="204" t="n"/>
      <c r="AG497" s="204" t="n"/>
    </row>
    <row r="498" ht="12.75" customHeight="1" s="205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  <c r="S498" s="204" t="n"/>
      <c r="T498" s="204" t="n"/>
      <c r="U498" s="204" t="n"/>
      <c r="V498" s="204" t="n"/>
      <c r="W498" s="204" t="n"/>
      <c r="X498" s="204" t="n"/>
      <c r="Y498" s="204" t="n"/>
      <c r="Z498" s="204" t="n"/>
      <c r="AA498" s="204" t="n"/>
      <c r="AB498" s="204" t="n"/>
      <c r="AC498" s="204" t="n"/>
      <c r="AD498" s="204" t="n"/>
      <c r="AE498" s="204" t="n"/>
      <c r="AF498" s="204" t="n"/>
      <c r="AG498" s="204" t="n"/>
    </row>
    <row r="499" ht="12.75" customHeight="1" s="205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  <c r="S499" s="204" t="n"/>
      <c r="T499" s="204" t="n"/>
      <c r="U499" s="204" t="n"/>
      <c r="V499" s="204" t="n"/>
      <c r="W499" s="204" t="n"/>
      <c r="X499" s="204" t="n"/>
      <c r="Y499" s="204" t="n"/>
      <c r="Z499" s="204" t="n"/>
      <c r="AA499" s="204" t="n"/>
      <c r="AB499" s="204" t="n"/>
      <c r="AC499" s="204" t="n"/>
      <c r="AD499" s="204" t="n"/>
      <c r="AE499" s="204" t="n"/>
      <c r="AF499" s="204" t="n"/>
      <c r="AG499" s="204" t="n"/>
    </row>
    <row r="500" ht="12.75" customHeight="1" s="205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  <c r="S500" s="204" t="n"/>
      <c r="T500" s="204" t="n"/>
      <c r="U500" s="204" t="n"/>
      <c r="V500" s="204" t="n"/>
      <c r="W500" s="204" t="n"/>
      <c r="X500" s="204" t="n"/>
      <c r="Y500" s="204" t="n"/>
      <c r="Z500" s="204" t="n"/>
      <c r="AA500" s="204" t="n"/>
      <c r="AB500" s="204" t="n"/>
      <c r="AC500" s="204" t="n"/>
      <c r="AD500" s="204" t="n"/>
      <c r="AE500" s="204" t="n"/>
      <c r="AF500" s="204" t="n"/>
      <c r="AG500" s="204" t="n"/>
    </row>
    <row r="501" ht="12.75" customHeight="1" s="205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  <c r="S501" s="204" t="n"/>
      <c r="T501" s="204" t="n"/>
      <c r="U501" s="204" t="n"/>
      <c r="V501" s="204" t="n"/>
      <c r="W501" s="204" t="n"/>
      <c r="X501" s="204" t="n"/>
      <c r="Y501" s="204" t="n"/>
      <c r="Z501" s="204" t="n"/>
      <c r="AA501" s="204" t="n"/>
      <c r="AB501" s="204" t="n"/>
      <c r="AC501" s="204" t="n"/>
      <c r="AD501" s="204" t="n"/>
      <c r="AE501" s="204" t="n"/>
      <c r="AF501" s="204" t="n"/>
      <c r="AG501" s="204" t="n"/>
    </row>
    <row r="502" ht="12.75" customHeight="1" s="205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  <c r="S502" s="204" t="n"/>
      <c r="T502" s="204" t="n"/>
      <c r="U502" s="204" t="n"/>
      <c r="V502" s="204" t="n"/>
      <c r="W502" s="204" t="n"/>
      <c r="X502" s="204" t="n"/>
      <c r="Y502" s="204" t="n"/>
      <c r="Z502" s="204" t="n"/>
      <c r="AA502" s="204" t="n"/>
      <c r="AB502" s="204" t="n"/>
      <c r="AC502" s="204" t="n"/>
      <c r="AD502" s="204" t="n"/>
      <c r="AE502" s="204" t="n"/>
      <c r="AF502" s="204" t="n"/>
      <c r="AG502" s="204" t="n"/>
    </row>
    <row r="503" ht="12.75" customHeight="1" s="205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  <c r="S503" s="204" t="n"/>
      <c r="T503" s="204" t="n"/>
      <c r="U503" s="204" t="n"/>
      <c r="V503" s="204" t="n"/>
      <c r="W503" s="204" t="n"/>
      <c r="X503" s="204" t="n"/>
      <c r="Y503" s="204" t="n"/>
      <c r="Z503" s="204" t="n"/>
      <c r="AA503" s="204" t="n"/>
      <c r="AB503" s="204" t="n"/>
      <c r="AC503" s="204" t="n"/>
      <c r="AD503" s="204" t="n"/>
      <c r="AE503" s="204" t="n"/>
      <c r="AF503" s="204" t="n"/>
      <c r="AG503" s="204" t="n"/>
    </row>
    <row r="504" ht="12.75" customHeight="1" s="205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  <c r="S504" s="204" t="n"/>
      <c r="T504" s="204" t="n"/>
      <c r="U504" s="204" t="n"/>
      <c r="V504" s="204" t="n"/>
      <c r="W504" s="204" t="n"/>
      <c r="X504" s="204" t="n"/>
      <c r="Y504" s="204" t="n"/>
      <c r="Z504" s="204" t="n"/>
      <c r="AA504" s="204" t="n"/>
      <c r="AB504" s="204" t="n"/>
      <c r="AC504" s="204" t="n"/>
      <c r="AD504" s="204" t="n"/>
      <c r="AE504" s="204" t="n"/>
      <c r="AF504" s="204" t="n"/>
      <c r="AG504" s="204" t="n"/>
    </row>
    <row r="505" ht="12.75" customHeight="1" s="205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  <c r="S505" s="204" t="n"/>
      <c r="T505" s="204" t="n"/>
      <c r="U505" s="204" t="n"/>
      <c r="V505" s="204" t="n"/>
      <c r="W505" s="204" t="n"/>
      <c r="X505" s="204" t="n"/>
      <c r="Y505" s="204" t="n"/>
      <c r="Z505" s="204" t="n"/>
      <c r="AA505" s="204" t="n"/>
      <c r="AB505" s="204" t="n"/>
      <c r="AC505" s="204" t="n"/>
      <c r="AD505" s="204" t="n"/>
      <c r="AE505" s="204" t="n"/>
      <c r="AF505" s="204" t="n"/>
      <c r="AG505" s="204" t="n"/>
    </row>
    <row r="506" ht="12.75" customHeight="1" s="205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  <c r="S506" s="204" t="n"/>
      <c r="T506" s="204" t="n"/>
      <c r="U506" s="204" t="n"/>
      <c r="V506" s="204" t="n"/>
      <c r="W506" s="204" t="n"/>
      <c r="X506" s="204" t="n"/>
      <c r="Y506" s="204" t="n"/>
      <c r="Z506" s="204" t="n"/>
      <c r="AA506" s="204" t="n"/>
      <c r="AB506" s="204" t="n"/>
      <c r="AC506" s="204" t="n"/>
      <c r="AD506" s="204" t="n"/>
      <c r="AE506" s="204" t="n"/>
      <c r="AF506" s="204" t="n"/>
      <c r="AG506" s="204" t="n"/>
    </row>
    <row r="507" ht="12.75" customHeight="1" s="205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  <c r="S507" s="204" t="n"/>
      <c r="T507" s="204" t="n"/>
      <c r="U507" s="204" t="n"/>
      <c r="V507" s="204" t="n"/>
      <c r="W507" s="204" t="n"/>
      <c r="X507" s="204" t="n"/>
      <c r="Y507" s="204" t="n"/>
      <c r="Z507" s="204" t="n"/>
      <c r="AA507" s="204" t="n"/>
      <c r="AB507" s="204" t="n"/>
      <c r="AC507" s="204" t="n"/>
      <c r="AD507" s="204" t="n"/>
      <c r="AE507" s="204" t="n"/>
      <c r="AF507" s="204" t="n"/>
      <c r="AG507" s="204" t="n"/>
    </row>
    <row r="508" ht="12.75" customHeight="1" s="205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  <c r="S508" s="204" t="n"/>
      <c r="T508" s="204" t="n"/>
      <c r="U508" s="204" t="n"/>
      <c r="V508" s="204" t="n"/>
      <c r="W508" s="204" t="n"/>
      <c r="X508" s="204" t="n"/>
      <c r="Y508" s="204" t="n"/>
      <c r="Z508" s="204" t="n"/>
      <c r="AA508" s="204" t="n"/>
      <c r="AB508" s="204" t="n"/>
      <c r="AC508" s="204" t="n"/>
      <c r="AD508" s="204" t="n"/>
      <c r="AE508" s="204" t="n"/>
      <c r="AF508" s="204" t="n"/>
      <c r="AG508" s="204" t="n"/>
    </row>
    <row r="509" ht="12.75" customHeight="1" s="205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  <c r="S509" s="204" t="n"/>
      <c r="T509" s="204" t="n"/>
      <c r="U509" s="204" t="n"/>
      <c r="V509" s="204" t="n"/>
      <c r="W509" s="204" t="n"/>
      <c r="X509" s="204" t="n"/>
      <c r="Y509" s="204" t="n"/>
      <c r="Z509" s="204" t="n"/>
      <c r="AA509" s="204" t="n"/>
      <c r="AB509" s="204" t="n"/>
      <c r="AC509" s="204" t="n"/>
      <c r="AD509" s="204" t="n"/>
      <c r="AE509" s="204" t="n"/>
      <c r="AF509" s="204" t="n"/>
      <c r="AG509" s="204" t="n"/>
    </row>
    <row r="510" ht="12.75" customHeight="1" s="205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  <c r="S510" s="204" t="n"/>
      <c r="T510" s="204" t="n"/>
      <c r="U510" s="204" t="n"/>
      <c r="V510" s="204" t="n"/>
      <c r="W510" s="204" t="n"/>
      <c r="X510" s="204" t="n"/>
      <c r="Y510" s="204" t="n"/>
      <c r="Z510" s="204" t="n"/>
      <c r="AA510" s="204" t="n"/>
      <c r="AB510" s="204" t="n"/>
      <c r="AC510" s="204" t="n"/>
      <c r="AD510" s="204" t="n"/>
      <c r="AE510" s="204" t="n"/>
      <c r="AF510" s="204" t="n"/>
      <c r="AG510" s="204" t="n"/>
    </row>
    <row r="511" ht="12.75" customHeight="1" s="205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  <c r="S511" s="204" t="n"/>
      <c r="T511" s="204" t="n"/>
      <c r="U511" s="204" t="n"/>
      <c r="V511" s="204" t="n"/>
      <c r="W511" s="204" t="n"/>
      <c r="X511" s="204" t="n"/>
      <c r="Y511" s="204" t="n"/>
      <c r="Z511" s="204" t="n"/>
      <c r="AA511" s="204" t="n"/>
      <c r="AB511" s="204" t="n"/>
      <c r="AC511" s="204" t="n"/>
      <c r="AD511" s="204" t="n"/>
      <c r="AE511" s="204" t="n"/>
      <c r="AF511" s="204" t="n"/>
      <c r="AG511" s="204" t="n"/>
    </row>
    <row r="512" ht="12.75" customHeight="1" s="205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  <c r="S512" s="204" t="n"/>
      <c r="T512" s="204" t="n"/>
      <c r="U512" s="204" t="n"/>
      <c r="V512" s="204" t="n"/>
      <c r="W512" s="204" t="n"/>
      <c r="X512" s="204" t="n"/>
      <c r="Y512" s="204" t="n"/>
      <c r="Z512" s="204" t="n"/>
      <c r="AA512" s="204" t="n"/>
      <c r="AB512" s="204" t="n"/>
      <c r="AC512" s="204" t="n"/>
      <c r="AD512" s="204" t="n"/>
      <c r="AE512" s="204" t="n"/>
      <c r="AF512" s="204" t="n"/>
      <c r="AG512" s="204" t="n"/>
    </row>
    <row r="513" ht="12.75" customHeight="1" s="205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  <c r="S513" s="204" t="n"/>
      <c r="T513" s="204" t="n"/>
      <c r="U513" s="204" t="n"/>
      <c r="V513" s="204" t="n"/>
      <c r="W513" s="204" t="n"/>
      <c r="X513" s="204" t="n"/>
      <c r="Y513" s="204" t="n"/>
      <c r="Z513" s="204" t="n"/>
      <c r="AA513" s="204" t="n"/>
      <c r="AB513" s="204" t="n"/>
      <c r="AC513" s="204" t="n"/>
      <c r="AD513" s="204" t="n"/>
      <c r="AE513" s="204" t="n"/>
      <c r="AF513" s="204" t="n"/>
      <c r="AG513" s="204" t="n"/>
    </row>
    <row r="514" ht="12.75" customHeight="1" s="205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  <c r="S514" s="204" t="n"/>
      <c r="T514" s="204" t="n"/>
      <c r="U514" s="204" t="n"/>
      <c r="V514" s="204" t="n"/>
      <c r="W514" s="204" t="n"/>
      <c r="X514" s="204" t="n"/>
      <c r="Y514" s="204" t="n"/>
      <c r="Z514" s="204" t="n"/>
      <c r="AA514" s="204" t="n"/>
      <c r="AB514" s="204" t="n"/>
      <c r="AC514" s="204" t="n"/>
      <c r="AD514" s="204" t="n"/>
      <c r="AE514" s="204" t="n"/>
      <c r="AF514" s="204" t="n"/>
      <c r="AG514" s="204" t="n"/>
    </row>
    <row r="515" ht="12.75" customHeight="1" s="205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  <c r="S515" s="204" t="n"/>
      <c r="T515" s="204" t="n"/>
      <c r="U515" s="204" t="n"/>
      <c r="V515" s="204" t="n"/>
      <c r="W515" s="204" t="n"/>
      <c r="X515" s="204" t="n"/>
      <c r="Y515" s="204" t="n"/>
      <c r="Z515" s="204" t="n"/>
      <c r="AA515" s="204" t="n"/>
      <c r="AB515" s="204" t="n"/>
      <c r="AC515" s="204" t="n"/>
      <c r="AD515" s="204" t="n"/>
      <c r="AE515" s="204" t="n"/>
      <c r="AF515" s="204" t="n"/>
      <c r="AG515" s="204" t="n"/>
    </row>
    <row r="516" ht="12.75" customHeight="1" s="205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  <c r="S516" s="204" t="n"/>
      <c r="T516" s="204" t="n"/>
      <c r="U516" s="204" t="n"/>
      <c r="V516" s="204" t="n"/>
      <c r="W516" s="204" t="n"/>
      <c r="X516" s="204" t="n"/>
      <c r="Y516" s="204" t="n"/>
      <c r="Z516" s="204" t="n"/>
      <c r="AA516" s="204" t="n"/>
      <c r="AB516" s="204" t="n"/>
      <c r="AC516" s="204" t="n"/>
      <c r="AD516" s="204" t="n"/>
      <c r="AE516" s="204" t="n"/>
      <c r="AF516" s="204" t="n"/>
      <c r="AG516" s="204" t="n"/>
    </row>
    <row r="517" ht="12.75" customHeight="1" s="205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  <c r="S517" s="204" t="n"/>
      <c r="T517" s="204" t="n"/>
      <c r="U517" s="204" t="n"/>
      <c r="V517" s="204" t="n"/>
      <c r="W517" s="204" t="n"/>
      <c r="X517" s="204" t="n"/>
      <c r="Y517" s="204" t="n"/>
      <c r="Z517" s="204" t="n"/>
      <c r="AA517" s="204" t="n"/>
      <c r="AB517" s="204" t="n"/>
      <c r="AC517" s="204" t="n"/>
      <c r="AD517" s="204" t="n"/>
      <c r="AE517" s="204" t="n"/>
      <c r="AF517" s="204" t="n"/>
      <c r="AG517" s="204" t="n"/>
    </row>
    <row r="518" ht="12.75" customHeight="1" s="205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  <c r="S518" s="204" t="n"/>
      <c r="T518" s="204" t="n"/>
      <c r="U518" s="204" t="n"/>
      <c r="V518" s="204" t="n"/>
      <c r="W518" s="204" t="n"/>
      <c r="X518" s="204" t="n"/>
      <c r="Y518" s="204" t="n"/>
      <c r="Z518" s="204" t="n"/>
      <c r="AA518" s="204" t="n"/>
      <c r="AB518" s="204" t="n"/>
      <c r="AC518" s="204" t="n"/>
      <c r="AD518" s="204" t="n"/>
      <c r="AE518" s="204" t="n"/>
      <c r="AF518" s="204" t="n"/>
      <c r="AG518" s="204" t="n"/>
    </row>
    <row r="519" ht="12.75" customHeight="1" s="205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  <c r="S519" s="204" t="n"/>
      <c r="T519" s="204" t="n"/>
      <c r="U519" s="204" t="n"/>
      <c r="V519" s="204" t="n"/>
      <c r="W519" s="204" t="n"/>
      <c r="X519" s="204" t="n"/>
      <c r="Y519" s="204" t="n"/>
      <c r="Z519" s="204" t="n"/>
      <c r="AA519" s="204" t="n"/>
      <c r="AB519" s="204" t="n"/>
      <c r="AC519" s="204" t="n"/>
      <c r="AD519" s="204" t="n"/>
      <c r="AE519" s="204" t="n"/>
      <c r="AF519" s="204" t="n"/>
      <c r="AG519" s="204" t="n"/>
    </row>
    <row r="520" ht="12.75" customHeight="1" s="205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  <c r="S520" s="204" t="n"/>
      <c r="T520" s="204" t="n"/>
      <c r="U520" s="204" t="n"/>
      <c r="V520" s="204" t="n"/>
      <c r="W520" s="204" t="n"/>
      <c r="X520" s="204" t="n"/>
      <c r="Y520" s="204" t="n"/>
      <c r="Z520" s="204" t="n"/>
      <c r="AA520" s="204" t="n"/>
      <c r="AB520" s="204" t="n"/>
      <c r="AC520" s="204" t="n"/>
      <c r="AD520" s="204" t="n"/>
      <c r="AE520" s="204" t="n"/>
      <c r="AF520" s="204" t="n"/>
      <c r="AG520" s="204" t="n"/>
    </row>
    <row r="521" ht="12.75" customHeight="1" s="205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  <c r="S521" s="204" t="n"/>
      <c r="T521" s="204" t="n"/>
      <c r="U521" s="204" t="n"/>
      <c r="V521" s="204" t="n"/>
      <c r="W521" s="204" t="n"/>
      <c r="X521" s="204" t="n"/>
      <c r="Y521" s="204" t="n"/>
      <c r="Z521" s="204" t="n"/>
      <c r="AA521" s="204" t="n"/>
      <c r="AB521" s="204" t="n"/>
      <c r="AC521" s="204" t="n"/>
      <c r="AD521" s="204" t="n"/>
      <c r="AE521" s="204" t="n"/>
      <c r="AF521" s="204" t="n"/>
      <c r="AG521" s="204" t="n"/>
    </row>
    <row r="522" ht="12.75" customHeight="1" s="205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  <c r="S522" s="204" t="n"/>
      <c r="T522" s="204" t="n"/>
      <c r="U522" s="204" t="n"/>
      <c r="V522" s="204" t="n"/>
      <c r="W522" s="204" t="n"/>
      <c r="X522" s="204" t="n"/>
      <c r="Y522" s="204" t="n"/>
      <c r="Z522" s="204" t="n"/>
      <c r="AA522" s="204" t="n"/>
      <c r="AB522" s="204" t="n"/>
      <c r="AC522" s="204" t="n"/>
      <c r="AD522" s="204" t="n"/>
      <c r="AE522" s="204" t="n"/>
      <c r="AF522" s="204" t="n"/>
      <c r="AG522" s="204" t="n"/>
    </row>
    <row r="523" ht="12.75" customHeight="1" s="205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  <c r="S523" s="204" t="n"/>
      <c r="T523" s="204" t="n"/>
      <c r="U523" s="204" t="n"/>
      <c r="V523" s="204" t="n"/>
      <c r="W523" s="204" t="n"/>
      <c r="X523" s="204" t="n"/>
      <c r="Y523" s="204" t="n"/>
      <c r="Z523" s="204" t="n"/>
      <c r="AA523" s="204" t="n"/>
      <c r="AB523" s="204" t="n"/>
      <c r="AC523" s="204" t="n"/>
      <c r="AD523" s="204" t="n"/>
      <c r="AE523" s="204" t="n"/>
      <c r="AF523" s="204" t="n"/>
      <c r="AG523" s="204" t="n"/>
    </row>
    <row r="524" ht="12.75" customHeight="1" s="205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  <c r="S524" s="204" t="n"/>
      <c r="T524" s="204" t="n"/>
      <c r="U524" s="204" t="n"/>
      <c r="V524" s="204" t="n"/>
      <c r="W524" s="204" t="n"/>
      <c r="X524" s="204" t="n"/>
      <c r="Y524" s="204" t="n"/>
      <c r="Z524" s="204" t="n"/>
      <c r="AA524" s="204" t="n"/>
      <c r="AB524" s="204" t="n"/>
      <c r="AC524" s="204" t="n"/>
      <c r="AD524" s="204" t="n"/>
      <c r="AE524" s="204" t="n"/>
      <c r="AF524" s="204" t="n"/>
      <c r="AG524" s="204" t="n"/>
    </row>
    <row r="525" ht="12.75" customHeight="1" s="205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  <c r="S525" s="204" t="n"/>
      <c r="T525" s="204" t="n"/>
      <c r="U525" s="204" t="n"/>
      <c r="V525" s="204" t="n"/>
      <c r="W525" s="204" t="n"/>
      <c r="X525" s="204" t="n"/>
      <c r="Y525" s="204" t="n"/>
      <c r="Z525" s="204" t="n"/>
      <c r="AA525" s="204" t="n"/>
      <c r="AB525" s="204" t="n"/>
      <c r="AC525" s="204" t="n"/>
      <c r="AD525" s="204" t="n"/>
      <c r="AE525" s="204" t="n"/>
      <c r="AF525" s="204" t="n"/>
      <c r="AG525" s="204" t="n"/>
    </row>
    <row r="526" ht="12.75" customHeight="1" s="205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  <c r="S526" s="204" t="n"/>
      <c r="T526" s="204" t="n"/>
      <c r="U526" s="204" t="n"/>
      <c r="V526" s="204" t="n"/>
      <c r="W526" s="204" t="n"/>
      <c r="X526" s="204" t="n"/>
      <c r="Y526" s="204" t="n"/>
      <c r="Z526" s="204" t="n"/>
      <c r="AA526" s="204" t="n"/>
      <c r="AB526" s="204" t="n"/>
      <c r="AC526" s="204" t="n"/>
      <c r="AD526" s="204" t="n"/>
      <c r="AE526" s="204" t="n"/>
      <c r="AF526" s="204" t="n"/>
      <c r="AG526" s="204" t="n"/>
    </row>
    <row r="527" ht="12.75" customHeight="1" s="205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  <c r="S527" s="204" t="n"/>
      <c r="T527" s="204" t="n"/>
      <c r="U527" s="204" t="n"/>
      <c r="V527" s="204" t="n"/>
      <c r="W527" s="204" t="n"/>
      <c r="X527" s="204" t="n"/>
      <c r="Y527" s="204" t="n"/>
      <c r="Z527" s="204" t="n"/>
      <c r="AA527" s="204" t="n"/>
      <c r="AB527" s="204" t="n"/>
      <c r="AC527" s="204" t="n"/>
      <c r="AD527" s="204" t="n"/>
      <c r="AE527" s="204" t="n"/>
      <c r="AF527" s="204" t="n"/>
      <c r="AG527" s="204" t="n"/>
    </row>
    <row r="528" ht="12.75" customHeight="1" s="205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  <c r="S528" s="204" t="n"/>
      <c r="T528" s="204" t="n"/>
      <c r="U528" s="204" t="n"/>
      <c r="V528" s="204" t="n"/>
      <c r="W528" s="204" t="n"/>
      <c r="X528" s="204" t="n"/>
      <c r="Y528" s="204" t="n"/>
      <c r="Z528" s="204" t="n"/>
      <c r="AA528" s="204" t="n"/>
      <c r="AB528" s="204" t="n"/>
      <c r="AC528" s="204" t="n"/>
      <c r="AD528" s="204" t="n"/>
      <c r="AE528" s="204" t="n"/>
      <c r="AF528" s="204" t="n"/>
      <c r="AG528" s="204" t="n"/>
    </row>
    <row r="529" ht="12.75" customHeight="1" s="205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  <c r="S529" s="204" t="n"/>
      <c r="T529" s="204" t="n"/>
      <c r="U529" s="204" t="n"/>
      <c r="V529" s="204" t="n"/>
      <c r="W529" s="204" t="n"/>
      <c r="X529" s="204" t="n"/>
      <c r="Y529" s="204" t="n"/>
      <c r="Z529" s="204" t="n"/>
      <c r="AA529" s="204" t="n"/>
      <c r="AB529" s="204" t="n"/>
      <c r="AC529" s="204" t="n"/>
      <c r="AD529" s="204" t="n"/>
      <c r="AE529" s="204" t="n"/>
      <c r="AF529" s="204" t="n"/>
      <c r="AG529" s="204" t="n"/>
    </row>
    <row r="530" ht="12.75" customHeight="1" s="205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  <c r="S530" s="204" t="n"/>
      <c r="T530" s="204" t="n"/>
      <c r="U530" s="204" t="n"/>
      <c r="V530" s="204" t="n"/>
      <c r="W530" s="204" t="n"/>
      <c r="X530" s="204" t="n"/>
      <c r="Y530" s="204" t="n"/>
      <c r="Z530" s="204" t="n"/>
      <c r="AA530" s="204" t="n"/>
      <c r="AB530" s="204" t="n"/>
      <c r="AC530" s="204" t="n"/>
      <c r="AD530" s="204" t="n"/>
      <c r="AE530" s="204" t="n"/>
      <c r="AF530" s="204" t="n"/>
      <c r="AG530" s="204" t="n"/>
    </row>
    <row r="531" ht="12.75" customHeight="1" s="205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  <c r="S531" s="204" t="n"/>
      <c r="T531" s="204" t="n"/>
      <c r="U531" s="204" t="n"/>
      <c r="V531" s="204" t="n"/>
      <c r="W531" s="204" t="n"/>
      <c r="X531" s="204" t="n"/>
      <c r="Y531" s="204" t="n"/>
      <c r="Z531" s="204" t="n"/>
      <c r="AA531" s="204" t="n"/>
      <c r="AB531" s="204" t="n"/>
      <c r="AC531" s="204" t="n"/>
      <c r="AD531" s="204" t="n"/>
      <c r="AE531" s="204" t="n"/>
      <c r="AF531" s="204" t="n"/>
      <c r="AG531" s="204" t="n"/>
    </row>
    <row r="532" ht="12.75" customHeight="1" s="205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  <c r="S532" s="204" t="n"/>
      <c r="T532" s="204" t="n"/>
      <c r="U532" s="204" t="n"/>
      <c r="V532" s="204" t="n"/>
      <c r="W532" s="204" t="n"/>
      <c r="X532" s="204" t="n"/>
      <c r="Y532" s="204" t="n"/>
      <c r="Z532" s="204" t="n"/>
      <c r="AA532" s="204" t="n"/>
      <c r="AB532" s="204" t="n"/>
      <c r="AC532" s="204" t="n"/>
      <c r="AD532" s="204" t="n"/>
      <c r="AE532" s="204" t="n"/>
      <c r="AF532" s="204" t="n"/>
      <c r="AG532" s="204" t="n"/>
    </row>
    <row r="533" ht="12.75" customHeight="1" s="205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  <c r="S533" s="204" t="n"/>
      <c r="T533" s="204" t="n"/>
      <c r="U533" s="204" t="n"/>
      <c r="V533" s="204" t="n"/>
      <c r="W533" s="204" t="n"/>
      <c r="X533" s="204" t="n"/>
      <c r="Y533" s="204" t="n"/>
      <c r="Z533" s="204" t="n"/>
      <c r="AA533" s="204" t="n"/>
      <c r="AB533" s="204" t="n"/>
      <c r="AC533" s="204" t="n"/>
      <c r="AD533" s="204" t="n"/>
      <c r="AE533" s="204" t="n"/>
      <c r="AF533" s="204" t="n"/>
      <c r="AG533" s="204" t="n"/>
    </row>
    <row r="534" ht="12.75" customHeight="1" s="205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  <c r="S534" s="204" t="n"/>
      <c r="T534" s="204" t="n"/>
      <c r="U534" s="204" t="n"/>
      <c r="V534" s="204" t="n"/>
      <c r="W534" s="204" t="n"/>
      <c r="X534" s="204" t="n"/>
      <c r="Y534" s="204" t="n"/>
      <c r="Z534" s="204" t="n"/>
      <c r="AA534" s="204" t="n"/>
      <c r="AB534" s="204" t="n"/>
      <c r="AC534" s="204" t="n"/>
      <c r="AD534" s="204" t="n"/>
      <c r="AE534" s="204" t="n"/>
      <c r="AF534" s="204" t="n"/>
      <c r="AG534" s="204" t="n"/>
    </row>
    <row r="535" ht="12.75" customHeight="1" s="205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  <c r="S535" s="204" t="n"/>
      <c r="T535" s="204" t="n"/>
      <c r="U535" s="204" t="n"/>
      <c r="V535" s="204" t="n"/>
      <c r="W535" s="204" t="n"/>
      <c r="X535" s="204" t="n"/>
      <c r="Y535" s="204" t="n"/>
      <c r="Z535" s="204" t="n"/>
      <c r="AA535" s="204" t="n"/>
      <c r="AB535" s="204" t="n"/>
      <c r="AC535" s="204" t="n"/>
      <c r="AD535" s="204" t="n"/>
      <c r="AE535" s="204" t="n"/>
      <c r="AF535" s="204" t="n"/>
      <c r="AG535" s="204" t="n"/>
    </row>
    <row r="536" ht="12.75" customHeight="1" s="205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  <c r="S536" s="204" t="n"/>
      <c r="T536" s="204" t="n"/>
      <c r="U536" s="204" t="n"/>
      <c r="V536" s="204" t="n"/>
      <c r="W536" s="204" t="n"/>
      <c r="X536" s="204" t="n"/>
      <c r="Y536" s="204" t="n"/>
      <c r="Z536" s="204" t="n"/>
      <c r="AA536" s="204" t="n"/>
      <c r="AB536" s="204" t="n"/>
      <c r="AC536" s="204" t="n"/>
      <c r="AD536" s="204" t="n"/>
      <c r="AE536" s="204" t="n"/>
      <c r="AF536" s="204" t="n"/>
      <c r="AG536" s="204" t="n"/>
    </row>
    <row r="537" ht="12.75" customHeight="1" s="205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  <c r="S537" s="204" t="n"/>
      <c r="T537" s="204" t="n"/>
      <c r="U537" s="204" t="n"/>
      <c r="V537" s="204" t="n"/>
      <c r="W537" s="204" t="n"/>
      <c r="X537" s="204" t="n"/>
      <c r="Y537" s="204" t="n"/>
      <c r="Z537" s="204" t="n"/>
      <c r="AA537" s="204" t="n"/>
      <c r="AB537" s="204" t="n"/>
      <c r="AC537" s="204" t="n"/>
      <c r="AD537" s="204" t="n"/>
      <c r="AE537" s="204" t="n"/>
      <c r="AF537" s="204" t="n"/>
      <c r="AG537" s="204" t="n"/>
    </row>
    <row r="538" ht="12.75" customHeight="1" s="205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  <c r="S538" s="204" t="n"/>
      <c r="T538" s="204" t="n"/>
      <c r="U538" s="204" t="n"/>
      <c r="V538" s="204" t="n"/>
      <c r="W538" s="204" t="n"/>
      <c r="X538" s="204" t="n"/>
      <c r="Y538" s="204" t="n"/>
      <c r="Z538" s="204" t="n"/>
      <c r="AA538" s="204" t="n"/>
      <c r="AB538" s="204" t="n"/>
      <c r="AC538" s="204" t="n"/>
      <c r="AD538" s="204" t="n"/>
      <c r="AE538" s="204" t="n"/>
      <c r="AF538" s="204" t="n"/>
      <c r="AG538" s="204" t="n"/>
    </row>
    <row r="539" ht="12.75" customHeight="1" s="205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  <c r="S539" s="204" t="n"/>
      <c r="T539" s="204" t="n"/>
      <c r="U539" s="204" t="n"/>
      <c r="V539" s="204" t="n"/>
      <c r="W539" s="204" t="n"/>
      <c r="X539" s="204" t="n"/>
      <c r="Y539" s="204" t="n"/>
      <c r="Z539" s="204" t="n"/>
      <c r="AA539" s="204" t="n"/>
      <c r="AB539" s="204" t="n"/>
      <c r="AC539" s="204" t="n"/>
      <c r="AD539" s="204" t="n"/>
      <c r="AE539" s="204" t="n"/>
      <c r="AF539" s="204" t="n"/>
      <c r="AG539" s="204" t="n"/>
    </row>
    <row r="540" ht="12.75" customHeight="1" s="205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  <c r="S540" s="204" t="n"/>
      <c r="T540" s="204" t="n"/>
      <c r="U540" s="204" t="n"/>
      <c r="V540" s="204" t="n"/>
      <c r="W540" s="204" t="n"/>
      <c r="X540" s="204" t="n"/>
      <c r="Y540" s="204" t="n"/>
      <c r="Z540" s="204" t="n"/>
      <c r="AA540" s="204" t="n"/>
      <c r="AB540" s="204" t="n"/>
      <c r="AC540" s="204" t="n"/>
      <c r="AD540" s="204" t="n"/>
      <c r="AE540" s="204" t="n"/>
      <c r="AF540" s="204" t="n"/>
      <c r="AG540" s="204" t="n"/>
    </row>
    <row r="541" ht="12.75" customHeight="1" s="205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  <c r="S541" s="204" t="n"/>
      <c r="T541" s="204" t="n"/>
      <c r="U541" s="204" t="n"/>
      <c r="V541" s="204" t="n"/>
      <c r="W541" s="204" t="n"/>
      <c r="X541" s="204" t="n"/>
      <c r="Y541" s="204" t="n"/>
      <c r="Z541" s="204" t="n"/>
      <c r="AA541" s="204" t="n"/>
      <c r="AB541" s="204" t="n"/>
      <c r="AC541" s="204" t="n"/>
      <c r="AD541" s="204" t="n"/>
      <c r="AE541" s="204" t="n"/>
      <c r="AF541" s="204" t="n"/>
      <c r="AG541" s="204" t="n"/>
    </row>
    <row r="542" ht="12.75" customHeight="1" s="205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  <c r="S542" s="204" t="n"/>
      <c r="T542" s="204" t="n"/>
      <c r="U542" s="204" t="n"/>
      <c r="V542" s="204" t="n"/>
      <c r="W542" s="204" t="n"/>
      <c r="X542" s="204" t="n"/>
      <c r="Y542" s="204" t="n"/>
      <c r="Z542" s="204" t="n"/>
      <c r="AA542" s="204" t="n"/>
      <c r="AB542" s="204" t="n"/>
      <c r="AC542" s="204" t="n"/>
      <c r="AD542" s="204" t="n"/>
      <c r="AE542" s="204" t="n"/>
      <c r="AF542" s="204" t="n"/>
      <c r="AG542" s="204" t="n"/>
    </row>
    <row r="543" ht="12.75" customHeight="1" s="205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  <c r="S543" s="204" t="n"/>
      <c r="T543" s="204" t="n"/>
      <c r="U543" s="204" t="n"/>
      <c r="V543" s="204" t="n"/>
      <c r="W543" s="204" t="n"/>
      <c r="X543" s="204" t="n"/>
      <c r="Y543" s="204" t="n"/>
      <c r="Z543" s="204" t="n"/>
      <c r="AA543" s="204" t="n"/>
      <c r="AB543" s="204" t="n"/>
      <c r="AC543" s="204" t="n"/>
      <c r="AD543" s="204" t="n"/>
      <c r="AE543" s="204" t="n"/>
      <c r="AF543" s="204" t="n"/>
      <c r="AG543" s="204" t="n"/>
    </row>
    <row r="544" ht="12.75" customHeight="1" s="205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  <c r="S544" s="204" t="n"/>
      <c r="T544" s="204" t="n"/>
      <c r="U544" s="204" t="n"/>
      <c r="V544" s="204" t="n"/>
      <c r="W544" s="204" t="n"/>
      <c r="X544" s="204" t="n"/>
      <c r="Y544" s="204" t="n"/>
      <c r="Z544" s="204" t="n"/>
      <c r="AA544" s="204" t="n"/>
      <c r="AB544" s="204" t="n"/>
      <c r="AC544" s="204" t="n"/>
      <c r="AD544" s="204" t="n"/>
      <c r="AE544" s="204" t="n"/>
      <c r="AF544" s="204" t="n"/>
      <c r="AG544" s="204" t="n"/>
    </row>
    <row r="545" ht="12.75" customHeight="1" s="205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  <c r="S545" s="204" t="n"/>
      <c r="T545" s="204" t="n"/>
      <c r="U545" s="204" t="n"/>
      <c r="V545" s="204" t="n"/>
      <c r="W545" s="204" t="n"/>
      <c r="X545" s="204" t="n"/>
      <c r="Y545" s="204" t="n"/>
      <c r="Z545" s="204" t="n"/>
      <c r="AA545" s="204" t="n"/>
      <c r="AB545" s="204" t="n"/>
      <c r="AC545" s="204" t="n"/>
      <c r="AD545" s="204" t="n"/>
      <c r="AE545" s="204" t="n"/>
      <c r="AF545" s="204" t="n"/>
      <c r="AG545" s="204" t="n"/>
    </row>
    <row r="546" ht="12.75" customHeight="1" s="205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  <c r="S546" s="204" t="n"/>
      <c r="T546" s="204" t="n"/>
      <c r="U546" s="204" t="n"/>
      <c r="V546" s="204" t="n"/>
      <c r="W546" s="204" t="n"/>
      <c r="X546" s="204" t="n"/>
      <c r="Y546" s="204" t="n"/>
      <c r="Z546" s="204" t="n"/>
      <c r="AA546" s="204" t="n"/>
      <c r="AB546" s="204" t="n"/>
      <c r="AC546" s="204" t="n"/>
      <c r="AD546" s="204" t="n"/>
      <c r="AE546" s="204" t="n"/>
      <c r="AF546" s="204" t="n"/>
      <c r="AG546" s="204" t="n"/>
    </row>
    <row r="547" ht="12.75" customHeight="1" s="205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  <c r="S547" s="204" t="n"/>
      <c r="T547" s="204" t="n"/>
      <c r="U547" s="204" t="n"/>
      <c r="V547" s="204" t="n"/>
      <c r="W547" s="204" t="n"/>
      <c r="X547" s="204" t="n"/>
      <c r="Y547" s="204" t="n"/>
      <c r="Z547" s="204" t="n"/>
      <c r="AA547" s="204" t="n"/>
      <c r="AB547" s="204" t="n"/>
      <c r="AC547" s="204" t="n"/>
      <c r="AD547" s="204" t="n"/>
      <c r="AE547" s="204" t="n"/>
      <c r="AF547" s="204" t="n"/>
      <c r="AG547" s="204" t="n"/>
    </row>
    <row r="548" ht="12.75" customHeight="1" s="205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  <c r="S548" s="204" t="n"/>
      <c r="T548" s="204" t="n"/>
      <c r="U548" s="204" t="n"/>
      <c r="V548" s="204" t="n"/>
      <c r="W548" s="204" t="n"/>
      <c r="X548" s="204" t="n"/>
      <c r="Y548" s="204" t="n"/>
      <c r="Z548" s="204" t="n"/>
      <c r="AA548" s="204" t="n"/>
      <c r="AB548" s="204" t="n"/>
      <c r="AC548" s="204" t="n"/>
      <c r="AD548" s="204" t="n"/>
      <c r="AE548" s="204" t="n"/>
      <c r="AF548" s="204" t="n"/>
      <c r="AG548" s="204" t="n"/>
    </row>
    <row r="549" ht="12.75" customHeight="1" s="205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  <c r="S549" s="204" t="n"/>
      <c r="T549" s="204" t="n"/>
      <c r="U549" s="204" t="n"/>
      <c r="V549" s="204" t="n"/>
      <c r="W549" s="204" t="n"/>
      <c r="X549" s="204" t="n"/>
      <c r="Y549" s="204" t="n"/>
      <c r="Z549" s="204" t="n"/>
      <c r="AA549" s="204" t="n"/>
      <c r="AB549" s="204" t="n"/>
      <c r="AC549" s="204" t="n"/>
      <c r="AD549" s="204" t="n"/>
      <c r="AE549" s="204" t="n"/>
      <c r="AF549" s="204" t="n"/>
      <c r="AG549" s="204" t="n"/>
    </row>
    <row r="550" ht="12.75" customHeight="1" s="205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  <c r="S550" s="204" t="n"/>
      <c r="T550" s="204" t="n"/>
      <c r="U550" s="204" t="n"/>
      <c r="V550" s="204" t="n"/>
      <c r="W550" s="204" t="n"/>
      <c r="X550" s="204" t="n"/>
      <c r="Y550" s="204" t="n"/>
      <c r="Z550" s="204" t="n"/>
      <c r="AA550" s="204" t="n"/>
      <c r="AB550" s="204" t="n"/>
      <c r="AC550" s="204" t="n"/>
      <c r="AD550" s="204" t="n"/>
      <c r="AE550" s="204" t="n"/>
      <c r="AF550" s="204" t="n"/>
      <c r="AG550" s="204" t="n"/>
    </row>
    <row r="551" ht="12.75" customHeight="1" s="205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  <c r="S551" s="204" t="n"/>
      <c r="T551" s="204" t="n"/>
      <c r="U551" s="204" t="n"/>
      <c r="V551" s="204" t="n"/>
      <c r="W551" s="204" t="n"/>
      <c r="X551" s="204" t="n"/>
      <c r="Y551" s="204" t="n"/>
      <c r="Z551" s="204" t="n"/>
      <c r="AA551" s="204" t="n"/>
      <c r="AB551" s="204" t="n"/>
      <c r="AC551" s="204" t="n"/>
      <c r="AD551" s="204" t="n"/>
      <c r="AE551" s="204" t="n"/>
      <c r="AF551" s="204" t="n"/>
      <c r="AG551" s="204" t="n"/>
    </row>
    <row r="552" ht="12.75" customHeight="1" s="205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  <c r="S552" s="204" t="n"/>
      <c r="T552" s="204" t="n"/>
      <c r="U552" s="204" t="n"/>
      <c r="V552" s="204" t="n"/>
      <c r="W552" s="204" t="n"/>
      <c r="X552" s="204" t="n"/>
      <c r="Y552" s="204" t="n"/>
      <c r="Z552" s="204" t="n"/>
      <c r="AA552" s="204" t="n"/>
      <c r="AB552" s="204" t="n"/>
      <c r="AC552" s="204" t="n"/>
      <c r="AD552" s="204" t="n"/>
      <c r="AE552" s="204" t="n"/>
      <c r="AF552" s="204" t="n"/>
      <c r="AG552" s="204" t="n"/>
    </row>
    <row r="553" ht="12.75" customHeight="1" s="205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  <c r="S553" s="204" t="n"/>
      <c r="T553" s="204" t="n"/>
      <c r="U553" s="204" t="n"/>
      <c r="V553" s="204" t="n"/>
      <c r="W553" s="204" t="n"/>
      <c r="X553" s="204" t="n"/>
      <c r="Y553" s="204" t="n"/>
      <c r="Z553" s="204" t="n"/>
      <c r="AA553" s="204" t="n"/>
      <c r="AB553" s="204" t="n"/>
      <c r="AC553" s="204" t="n"/>
      <c r="AD553" s="204" t="n"/>
      <c r="AE553" s="204" t="n"/>
      <c r="AF553" s="204" t="n"/>
      <c r="AG553" s="204" t="n"/>
    </row>
    <row r="554" ht="12.75" customHeight="1" s="205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  <c r="S554" s="204" t="n"/>
      <c r="T554" s="204" t="n"/>
      <c r="U554" s="204" t="n"/>
      <c r="V554" s="204" t="n"/>
      <c r="W554" s="204" t="n"/>
      <c r="X554" s="204" t="n"/>
      <c r="Y554" s="204" t="n"/>
      <c r="Z554" s="204" t="n"/>
      <c r="AA554" s="204" t="n"/>
      <c r="AB554" s="204" t="n"/>
      <c r="AC554" s="204" t="n"/>
      <c r="AD554" s="204" t="n"/>
      <c r="AE554" s="204" t="n"/>
      <c r="AF554" s="204" t="n"/>
      <c r="AG554" s="204" t="n"/>
    </row>
    <row r="555" ht="12.75" customHeight="1" s="205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  <c r="S555" s="204" t="n"/>
      <c r="T555" s="204" t="n"/>
      <c r="U555" s="204" t="n"/>
      <c r="V555" s="204" t="n"/>
      <c r="W555" s="204" t="n"/>
      <c r="X555" s="204" t="n"/>
      <c r="Y555" s="204" t="n"/>
      <c r="Z555" s="204" t="n"/>
      <c r="AA555" s="204" t="n"/>
      <c r="AB555" s="204" t="n"/>
      <c r="AC555" s="204" t="n"/>
      <c r="AD555" s="204" t="n"/>
      <c r="AE555" s="204" t="n"/>
      <c r="AF555" s="204" t="n"/>
      <c r="AG555" s="204" t="n"/>
    </row>
    <row r="556" ht="12.75" customHeight="1" s="205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  <c r="S556" s="204" t="n"/>
      <c r="T556" s="204" t="n"/>
      <c r="U556" s="204" t="n"/>
      <c r="V556" s="204" t="n"/>
      <c r="W556" s="204" t="n"/>
      <c r="X556" s="204" t="n"/>
      <c r="Y556" s="204" t="n"/>
      <c r="Z556" s="204" t="n"/>
      <c r="AA556" s="204" t="n"/>
      <c r="AB556" s="204" t="n"/>
      <c r="AC556" s="204" t="n"/>
      <c r="AD556" s="204" t="n"/>
      <c r="AE556" s="204" t="n"/>
      <c r="AF556" s="204" t="n"/>
      <c r="AG556" s="204" t="n"/>
    </row>
    <row r="557" ht="12.75" customHeight="1" s="205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  <c r="S557" s="204" t="n"/>
      <c r="T557" s="204" t="n"/>
      <c r="U557" s="204" t="n"/>
      <c r="V557" s="204" t="n"/>
      <c r="W557" s="204" t="n"/>
      <c r="X557" s="204" t="n"/>
      <c r="Y557" s="204" t="n"/>
      <c r="Z557" s="204" t="n"/>
      <c r="AA557" s="204" t="n"/>
      <c r="AB557" s="204" t="n"/>
      <c r="AC557" s="204" t="n"/>
      <c r="AD557" s="204" t="n"/>
      <c r="AE557" s="204" t="n"/>
      <c r="AF557" s="204" t="n"/>
      <c r="AG557" s="204" t="n"/>
    </row>
    <row r="558" ht="12.75" customHeight="1" s="205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  <c r="S558" s="204" t="n"/>
      <c r="T558" s="204" t="n"/>
      <c r="U558" s="204" t="n"/>
      <c r="V558" s="204" t="n"/>
      <c r="W558" s="204" t="n"/>
      <c r="X558" s="204" t="n"/>
      <c r="Y558" s="204" t="n"/>
      <c r="Z558" s="204" t="n"/>
      <c r="AA558" s="204" t="n"/>
      <c r="AB558" s="204" t="n"/>
      <c r="AC558" s="204" t="n"/>
      <c r="AD558" s="204" t="n"/>
      <c r="AE558" s="204" t="n"/>
      <c r="AF558" s="204" t="n"/>
      <c r="AG558" s="204" t="n"/>
    </row>
    <row r="559" ht="12.75" customHeight="1" s="205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  <c r="S559" s="204" t="n"/>
      <c r="T559" s="204" t="n"/>
      <c r="U559" s="204" t="n"/>
      <c r="V559" s="204" t="n"/>
      <c r="W559" s="204" t="n"/>
      <c r="X559" s="204" t="n"/>
      <c r="Y559" s="204" t="n"/>
      <c r="Z559" s="204" t="n"/>
      <c r="AA559" s="204" t="n"/>
      <c r="AB559" s="204" t="n"/>
      <c r="AC559" s="204" t="n"/>
      <c r="AD559" s="204" t="n"/>
      <c r="AE559" s="204" t="n"/>
      <c r="AF559" s="204" t="n"/>
      <c r="AG559" s="204" t="n"/>
    </row>
    <row r="560" ht="12.75" customHeight="1" s="205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  <c r="S560" s="204" t="n"/>
      <c r="T560" s="204" t="n"/>
      <c r="U560" s="204" t="n"/>
      <c r="V560" s="204" t="n"/>
      <c r="W560" s="204" t="n"/>
      <c r="X560" s="204" t="n"/>
      <c r="Y560" s="204" t="n"/>
      <c r="Z560" s="204" t="n"/>
      <c r="AA560" s="204" t="n"/>
      <c r="AB560" s="204" t="n"/>
      <c r="AC560" s="204" t="n"/>
      <c r="AD560" s="204" t="n"/>
      <c r="AE560" s="204" t="n"/>
      <c r="AF560" s="204" t="n"/>
      <c r="AG560" s="204" t="n"/>
    </row>
    <row r="561" ht="12.75" customHeight="1" s="205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  <c r="S561" s="204" t="n"/>
      <c r="T561" s="204" t="n"/>
      <c r="U561" s="204" t="n"/>
      <c r="V561" s="204" t="n"/>
      <c r="W561" s="204" t="n"/>
      <c r="X561" s="204" t="n"/>
      <c r="Y561" s="204" t="n"/>
      <c r="Z561" s="204" t="n"/>
      <c r="AA561" s="204" t="n"/>
      <c r="AB561" s="204" t="n"/>
      <c r="AC561" s="204" t="n"/>
      <c r="AD561" s="204" t="n"/>
      <c r="AE561" s="204" t="n"/>
      <c r="AF561" s="204" t="n"/>
      <c r="AG561" s="204" t="n"/>
    </row>
    <row r="562" ht="12.75" customHeight="1" s="205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  <c r="S562" s="204" t="n"/>
      <c r="T562" s="204" t="n"/>
      <c r="U562" s="204" t="n"/>
      <c r="V562" s="204" t="n"/>
      <c r="W562" s="204" t="n"/>
      <c r="X562" s="204" t="n"/>
      <c r="Y562" s="204" t="n"/>
      <c r="Z562" s="204" t="n"/>
      <c r="AA562" s="204" t="n"/>
      <c r="AB562" s="204" t="n"/>
      <c r="AC562" s="204" t="n"/>
      <c r="AD562" s="204" t="n"/>
      <c r="AE562" s="204" t="n"/>
      <c r="AF562" s="204" t="n"/>
      <c r="AG562" s="204" t="n"/>
    </row>
    <row r="563" ht="12.75" customHeight="1" s="205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  <c r="S563" s="204" t="n"/>
      <c r="T563" s="204" t="n"/>
      <c r="U563" s="204" t="n"/>
      <c r="V563" s="204" t="n"/>
      <c r="W563" s="204" t="n"/>
      <c r="X563" s="204" t="n"/>
      <c r="Y563" s="204" t="n"/>
      <c r="Z563" s="204" t="n"/>
      <c r="AA563" s="204" t="n"/>
      <c r="AB563" s="204" t="n"/>
      <c r="AC563" s="204" t="n"/>
      <c r="AD563" s="204" t="n"/>
      <c r="AE563" s="204" t="n"/>
      <c r="AF563" s="204" t="n"/>
      <c r="AG563" s="204" t="n"/>
    </row>
    <row r="564" ht="12.75" customHeight="1" s="205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  <c r="S564" s="204" t="n"/>
      <c r="T564" s="204" t="n"/>
      <c r="U564" s="204" t="n"/>
      <c r="V564" s="204" t="n"/>
      <c r="W564" s="204" t="n"/>
      <c r="X564" s="204" t="n"/>
      <c r="Y564" s="204" t="n"/>
      <c r="Z564" s="204" t="n"/>
      <c r="AA564" s="204" t="n"/>
      <c r="AB564" s="204" t="n"/>
      <c r="AC564" s="204" t="n"/>
      <c r="AD564" s="204" t="n"/>
      <c r="AE564" s="204" t="n"/>
      <c r="AF564" s="204" t="n"/>
      <c r="AG564" s="204" t="n"/>
    </row>
    <row r="565" ht="12.75" customHeight="1" s="205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  <c r="S565" s="204" t="n"/>
      <c r="T565" s="204" t="n"/>
      <c r="U565" s="204" t="n"/>
      <c r="V565" s="204" t="n"/>
      <c r="W565" s="204" t="n"/>
      <c r="X565" s="204" t="n"/>
      <c r="Y565" s="204" t="n"/>
      <c r="Z565" s="204" t="n"/>
      <c r="AA565" s="204" t="n"/>
      <c r="AB565" s="204" t="n"/>
      <c r="AC565" s="204" t="n"/>
      <c r="AD565" s="204" t="n"/>
      <c r="AE565" s="204" t="n"/>
      <c r="AF565" s="204" t="n"/>
      <c r="AG565" s="204" t="n"/>
    </row>
    <row r="566" ht="12.75" customHeight="1" s="205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  <c r="S566" s="204" t="n"/>
      <c r="T566" s="204" t="n"/>
      <c r="U566" s="204" t="n"/>
      <c r="V566" s="204" t="n"/>
      <c r="W566" s="204" t="n"/>
      <c r="X566" s="204" t="n"/>
      <c r="Y566" s="204" t="n"/>
      <c r="Z566" s="204" t="n"/>
      <c r="AA566" s="204" t="n"/>
      <c r="AB566" s="204" t="n"/>
      <c r="AC566" s="204" t="n"/>
      <c r="AD566" s="204" t="n"/>
      <c r="AE566" s="204" t="n"/>
      <c r="AF566" s="204" t="n"/>
      <c r="AG566" s="204" t="n"/>
    </row>
    <row r="567" ht="12.75" customHeight="1" s="205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  <c r="S567" s="204" t="n"/>
      <c r="T567" s="204" t="n"/>
      <c r="U567" s="204" t="n"/>
      <c r="V567" s="204" t="n"/>
      <c r="W567" s="204" t="n"/>
      <c r="X567" s="204" t="n"/>
      <c r="Y567" s="204" t="n"/>
      <c r="Z567" s="204" t="n"/>
      <c r="AA567" s="204" t="n"/>
      <c r="AB567" s="204" t="n"/>
      <c r="AC567" s="204" t="n"/>
      <c r="AD567" s="204" t="n"/>
      <c r="AE567" s="204" t="n"/>
      <c r="AF567" s="204" t="n"/>
      <c r="AG567" s="204" t="n"/>
    </row>
    <row r="568" ht="12.75" customHeight="1" s="205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  <c r="S568" s="204" t="n"/>
      <c r="T568" s="204" t="n"/>
      <c r="U568" s="204" t="n"/>
      <c r="V568" s="204" t="n"/>
      <c r="W568" s="204" t="n"/>
      <c r="X568" s="204" t="n"/>
      <c r="Y568" s="204" t="n"/>
      <c r="Z568" s="204" t="n"/>
      <c r="AA568" s="204" t="n"/>
      <c r="AB568" s="204" t="n"/>
      <c r="AC568" s="204" t="n"/>
      <c r="AD568" s="204" t="n"/>
      <c r="AE568" s="204" t="n"/>
      <c r="AF568" s="204" t="n"/>
      <c r="AG568" s="204" t="n"/>
    </row>
    <row r="569" ht="12.75" customHeight="1" s="205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  <c r="S569" s="204" t="n"/>
      <c r="T569" s="204" t="n"/>
      <c r="U569" s="204" t="n"/>
      <c r="V569" s="204" t="n"/>
      <c r="W569" s="204" t="n"/>
      <c r="X569" s="204" t="n"/>
      <c r="Y569" s="204" t="n"/>
      <c r="Z569" s="204" t="n"/>
      <c r="AA569" s="204" t="n"/>
      <c r="AB569" s="204" t="n"/>
      <c r="AC569" s="204" t="n"/>
      <c r="AD569" s="204" t="n"/>
      <c r="AE569" s="204" t="n"/>
      <c r="AF569" s="204" t="n"/>
      <c r="AG569" s="204" t="n"/>
    </row>
    <row r="570" ht="12.75" customHeight="1" s="205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  <c r="S570" s="204" t="n"/>
      <c r="T570" s="204" t="n"/>
      <c r="U570" s="204" t="n"/>
      <c r="V570" s="204" t="n"/>
      <c r="W570" s="204" t="n"/>
      <c r="X570" s="204" t="n"/>
      <c r="Y570" s="204" t="n"/>
      <c r="Z570" s="204" t="n"/>
      <c r="AA570" s="204" t="n"/>
      <c r="AB570" s="204" t="n"/>
      <c r="AC570" s="204" t="n"/>
      <c r="AD570" s="204" t="n"/>
      <c r="AE570" s="204" t="n"/>
      <c r="AF570" s="204" t="n"/>
      <c r="AG570" s="204" t="n"/>
    </row>
    <row r="571" ht="12.75" customHeight="1" s="205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  <c r="S571" s="204" t="n"/>
      <c r="T571" s="204" t="n"/>
      <c r="U571" s="204" t="n"/>
      <c r="V571" s="204" t="n"/>
      <c r="W571" s="204" t="n"/>
      <c r="X571" s="204" t="n"/>
      <c r="Y571" s="204" t="n"/>
      <c r="Z571" s="204" t="n"/>
      <c r="AA571" s="204" t="n"/>
      <c r="AB571" s="204" t="n"/>
      <c r="AC571" s="204" t="n"/>
      <c r="AD571" s="204" t="n"/>
      <c r="AE571" s="204" t="n"/>
      <c r="AF571" s="204" t="n"/>
      <c r="AG571" s="204" t="n"/>
    </row>
    <row r="572" ht="12.75" customHeight="1" s="205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  <c r="S572" s="204" t="n"/>
      <c r="T572" s="204" t="n"/>
      <c r="U572" s="204" t="n"/>
      <c r="V572" s="204" t="n"/>
      <c r="W572" s="204" t="n"/>
      <c r="X572" s="204" t="n"/>
      <c r="Y572" s="204" t="n"/>
      <c r="Z572" s="204" t="n"/>
      <c r="AA572" s="204" t="n"/>
      <c r="AB572" s="204" t="n"/>
      <c r="AC572" s="204" t="n"/>
      <c r="AD572" s="204" t="n"/>
      <c r="AE572" s="204" t="n"/>
      <c r="AF572" s="204" t="n"/>
      <c r="AG572" s="204" t="n"/>
    </row>
    <row r="573" ht="12.75" customHeight="1" s="205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  <c r="S573" s="204" t="n"/>
      <c r="T573" s="204" t="n"/>
      <c r="U573" s="204" t="n"/>
      <c r="V573" s="204" t="n"/>
      <c r="W573" s="204" t="n"/>
      <c r="X573" s="204" t="n"/>
      <c r="Y573" s="204" t="n"/>
      <c r="Z573" s="204" t="n"/>
      <c r="AA573" s="204" t="n"/>
      <c r="AB573" s="204" t="n"/>
      <c r="AC573" s="204" t="n"/>
      <c r="AD573" s="204" t="n"/>
      <c r="AE573" s="204" t="n"/>
      <c r="AF573" s="204" t="n"/>
      <c r="AG573" s="204" t="n"/>
    </row>
    <row r="574" ht="12.75" customHeight="1" s="205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  <c r="S574" s="204" t="n"/>
      <c r="T574" s="204" t="n"/>
      <c r="U574" s="204" t="n"/>
      <c r="V574" s="204" t="n"/>
      <c r="W574" s="204" t="n"/>
      <c r="X574" s="204" t="n"/>
      <c r="Y574" s="204" t="n"/>
      <c r="Z574" s="204" t="n"/>
      <c r="AA574" s="204" t="n"/>
      <c r="AB574" s="204" t="n"/>
      <c r="AC574" s="204" t="n"/>
      <c r="AD574" s="204" t="n"/>
      <c r="AE574" s="204" t="n"/>
      <c r="AF574" s="204" t="n"/>
      <c r="AG574" s="204" t="n"/>
    </row>
    <row r="575" ht="12.75" customHeight="1" s="205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  <c r="S575" s="204" t="n"/>
      <c r="T575" s="204" t="n"/>
      <c r="U575" s="204" t="n"/>
      <c r="V575" s="204" t="n"/>
      <c r="W575" s="204" t="n"/>
      <c r="X575" s="204" t="n"/>
      <c r="Y575" s="204" t="n"/>
      <c r="Z575" s="204" t="n"/>
      <c r="AA575" s="204" t="n"/>
      <c r="AB575" s="204" t="n"/>
      <c r="AC575" s="204" t="n"/>
      <c r="AD575" s="204" t="n"/>
      <c r="AE575" s="204" t="n"/>
      <c r="AF575" s="204" t="n"/>
      <c r="AG575" s="204" t="n"/>
    </row>
    <row r="576" ht="12.75" customHeight="1" s="205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  <c r="S576" s="204" t="n"/>
      <c r="T576" s="204" t="n"/>
      <c r="U576" s="204" t="n"/>
      <c r="V576" s="204" t="n"/>
      <c r="W576" s="204" t="n"/>
      <c r="X576" s="204" t="n"/>
      <c r="Y576" s="204" t="n"/>
      <c r="Z576" s="204" t="n"/>
      <c r="AA576" s="204" t="n"/>
      <c r="AB576" s="204" t="n"/>
      <c r="AC576" s="204" t="n"/>
      <c r="AD576" s="204" t="n"/>
      <c r="AE576" s="204" t="n"/>
      <c r="AF576" s="204" t="n"/>
      <c r="AG576" s="204" t="n"/>
    </row>
    <row r="577" ht="12.75" customHeight="1" s="205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  <c r="S577" s="204" t="n"/>
      <c r="T577" s="204" t="n"/>
      <c r="U577" s="204" t="n"/>
      <c r="V577" s="204" t="n"/>
      <c r="W577" s="204" t="n"/>
      <c r="X577" s="204" t="n"/>
      <c r="Y577" s="204" t="n"/>
      <c r="Z577" s="204" t="n"/>
      <c r="AA577" s="204" t="n"/>
      <c r="AB577" s="204" t="n"/>
      <c r="AC577" s="204" t="n"/>
      <c r="AD577" s="204" t="n"/>
      <c r="AE577" s="204" t="n"/>
      <c r="AF577" s="204" t="n"/>
      <c r="AG577" s="204" t="n"/>
    </row>
    <row r="578" ht="12.75" customHeight="1" s="205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  <c r="S578" s="204" t="n"/>
      <c r="T578" s="204" t="n"/>
      <c r="U578" s="204" t="n"/>
      <c r="V578" s="204" t="n"/>
      <c r="W578" s="204" t="n"/>
      <c r="X578" s="204" t="n"/>
      <c r="Y578" s="204" t="n"/>
      <c r="Z578" s="204" t="n"/>
      <c r="AA578" s="204" t="n"/>
      <c r="AB578" s="204" t="n"/>
      <c r="AC578" s="204" t="n"/>
      <c r="AD578" s="204" t="n"/>
      <c r="AE578" s="204" t="n"/>
      <c r="AF578" s="204" t="n"/>
      <c r="AG578" s="204" t="n"/>
    </row>
    <row r="579" ht="12.75" customHeight="1" s="205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  <c r="S579" s="204" t="n"/>
      <c r="T579" s="204" t="n"/>
      <c r="U579" s="204" t="n"/>
      <c r="V579" s="204" t="n"/>
      <c r="W579" s="204" t="n"/>
      <c r="X579" s="204" t="n"/>
      <c r="Y579" s="204" t="n"/>
      <c r="Z579" s="204" t="n"/>
      <c r="AA579" s="204" t="n"/>
      <c r="AB579" s="204" t="n"/>
      <c r="AC579" s="204" t="n"/>
      <c r="AD579" s="204" t="n"/>
      <c r="AE579" s="204" t="n"/>
      <c r="AF579" s="204" t="n"/>
      <c r="AG579" s="204" t="n"/>
    </row>
    <row r="580" ht="12.75" customHeight="1" s="205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  <c r="S580" s="204" t="n"/>
      <c r="T580" s="204" t="n"/>
      <c r="U580" s="204" t="n"/>
      <c r="V580" s="204" t="n"/>
      <c r="W580" s="204" t="n"/>
      <c r="X580" s="204" t="n"/>
      <c r="Y580" s="204" t="n"/>
      <c r="Z580" s="204" t="n"/>
      <c r="AA580" s="204" t="n"/>
      <c r="AB580" s="204" t="n"/>
      <c r="AC580" s="204" t="n"/>
      <c r="AD580" s="204" t="n"/>
      <c r="AE580" s="204" t="n"/>
      <c r="AF580" s="204" t="n"/>
      <c r="AG580" s="204" t="n"/>
    </row>
    <row r="581" ht="12.75" customHeight="1" s="205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  <c r="S581" s="204" t="n"/>
      <c r="T581" s="204" t="n"/>
      <c r="U581" s="204" t="n"/>
      <c r="V581" s="204" t="n"/>
      <c r="W581" s="204" t="n"/>
      <c r="X581" s="204" t="n"/>
      <c r="Y581" s="204" t="n"/>
      <c r="Z581" s="204" t="n"/>
      <c r="AA581" s="204" t="n"/>
      <c r="AB581" s="204" t="n"/>
      <c r="AC581" s="204" t="n"/>
      <c r="AD581" s="204" t="n"/>
      <c r="AE581" s="204" t="n"/>
      <c r="AF581" s="204" t="n"/>
      <c r="AG581" s="204" t="n"/>
    </row>
    <row r="582" ht="12.75" customHeight="1" s="205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  <c r="S582" s="204" t="n"/>
      <c r="T582" s="204" t="n"/>
      <c r="U582" s="204" t="n"/>
      <c r="V582" s="204" t="n"/>
      <c r="W582" s="204" t="n"/>
      <c r="X582" s="204" t="n"/>
      <c r="Y582" s="204" t="n"/>
      <c r="Z582" s="204" t="n"/>
      <c r="AA582" s="204" t="n"/>
      <c r="AB582" s="204" t="n"/>
      <c r="AC582" s="204" t="n"/>
      <c r="AD582" s="204" t="n"/>
      <c r="AE582" s="204" t="n"/>
      <c r="AF582" s="204" t="n"/>
      <c r="AG582" s="204" t="n"/>
    </row>
    <row r="583" ht="12.75" customHeight="1" s="205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  <c r="S583" s="204" t="n"/>
      <c r="T583" s="204" t="n"/>
      <c r="U583" s="204" t="n"/>
      <c r="V583" s="204" t="n"/>
      <c r="W583" s="204" t="n"/>
      <c r="X583" s="204" t="n"/>
      <c r="Y583" s="204" t="n"/>
      <c r="Z583" s="204" t="n"/>
      <c r="AA583" s="204" t="n"/>
      <c r="AB583" s="204" t="n"/>
      <c r="AC583" s="204" t="n"/>
      <c r="AD583" s="204" t="n"/>
      <c r="AE583" s="204" t="n"/>
      <c r="AF583" s="204" t="n"/>
      <c r="AG583" s="204" t="n"/>
    </row>
    <row r="584" ht="12.75" customHeight="1" s="205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  <c r="S584" s="204" t="n"/>
      <c r="T584" s="204" t="n"/>
      <c r="U584" s="204" t="n"/>
      <c r="V584" s="204" t="n"/>
      <c r="W584" s="204" t="n"/>
      <c r="X584" s="204" t="n"/>
      <c r="Y584" s="204" t="n"/>
      <c r="Z584" s="204" t="n"/>
      <c r="AA584" s="204" t="n"/>
      <c r="AB584" s="204" t="n"/>
      <c r="AC584" s="204" t="n"/>
      <c r="AD584" s="204" t="n"/>
      <c r="AE584" s="204" t="n"/>
      <c r="AF584" s="204" t="n"/>
      <c r="AG584" s="204" t="n"/>
    </row>
    <row r="585" ht="12.75" customHeight="1" s="205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  <c r="S585" s="204" t="n"/>
      <c r="T585" s="204" t="n"/>
      <c r="U585" s="204" t="n"/>
      <c r="V585" s="204" t="n"/>
      <c r="W585" s="204" t="n"/>
      <c r="X585" s="204" t="n"/>
      <c r="Y585" s="204" t="n"/>
      <c r="Z585" s="204" t="n"/>
      <c r="AA585" s="204" t="n"/>
      <c r="AB585" s="204" t="n"/>
      <c r="AC585" s="204" t="n"/>
      <c r="AD585" s="204" t="n"/>
      <c r="AE585" s="204" t="n"/>
      <c r="AF585" s="204" t="n"/>
      <c r="AG585" s="204" t="n"/>
    </row>
    <row r="586" ht="12.75" customHeight="1" s="205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  <c r="S586" s="204" t="n"/>
      <c r="T586" s="204" t="n"/>
      <c r="U586" s="204" t="n"/>
      <c r="V586" s="204" t="n"/>
      <c r="W586" s="204" t="n"/>
      <c r="X586" s="204" t="n"/>
      <c r="Y586" s="204" t="n"/>
      <c r="Z586" s="204" t="n"/>
      <c r="AA586" s="204" t="n"/>
      <c r="AB586" s="204" t="n"/>
      <c r="AC586" s="204" t="n"/>
      <c r="AD586" s="204" t="n"/>
      <c r="AE586" s="204" t="n"/>
      <c r="AF586" s="204" t="n"/>
      <c r="AG586" s="204" t="n"/>
    </row>
    <row r="587" ht="12.75" customHeight="1" s="205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  <c r="S587" s="204" t="n"/>
      <c r="T587" s="204" t="n"/>
      <c r="U587" s="204" t="n"/>
      <c r="V587" s="204" t="n"/>
      <c r="W587" s="204" t="n"/>
      <c r="X587" s="204" t="n"/>
      <c r="Y587" s="204" t="n"/>
      <c r="Z587" s="204" t="n"/>
      <c r="AA587" s="204" t="n"/>
      <c r="AB587" s="204" t="n"/>
      <c r="AC587" s="204" t="n"/>
      <c r="AD587" s="204" t="n"/>
      <c r="AE587" s="204" t="n"/>
      <c r="AF587" s="204" t="n"/>
      <c r="AG587" s="204" t="n"/>
    </row>
    <row r="588" ht="12.75" customHeight="1" s="205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  <c r="S588" s="204" t="n"/>
      <c r="T588" s="204" t="n"/>
      <c r="U588" s="204" t="n"/>
      <c r="V588" s="204" t="n"/>
      <c r="W588" s="204" t="n"/>
      <c r="X588" s="204" t="n"/>
      <c r="Y588" s="204" t="n"/>
      <c r="Z588" s="204" t="n"/>
      <c r="AA588" s="204" t="n"/>
      <c r="AB588" s="204" t="n"/>
      <c r="AC588" s="204" t="n"/>
      <c r="AD588" s="204" t="n"/>
      <c r="AE588" s="204" t="n"/>
      <c r="AF588" s="204" t="n"/>
      <c r="AG588" s="204" t="n"/>
    </row>
    <row r="589" ht="12.75" customHeight="1" s="205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  <c r="S589" s="204" t="n"/>
      <c r="T589" s="204" t="n"/>
      <c r="U589" s="204" t="n"/>
      <c r="V589" s="204" t="n"/>
      <c r="W589" s="204" t="n"/>
      <c r="X589" s="204" t="n"/>
      <c r="Y589" s="204" t="n"/>
      <c r="Z589" s="204" t="n"/>
      <c r="AA589" s="204" t="n"/>
      <c r="AB589" s="204" t="n"/>
      <c r="AC589" s="204" t="n"/>
      <c r="AD589" s="204" t="n"/>
      <c r="AE589" s="204" t="n"/>
      <c r="AF589" s="204" t="n"/>
      <c r="AG589" s="204" t="n"/>
    </row>
    <row r="590" ht="12.75" customHeight="1" s="205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  <c r="S590" s="204" t="n"/>
      <c r="T590" s="204" t="n"/>
      <c r="U590" s="204" t="n"/>
      <c r="V590" s="204" t="n"/>
      <c r="W590" s="204" t="n"/>
      <c r="X590" s="204" t="n"/>
      <c r="Y590" s="204" t="n"/>
      <c r="Z590" s="204" t="n"/>
      <c r="AA590" s="204" t="n"/>
      <c r="AB590" s="204" t="n"/>
      <c r="AC590" s="204" t="n"/>
      <c r="AD590" s="204" t="n"/>
      <c r="AE590" s="204" t="n"/>
      <c r="AF590" s="204" t="n"/>
      <c r="AG590" s="204" t="n"/>
    </row>
    <row r="591" ht="12.75" customHeight="1" s="205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  <c r="S591" s="204" t="n"/>
      <c r="T591" s="204" t="n"/>
      <c r="U591" s="204" t="n"/>
      <c r="V591" s="204" t="n"/>
      <c r="W591" s="204" t="n"/>
      <c r="X591" s="204" t="n"/>
      <c r="Y591" s="204" t="n"/>
      <c r="Z591" s="204" t="n"/>
      <c r="AA591" s="204" t="n"/>
      <c r="AB591" s="204" t="n"/>
      <c r="AC591" s="204" t="n"/>
      <c r="AD591" s="204" t="n"/>
      <c r="AE591" s="204" t="n"/>
      <c r="AF591" s="204" t="n"/>
      <c r="AG591" s="204" t="n"/>
    </row>
    <row r="592" ht="12.75" customHeight="1" s="205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  <c r="S592" s="204" t="n"/>
      <c r="T592" s="204" t="n"/>
      <c r="U592" s="204" t="n"/>
      <c r="V592" s="204" t="n"/>
      <c r="W592" s="204" t="n"/>
      <c r="X592" s="204" t="n"/>
      <c r="Y592" s="204" t="n"/>
      <c r="Z592" s="204" t="n"/>
      <c r="AA592" s="204" t="n"/>
      <c r="AB592" s="204" t="n"/>
      <c r="AC592" s="204" t="n"/>
      <c r="AD592" s="204" t="n"/>
      <c r="AE592" s="204" t="n"/>
      <c r="AF592" s="204" t="n"/>
      <c r="AG592" s="204" t="n"/>
    </row>
    <row r="593" ht="12.75" customHeight="1" s="205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  <c r="S593" s="204" t="n"/>
      <c r="T593" s="204" t="n"/>
      <c r="U593" s="204" t="n"/>
      <c r="V593" s="204" t="n"/>
      <c r="W593" s="204" t="n"/>
      <c r="X593" s="204" t="n"/>
      <c r="Y593" s="204" t="n"/>
      <c r="Z593" s="204" t="n"/>
      <c r="AA593" s="204" t="n"/>
      <c r="AB593" s="204" t="n"/>
      <c r="AC593" s="204" t="n"/>
      <c r="AD593" s="204" t="n"/>
      <c r="AE593" s="204" t="n"/>
      <c r="AF593" s="204" t="n"/>
      <c r="AG593" s="204" t="n"/>
    </row>
    <row r="594" ht="12.75" customHeight="1" s="205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  <c r="S594" s="204" t="n"/>
      <c r="T594" s="204" t="n"/>
      <c r="U594" s="204" t="n"/>
      <c r="V594" s="204" t="n"/>
      <c r="W594" s="204" t="n"/>
      <c r="X594" s="204" t="n"/>
      <c r="Y594" s="204" t="n"/>
      <c r="Z594" s="204" t="n"/>
      <c r="AA594" s="204" t="n"/>
      <c r="AB594" s="204" t="n"/>
      <c r="AC594" s="204" t="n"/>
      <c r="AD594" s="204" t="n"/>
      <c r="AE594" s="204" t="n"/>
      <c r="AF594" s="204" t="n"/>
      <c r="AG594" s="204" t="n"/>
    </row>
    <row r="595" ht="12.75" customHeight="1" s="205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  <c r="S595" s="204" t="n"/>
      <c r="T595" s="204" t="n"/>
      <c r="U595" s="204" t="n"/>
      <c r="V595" s="204" t="n"/>
      <c r="W595" s="204" t="n"/>
      <c r="X595" s="204" t="n"/>
      <c r="Y595" s="204" t="n"/>
      <c r="Z595" s="204" t="n"/>
      <c r="AA595" s="204" t="n"/>
      <c r="AB595" s="204" t="n"/>
      <c r="AC595" s="204" t="n"/>
      <c r="AD595" s="204" t="n"/>
      <c r="AE595" s="204" t="n"/>
      <c r="AF595" s="204" t="n"/>
      <c r="AG595" s="204" t="n"/>
    </row>
    <row r="596" ht="12.75" customHeight="1" s="205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  <c r="S596" s="204" t="n"/>
      <c r="T596" s="204" t="n"/>
      <c r="U596" s="204" t="n"/>
      <c r="V596" s="204" t="n"/>
      <c r="W596" s="204" t="n"/>
      <c r="X596" s="204" t="n"/>
      <c r="Y596" s="204" t="n"/>
      <c r="Z596" s="204" t="n"/>
      <c r="AA596" s="204" t="n"/>
      <c r="AB596" s="204" t="n"/>
      <c r="AC596" s="204" t="n"/>
      <c r="AD596" s="204" t="n"/>
      <c r="AE596" s="204" t="n"/>
      <c r="AF596" s="204" t="n"/>
      <c r="AG596" s="204" t="n"/>
    </row>
    <row r="597" ht="12.75" customHeight="1" s="205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  <c r="S597" s="204" t="n"/>
      <c r="T597" s="204" t="n"/>
      <c r="U597" s="204" t="n"/>
      <c r="V597" s="204" t="n"/>
      <c r="W597" s="204" t="n"/>
      <c r="X597" s="204" t="n"/>
      <c r="Y597" s="204" t="n"/>
      <c r="Z597" s="204" t="n"/>
      <c r="AA597" s="204" t="n"/>
      <c r="AB597" s="204" t="n"/>
      <c r="AC597" s="204" t="n"/>
      <c r="AD597" s="204" t="n"/>
      <c r="AE597" s="204" t="n"/>
      <c r="AF597" s="204" t="n"/>
      <c r="AG597" s="204" t="n"/>
    </row>
    <row r="598" ht="12.75" customHeight="1" s="205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  <c r="S598" s="204" t="n"/>
      <c r="T598" s="204" t="n"/>
      <c r="U598" s="204" t="n"/>
      <c r="V598" s="204" t="n"/>
      <c r="W598" s="204" t="n"/>
      <c r="X598" s="204" t="n"/>
      <c r="Y598" s="204" t="n"/>
      <c r="Z598" s="204" t="n"/>
      <c r="AA598" s="204" t="n"/>
      <c r="AB598" s="204" t="n"/>
      <c r="AC598" s="204" t="n"/>
      <c r="AD598" s="204" t="n"/>
      <c r="AE598" s="204" t="n"/>
      <c r="AF598" s="204" t="n"/>
      <c r="AG598" s="204" t="n"/>
    </row>
    <row r="599" ht="12.75" customHeight="1" s="205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  <c r="S599" s="204" t="n"/>
      <c r="T599" s="204" t="n"/>
      <c r="U599" s="204" t="n"/>
      <c r="V599" s="204" t="n"/>
      <c r="W599" s="204" t="n"/>
      <c r="X599" s="204" t="n"/>
      <c r="Y599" s="204" t="n"/>
      <c r="Z599" s="204" t="n"/>
      <c r="AA599" s="204" t="n"/>
      <c r="AB599" s="204" t="n"/>
      <c r="AC599" s="204" t="n"/>
      <c r="AD599" s="204" t="n"/>
      <c r="AE599" s="204" t="n"/>
      <c r="AF599" s="204" t="n"/>
      <c r="AG599" s="204" t="n"/>
    </row>
    <row r="600" ht="12.75" customHeight="1" s="205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  <c r="S600" s="204" t="n"/>
      <c r="T600" s="204" t="n"/>
      <c r="U600" s="204" t="n"/>
      <c r="V600" s="204" t="n"/>
      <c r="W600" s="204" t="n"/>
      <c r="X600" s="204" t="n"/>
      <c r="Y600" s="204" t="n"/>
      <c r="Z600" s="204" t="n"/>
      <c r="AA600" s="204" t="n"/>
      <c r="AB600" s="204" t="n"/>
      <c r="AC600" s="204" t="n"/>
      <c r="AD600" s="204" t="n"/>
      <c r="AE600" s="204" t="n"/>
      <c r="AF600" s="204" t="n"/>
      <c r="AG600" s="204" t="n"/>
    </row>
    <row r="601" ht="12.75" customHeight="1" s="205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  <c r="S601" s="204" t="n"/>
      <c r="T601" s="204" t="n"/>
      <c r="U601" s="204" t="n"/>
      <c r="V601" s="204" t="n"/>
      <c r="W601" s="204" t="n"/>
      <c r="X601" s="204" t="n"/>
      <c r="Y601" s="204" t="n"/>
      <c r="Z601" s="204" t="n"/>
      <c r="AA601" s="204" t="n"/>
      <c r="AB601" s="204" t="n"/>
      <c r="AC601" s="204" t="n"/>
      <c r="AD601" s="204" t="n"/>
      <c r="AE601" s="204" t="n"/>
      <c r="AF601" s="204" t="n"/>
      <c r="AG601" s="204" t="n"/>
    </row>
    <row r="602" ht="12.75" customHeight="1" s="205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  <c r="S602" s="204" t="n"/>
      <c r="T602" s="204" t="n"/>
      <c r="U602" s="204" t="n"/>
      <c r="V602" s="204" t="n"/>
      <c r="W602" s="204" t="n"/>
      <c r="X602" s="204" t="n"/>
      <c r="Y602" s="204" t="n"/>
      <c r="Z602" s="204" t="n"/>
      <c r="AA602" s="204" t="n"/>
      <c r="AB602" s="204" t="n"/>
      <c r="AC602" s="204" t="n"/>
      <c r="AD602" s="204" t="n"/>
      <c r="AE602" s="204" t="n"/>
      <c r="AF602" s="204" t="n"/>
      <c r="AG602" s="204" t="n"/>
    </row>
    <row r="603" ht="12.75" customHeight="1" s="205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  <c r="S603" s="204" t="n"/>
      <c r="T603" s="204" t="n"/>
      <c r="U603" s="204" t="n"/>
      <c r="V603" s="204" t="n"/>
      <c r="W603" s="204" t="n"/>
      <c r="X603" s="204" t="n"/>
      <c r="Y603" s="204" t="n"/>
      <c r="Z603" s="204" t="n"/>
      <c r="AA603" s="204" t="n"/>
      <c r="AB603" s="204" t="n"/>
      <c r="AC603" s="204" t="n"/>
      <c r="AD603" s="204" t="n"/>
      <c r="AE603" s="204" t="n"/>
      <c r="AF603" s="204" t="n"/>
      <c r="AG603" s="204" t="n"/>
    </row>
    <row r="604" ht="12.75" customHeight="1" s="205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  <c r="S604" s="204" t="n"/>
      <c r="T604" s="204" t="n"/>
      <c r="U604" s="204" t="n"/>
      <c r="V604" s="204" t="n"/>
      <c r="W604" s="204" t="n"/>
      <c r="X604" s="204" t="n"/>
      <c r="Y604" s="204" t="n"/>
      <c r="Z604" s="204" t="n"/>
      <c r="AA604" s="204" t="n"/>
      <c r="AB604" s="204" t="n"/>
      <c r="AC604" s="204" t="n"/>
      <c r="AD604" s="204" t="n"/>
      <c r="AE604" s="204" t="n"/>
      <c r="AF604" s="204" t="n"/>
      <c r="AG604" s="204" t="n"/>
    </row>
    <row r="605" ht="12.75" customHeight="1" s="205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  <c r="S605" s="204" t="n"/>
      <c r="T605" s="204" t="n"/>
      <c r="U605" s="204" t="n"/>
      <c r="V605" s="204" t="n"/>
      <c r="W605" s="204" t="n"/>
      <c r="X605" s="204" t="n"/>
      <c r="Y605" s="204" t="n"/>
      <c r="Z605" s="204" t="n"/>
      <c r="AA605" s="204" t="n"/>
      <c r="AB605" s="204" t="n"/>
      <c r="AC605" s="204" t="n"/>
      <c r="AD605" s="204" t="n"/>
      <c r="AE605" s="204" t="n"/>
      <c r="AF605" s="204" t="n"/>
      <c r="AG605" s="204" t="n"/>
    </row>
    <row r="606" ht="12.75" customHeight="1" s="205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  <c r="S606" s="204" t="n"/>
      <c r="T606" s="204" t="n"/>
      <c r="U606" s="204" t="n"/>
      <c r="V606" s="204" t="n"/>
      <c r="W606" s="204" t="n"/>
      <c r="X606" s="204" t="n"/>
      <c r="Y606" s="204" t="n"/>
      <c r="Z606" s="204" t="n"/>
      <c r="AA606" s="204" t="n"/>
      <c r="AB606" s="204" t="n"/>
      <c r="AC606" s="204" t="n"/>
      <c r="AD606" s="204" t="n"/>
      <c r="AE606" s="204" t="n"/>
      <c r="AF606" s="204" t="n"/>
      <c r="AG606" s="204" t="n"/>
    </row>
    <row r="607" ht="12.75" customHeight="1" s="205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  <c r="S607" s="204" t="n"/>
      <c r="T607" s="204" t="n"/>
      <c r="U607" s="204" t="n"/>
      <c r="V607" s="204" t="n"/>
      <c r="W607" s="204" t="n"/>
      <c r="X607" s="204" t="n"/>
      <c r="Y607" s="204" t="n"/>
      <c r="Z607" s="204" t="n"/>
      <c r="AA607" s="204" t="n"/>
      <c r="AB607" s="204" t="n"/>
      <c r="AC607" s="204" t="n"/>
      <c r="AD607" s="204" t="n"/>
      <c r="AE607" s="204" t="n"/>
      <c r="AF607" s="204" t="n"/>
      <c r="AG607" s="204" t="n"/>
    </row>
    <row r="608" ht="12.75" customHeight="1" s="205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  <c r="S608" s="204" t="n"/>
      <c r="T608" s="204" t="n"/>
      <c r="U608" s="204" t="n"/>
      <c r="V608" s="204" t="n"/>
      <c r="W608" s="204" t="n"/>
      <c r="X608" s="204" t="n"/>
      <c r="Y608" s="204" t="n"/>
      <c r="Z608" s="204" t="n"/>
      <c r="AA608" s="204" t="n"/>
      <c r="AB608" s="204" t="n"/>
      <c r="AC608" s="204" t="n"/>
      <c r="AD608" s="204" t="n"/>
      <c r="AE608" s="204" t="n"/>
      <c r="AF608" s="204" t="n"/>
      <c r="AG608" s="204" t="n"/>
    </row>
    <row r="609" ht="12.75" customHeight="1" s="205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  <c r="S609" s="204" t="n"/>
      <c r="T609" s="204" t="n"/>
      <c r="U609" s="204" t="n"/>
      <c r="V609" s="204" t="n"/>
      <c r="W609" s="204" t="n"/>
      <c r="X609" s="204" t="n"/>
      <c r="Y609" s="204" t="n"/>
      <c r="Z609" s="204" t="n"/>
      <c r="AA609" s="204" t="n"/>
      <c r="AB609" s="204" t="n"/>
      <c r="AC609" s="204" t="n"/>
      <c r="AD609" s="204" t="n"/>
      <c r="AE609" s="204" t="n"/>
      <c r="AF609" s="204" t="n"/>
      <c r="AG609" s="204" t="n"/>
    </row>
    <row r="610" ht="12.75" customHeight="1" s="205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  <c r="S610" s="204" t="n"/>
      <c r="T610" s="204" t="n"/>
      <c r="U610" s="204" t="n"/>
      <c r="V610" s="204" t="n"/>
      <c r="W610" s="204" t="n"/>
      <c r="X610" s="204" t="n"/>
      <c r="Y610" s="204" t="n"/>
      <c r="Z610" s="204" t="n"/>
      <c r="AA610" s="204" t="n"/>
      <c r="AB610" s="204" t="n"/>
      <c r="AC610" s="204" t="n"/>
      <c r="AD610" s="204" t="n"/>
      <c r="AE610" s="204" t="n"/>
      <c r="AF610" s="204" t="n"/>
      <c r="AG610" s="204" t="n"/>
    </row>
    <row r="611" ht="12.75" customHeight="1" s="205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  <c r="S611" s="204" t="n"/>
      <c r="T611" s="204" t="n"/>
      <c r="U611" s="204" t="n"/>
      <c r="V611" s="204" t="n"/>
      <c r="W611" s="204" t="n"/>
      <c r="X611" s="204" t="n"/>
      <c r="Y611" s="204" t="n"/>
      <c r="Z611" s="204" t="n"/>
      <c r="AA611" s="204" t="n"/>
      <c r="AB611" s="204" t="n"/>
      <c r="AC611" s="204" t="n"/>
      <c r="AD611" s="204" t="n"/>
      <c r="AE611" s="204" t="n"/>
      <c r="AF611" s="204" t="n"/>
      <c r="AG611" s="204" t="n"/>
    </row>
    <row r="612" ht="12.75" customHeight="1" s="205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  <c r="S612" s="204" t="n"/>
      <c r="T612" s="204" t="n"/>
      <c r="U612" s="204" t="n"/>
      <c r="V612" s="204" t="n"/>
      <c r="W612" s="204" t="n"/>
      <c r="X612" s="204" t="n"/>
      <c r="Y612" s="204" t="n"/>
      <c r="Z612" s="204" t="n"/>
      <c r="AA612" s="204" t="n"/>
      <c r="AB612" s="204" t="n"/>
      <c r="AC612" s="204" t="n"/>
      <c r="AD612" s="204" t="n"/>
      <c r="AE612" s="204" t="n"/>
      <c r="AF612" s="204" t="n"/>
      <c r="AG612" s="204" t="n"/>
    </row>
    <row r="613" ht="12.75" customHeight="1" s="205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  <c r="S613" s="204" t="n"/>
      <c r="T613" s="204" t="n"/>
      <c r="U613" s="204" t="n"/>
      <c r="V613" s="204" t="n"/>
      <c r="W613" s="204" t="n"/>
      <c r="X613" s="204" t="n"/>
      <c r="Y613" s="204" t="n"/>
      <c r="Z613" s="204" t="n"/>
      <c r="AA613" s="204" t="n"/>
      <c r="AB613" s="204" t="n"/>
      <c r="AC613" s="204" t="n"/>
      <c r="AD613" s="204" t="n"/>
      <c r="AE613" s="204" t="n"/>
      <c r="AF613" s="204" t="n"/>
      <c r="AG613" s="204" t="n"/>
    </row>
    <row r="614" ht="12.75" customHeight="1" s="205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  <c r="S614" s="204" t="n"/>
      <c r="T614" s="204" t="n"/>
      <c r="U614" s="204" t="n"/>
      <c r="V614" s="204" t="n"/>
      <c r="W614" s="204" t="n"/>
      <c r="X614" s="204" t="n"/>
      <c r="Y614" s="204" t="n"/>
      <c r="Z614" s="204" t="n"/>
      <c r="AA614" s="204" t="n"/>
      <c r="AB614" s="204" t="n"/>
      <c r="AC614" s="204" t="n"/>
      <c r="AD614" s="204" t="n"/>
      <c r="AE614" s="204" t="n"/>
      <c r="AF614" s="204" t="n"/>
      <c r="AG614" s="204" t="n"/>
    </row>
    <row r="615" ht="12.75" customHeight="1" s="205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  <c r="S615" s="204" t="n"/>
      <c r="T615" s="204" t="n"/>
      <c r="U615" s="204" t="n"/>
      <c r="V615" s="204" t="n"/>
      <c r="W615" s="204" t="n"/>
      <c r="X615" s="204" t="n"/>
      <c r="Y615" s="204" t="n"/>
      <c r="Z615" s="204" t="n"/>
      <c r="AA615" s="204" t="n"/>
      <c r="AB615" s="204" t="n"/>
      <c r="AC615" s="204" t="n"/>
      <c r="AD615" s="204" t="n"/>
      <c r="AE615" s="204" t="n"/>
      <c r="AF615" s="204" t="n"/>
      <c r="AG615" s="204" t="n"/>
    </row>
    <row r="616" ht="12.75" customHeight="1" s="205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  <c r="S616" s="204" t="n"/>
      <c r="T616" s="204" t="n"/>
      <c r="U616" s="204" t="n"/>
      <c r="V616" s="204" t="n"/>
      <c r="W616" s="204" t="n"/>
      <c r="X616" s="204" t="n"/>
      <c r="Y616" s="204" t="n"/>
      <c r="Z616" s="204" t="n"/>
      <c r="AA616" s="204" t="n"/>
      <c r="AB616" s="204" t="n"/>
      <c r="AC616" s="204" t="n"/>
      <c r="AD616" s="204" t="n"/>
      <c r="AE616" s="204" t="n"/>
      <c r="AF616" s="204" t="n"/>
      <c r="AG616" s="204" t="n"/>
    </row>
    <row r="617" ht="12.75" customHeight="1" s="205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  <c r="S617" s="204" t="n"/>
      <c r="T617" s="204" t="n"/>
      <c r="U617" s="204" t="n"/>
      <c r="V617" s="204" t="n"/>
      <c r="W617" s="204" t="n"/>
      <c r="X617" s="204" t="n"/>
      <c r="Y617" s="204" t="n"/>
      <c r="Z617" s="204" t="n"/>
      <c r="AA617" s="204" t="n"/>
      <c r="AB617" s="204" t="n"/>
      <c r="AC617" s="204" t="n"/>
      <c r="AD617" s="204" t="n"/>
      <c r="AE617" s="204" t="n"/>
      <c r="AF617" s="204" t="n"/>
      <c r="AG617" s="204" t="n"/>
    </row>
    <row r="618" ht="12.75" customHeight="1" s="205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  <c r="S618" s="204" t="n"/>
      <c r="T618" s="204" t="n"/>
      <c r="U618" s="204" t="n"/>
      <c r="V618" s="204" t="n"/>
      <c r="W618" s="204" t="n"/>
      <c r="X618" s="204" t="n"/>
      <c r="Y618" s="204" t="n"/>
      <c r="Z618" s="204" t="n"/>
      <c r="AA618" s="204" t="n"/>
      <c r="AB618" s="204" t="n"/>
      <c r="AC618" s="204" t="n"/>
      <c r="AD618" s="204" t="n"/>
      <c r="AE618" s="204" t="n"/>
      <c r="AF618" s="204" t="n"/>
      <c r="AG618" s="204" t="n"/>
    </row>
    <row r="619" ht="12.75" customHeight="1" s="205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  <c r="S619" s="204" t="n"/>
      <c r="T619" s="204" t="n"/>
      <c r="U619" s="204" t="n"/>
      <c r="V619" s="204" t="n"/>
      <c r="W619" s="204" t="n"/>
      <c r="X619" s="204" t="n"/>
      <c r="Y619" s="204" t="n"/>
      <c r="Z619" s="204" t="n"/>
      <c r="AA619" s="204" t="n"/>
      <c r="AB619" s="204" t="n"/>
      <c r="AC619" s="204" t="n"/>
      <c r="AD619" s="204" t="n"/>
      <c r="AE619" s="204" t="n"/>
      <c r="AF619" s="204" t="n"/>
      <c r="AG619" s="204" t="n"/>
    </row>
    <row r="620" ht="12.75" customHeight="1" s="205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  <c r="S620" s="204" t="n"/>
      <c r="T620" s="204" t="n"/>
      <c r="U620" s="204" t="n"/>
      <c r="V620" s="204" t="n"/>
      <c r="W620" s="204" t="n"/>
      <c r="X620" s="204" t="n"/>
      <c r="Y620" s="204" t="n"/>
      <c r="Z620" s="204" t="n"/>
      <c r="AA620" s="204" t="n"/>
      <c r="AB620" s="204" t="n"/>
      <c r="AC620" s="204" t="n"/>
      <c r="AD620" s="204" t="n"/>
      <c r="AE620" s="204" t="n"/>
      <c r="AF620" s="204" t="n"/>
      <c r="AG620" s="204" t="n"/>
    </row>
    <row r="621" ht="12.75" customHeight="1" s="205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  <c r="S621" s="204" t="n"/>
      <c r="T621" s="204" t="n"/>
      <c r="U621" s="204" t="n"/>
      <c r="V621" s="204" t="n"/>
      <c r="W621" s="204" t="n"/>
      <c r="X621" s="204" t="n"/>
      <c r="Y621" s="204" t="n"/>
      <c r="Z621" s="204" t="n"/>
      <c r="AA621" s="204" t="n"/>
      <c r="AB621" s="204" t="n"/>
      <c r="AC621" s="204" t="n"/>
      <c r="AD621" s="204" t="n"/>
      <c r="AE621" s="204" t="n"/>
      <c r="AF621" s="204" t="n"/>
      <c r="AG621" s="204" t="n"/>
    </row>
    <row r="622" ht="12.75" customHeight="1" s="205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  <c r="S622" s="204" t="n"/>
      <c r="T622" s="204" t="n"/>
      <c r="U622" s="204" t="n"/>
      <c r="V622" s="204" t="n"/>
      <c r="W622" s="204" t="n"/>
      <c r="X622" s="204" t="n"/>
      <c r="Y622" s="204" t="n"/>
      <c r="Z622" s="204" t="n"/>
      <c r="AA622" s="204" t="n"/>
      <c r="AB622" s="204" t="n"/>
      <c r="AC622" s="204" t="n"/>
      <c r="AD622" s="204" t="n"/>
      <c r="AE622" s="204" t="n"/>
      <c r="AF622" s="204" t="n"/>
      <c r="AG622" s="204" t="n"/>
    </row>
    <row r="623" ht="12.75" customHeight="1" s="205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  <c r="S623" s="204" t="n"/>
      <c r="T623" s="204" t="n"/>
      <c r="U623" s="204" t="n"/>
      <c r="V623" s="204" t="n"/>
      <c r="W623" s="204" t="n"/>
      <c r="X623" s="204" t="n"/>
      <c r="Y623" s="204" t="n"/>
      <c r="Z623" s="204" t="n"/>
      <c r="AA623" s="204" t="n"/>
      <c r="AB623" s="204" t="n"/>
      <c r="AC623" s="204" t="n"/>
      <c r="AD623" s="204" t="n"/>
      <c r="AE623" s="204" t="n"/>
      <c r="AF623" s="204" t="n"/>
      <c r="AG623" s="204" t="n"/>
    </row>
    <row r="624" ht="12.75" customHeight="1" s="205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  <c r="S624" s="204" t="n"/>
      <c r="T624" s="204" t="n"/>
      <c r="U624" s="204" t="n"/>
      <c r="V624" s="204" t="n"/>
      <c r="W624" s="204" t="n"/>
      <c r="X624" s="204" t="n"/>
      <c r="Y624" s="204" t="n"/>
      <c r="Z624" s="204" t="n"/>
      <c r="AA624" s="204" t="n"/>
      <c r="AB624" s="204" t="n"/>
      <c r="AC624" s="204" t="n"/>
      <c r="AD624" s="204" t="n"/>
      <c r="AE624" s="204" t="n"/>
      <c r="AF624" s="204" t="n"/>
      <c r="AG624" s="204" t="n"/>
    </row>
    <row r="625" ht="12.75" customHeight="1" s="205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  <c r="S625" s="204" t="n"/>
      <c r="T625" s="204" t="n"/>
      <c r="U625" s="204" t="n"/>
      <c r="V625" s="204" t="n"/>
      <c r="W625" s="204" t="n"/>
      <c r="X625" s="204" t="n"/>
      <c r="Y625" s="204" t="n"/>
      <c r="Z625" s="204" t="n"/>
      <c r="AA625" s="204" t="n"/>
      <c r="AB625" s="204" t="n"/>
      <c r="AC625" s="204" t="n"/>
      <c r="AD625" s="204" t="n"/>
      <c r="AE625" s="204" t="n"/>
      <c r="AF625" s="204" t="n"/>
      <c r="AG625" s="204" t="n"/>
    </row>
    <row r="626" ht="12.75" customHeight="1" s="205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  <c r="S626" s="204" t="n"/>
      <c r="T626" s="204" t="n"/>
      <c r="U626" s="204" t="n"/>
      <c r="V626" s="204" t="n"/>
      <c r="W626" s="204" t="n"/>
      <c r="X626" s="204" t="n"/>
      <c r="Y626" s="204" t="n"/>
      <c r="Z626" s="204" t="n"/>
      <c r="AA626" s="204" t="n"/>
      <c r="AB626" s="204" t="n"/>
      <c r="AC626" s="204" t="n"/>
      <c r="AD626" s="204" t="n"/>
      <c r="AE626" s="204" t="n"/>
      <c r="AF626" s="204" t="n"/>
      <c r="AG626" s="204" t="n"/>
    </row>
    <row r="627" ht="12.75" customHeight="1" s="205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  <c r="S627" s="204" t="n"/>
      <c r="T627" s="204" t="n"/>
      <c r="U627" s="204" t="n"/>
      <c r="V627" s="204" t="n"/>
      <c r="W627" s="204" t="n"/>
      <c r="X627" s="204" t="n"/>
      <c r="Y627" s="204" t="n"/>
      <c r="Z627" s="204" t="n"/>
      <c r="AA627" s="204" t="n"/>
      <c r="AB627" s="204" t="n"/>
      <c r="AC627" s="204" t="n"/>
      <c r="AD627" s="204" t="n"/>
      <c r="AE627" s="204" t="n"/>
      <c r="AF627" s="204" t="n"/>
      <c r="AG627" s="204" t="n"/>
    </row>
    <row r="628" ht="12.75" customHeight="1" s="205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  <c r="S628" s="204" t="n"/>
      <c r="T628" s="204" t="n"/>
      <c r="U628" s="204" t="n"/>
      <c r="V628" s="204" t="n"/>
      <c r="W628" s="204" t="n"/>
      <c r="X628" s="204" t="n"/>
      <c r="Y628" s="204" t="n"/>
      <c r="Z628" s="204" t="n"/>
      <c r="AA628" s="204" t="n"/>
      <c r="AB628" s="204" t="n"/>
      <c r="AC628" s="204" t="n"/>
      <c r="AD628" s="204" t="n"/>
      <c r="AE628" s="204" t="n"/>
      <c r="AF628" s="204" t="n"/>
      <c r="AG628" s="204" t="n"/>
    </row>
    <row r="629" ht="12.75" customHeight="1" s="205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  <c r="S629" s="204" t="n"/>
      <c r="T629" s="204" t="n"/>
      <c r="U629" s="204" t="n"/>
      <c r="V629" s="204" t="n"/>
      <c r="W629" s="204" t="n"/>
      <c r="X629" s="204" t="n"/>
      <c r="Y629" s="204" t="n"/>
      <c r="Z629" s="204" t="n"/>
      <c r="AA629" s="204" t="n"/>
      <c r="AB629" s="204" t="n"/>
      <c r="AC629" s="204" t="n"/>
      <c r="AD629" s="204" t="n"/>
      <c r="AE629" s="204" t="n"/>
      <c r="AF629" s="204" t="n"/>
      <c r="AG629" s="204" t="n"/>
    </row>
    <row r="630" ht="12.75" customHeight="1" s="205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  <c r="S630" s="204" t="n"/>
      <c r="T630" s="204" t="n"/>
      <c r="U630" s="204" t="n"/>
      <c r="V630" s="204" t="n"/>
      <c r="W630" s="204" t="n"/>
      <c r="X630" s="204" t="n"/>
      <c r="Y630" s="204" t="n"/>
      <c r="Z630" s="204" t="n"/>
      <c r="AA630" s="204" t="n"/>
      <c r="AB630" s="204" t="n"/>
      <c r="AC630" s="204" t="n"/>
      <c r="AD630" s="204" t="n"/>
      <c r="AE630" s="204" t="n"/>
      <c r="AF630" s="204" t="n"/>
      <c r="AG630" s="204" t="n"/>
    </row>
    <row r="631" ht="12.75" customHeight="1" s="205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  <c r="S631" s="204" t="n"/>
      <c r="T631" s="204" t="n"/>
      <c r="U631" s="204" t="n"/>
      <c r="V631" s="204" t="n"/>
      <c r="W631" s="204" t="n"/>
      <c r="X631" s="204" t="n"/>
      <c r="Y631" s="204" t="n"/>
      <c r="Z631" s="204" t="n"/>
      <c r="AA631" s="204" t="n"/>
      <c r="AB631" s="204" t="n"/>
      <c r="AC631" s="204" t="n"/>
      <c r="AD631" s="204" t="n"/>
      <c r="AE631" s="204" t="n"/>
      <c r="AF631" s="204" t="n"/>
      <c r="AG631" s="204" t="n"/>
    </row>
    <row r="632" ht="12.75" customHeight="1" s="205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  <c r="S632" s="204" t="n"/>
      <c r="T632" s="204" t="n"/>
      <c r="U632" s="204" t="n"/>
      <c r="V632" s="204" t="n"/>
      <c r="W632" s="204" t="n"/>
      <c r="X632" s="204" t="n"/>
      <c r="Y632" s="204" t="n"/>
      <c r="Z632" s="204" t="n"/>
      <c r="AA632" s="204" t="n"/>
      <c r="AB632" s="204" t="n"/>
      <c r="AC632" s="204" t="n"/>
      <c r="AD632" s="204" t="n"/>
      <c r="AE632" s="204" t="n"/>
      <c r="AF632" s="204" t="n"/>
      <c r="AG632" s="204" t="n"/>
    </row>
    <row r="633" ht="12.75" customHeight="1" s="205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  <c r="S633" s="204" t="n"/>
      <c r="T633" s="204" t="n"/>
      <c r="U633" s="204" t="n"/>
      <c r="V633" s="204" t="n"/>
      <c r="W633" s="204" t="n"/>
      <c r="X633" s="204" t="n"/>
      <c r="Y633" s="204" t="n"/>
      <c r="Z633" s="204" t="n"/>
      <c r="AA633" s="204" t="n"/>
      <c r="AB633" s="204" t="n"/>
      <c r="AC633" s="204" t="n"/>
      <c r="AD633" s="204" t="n"/>
      <c r="AE633" s="204" t="n"/>
      <c r="AF633" s="204" t="n"/>
      <c r="AG633" s="204" t="n"/>
    </row>
    <row r="634" ht="12.75" customHeight="1" s="205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  <c r="S634" s="204" t="n"/>
      <c r="T634" s="204" t="n"/>
      <c r="U634" s="204" t="n"/>
      <c r="V634" s="204" t="n"/>
      <c r="W634" s="204" t="n"/>
      <c r="X634" s="204" t="n"/>
      <c r="Y634" s="204" t="n"/>
      <c r="Z634" s="204" t="n"/>
      <c r="AA634" s="204" t="n"/>
      <c r="AB634" s="204" t="n"/>
      <c r="AC634" s="204" t="n"/>
      <c r="AD634" s="204" t="n"/>
      <c r="AE634" s="204" t="n"/>
      <c r="AF634" s="204" t="n"/>
      <c r="AG634" s="204" t="n"/>
    </row>
    <row r="635" ht="12.75" customHeight="1" s="205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  <c r="S635" s="204" t="n"/>
      <c r="T635" s="204" t="n"/>
      <c r="U635" s="204" t="n"/>
      <c r="V635" s="204" t="n"/>
      <c r="W635" s="204" t="n"/>
      <c r="X635" s="204" t="n"/>
      <c r="Y635" s="204" t="n"/>
      <c r="Z635" s="204" t="n"/>
      <c r="AA635" s="204" t="n"/>
      <c r="AB635" s="204" t="n"/>
      <c r="AC635" s="204" t="n"/>
      <c r="AD635" s="204" t="n"/>
      <c r="AE635" s="204" t="n"/>
      <c r="AF635" s="204" t="n"/>
      <c r="AG635" s="204" t="n"/>
    </row>
    <row r="636" ht="12.75" customHeight="1" s="205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  <c r="S636" s="204" t="n"/>
      <c r="T636" s="204" t="n"/>
      <c r="U636" s="204" t="n"/>
      <c r="V636" s="204" t="n"/>
      <c r="W636" s="204" t="n"/>
      <c r="X636" s="204" t="n"/>
      <c r="Y636" s="204" t="n"/>
      <c r="Z636" s="204" t="n"/>
      <c r="AA636" s="204" t="n"/>
      <c r="AB636" s="204" t="n"/>
      <c r="AC636" s="204" t="n"/>
      <c r="AD636" s="204" t="n"/>
      <c r="AE636" s="204" t="n"/>
      <c r="AF636" s="204" t="n"/>
      <c r="AG636" s="204" t="n"/>
    </row>
    <row r="637" ht="12.75" customHeight="1" s="205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  <c r="S637" s="204" t="n"/>
      <c r="T637" s="204" t="n"/>
      <c r="U637" s="204" t="n"/>
      <c r="V637" s="204" t="n"/>
      <c r="W637" s="204" t="n"/>
      <c r="X637" s="204" t="n"/>
      <c r="Y637" s="204" t="n"/>
      <c r="Z637" s="204" t="n"/>
      <c r="AA637" s="204" t="n"/>
      <c r="AB637" s="204" t="n"/>
      <c r="AC637" s="204" t="n"/>
      <c r="AD637" s="204" t="n"/>
      <c r="AE637" s="204" t="n"/>
      <c r="AF637" s="204" t="n"/>
      <c r="AG637" s="204" t="n"/>
    </row>
    <row r="638" ht="12.75" customHeight="1" s="205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  <c r="S638" s="204" t="n"/>
      <c r="T638" s="204" t="n"/>
      <c r="U638" s="204" t="n"/>
      <c r="V638" s="204" t="n"/>
      <c r="W638" s="204" t="n"/>
      <c r="X638" s="204" t="n"/>
      <c r="Y638" s="204" t="n"/>
      <c r="Z638" s="204" t="n"/>
      <c r="AA638" s="204" t="n"/>
      <c r="AB638" s="204" t="n"/>
      <c r="AC638" s="204" t="n"/>
      <c r="AD638" s="204" t="n"/>
      <c r="AE638" s="204" t="n"/>
      <c r="AF638" s="204" t="n"/>
      <c r="AG638" s="204" t="n"/>
    </row>
    <row r="639" ht="12.75" customHeight="1" s="205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  <c r="S639" s="204" t="n"/>
      <c r="T639" s="204" t="n"/>
      <c r="U639" s="204" t="n"/>
      <c r="V639" s="204" t="n"/>
      <c r="W639" s="204" t="n"/>
      <c r="X639" s="204" t="n"/>
      <c r="Y639" s="204" t="n"/>
      <c r="Z639" s="204" t="n"/>
      <c r="AA639" s="204" t="n"/>
      <c r="AB639" s="204" t="n"/>
      <c r="AC639" s="204" t="n"/>
      <c r="AD639" s="204" t="n"/>
      <c r="AE639" s="204" t="n"/>
      <c r="AF639" s="204" t="n"/>
      <c r="AG639" s="204" t="n"/>
    </row>
    <row r="640" ht="12.75" customHeight="1" s="205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  <c r="S640" s="204" t="n"/>
      <c r="T640" s="204" t="n"/>
      <c r="U640" s="204" t="n"/>
      <c r="V640" s="204" t="n"/>
      <c r="W640" s="204" t="n"/>
      <c r="X640" s="204" t="n"/>
      <c r="Y640" s="204" t="n"/>
      <c r="Z640" s="204" t="n"/>
      <c r="AA640" s="204" t="n"/>
      <c r="AB640" s="204" t="n"/>
      <c r="AC640" s="204" t="n"/>
      <c r="AD640" s="204" t="n"/>
      <c r="AE640" s="204" t="n"/>
      <c r="AF640" s="204" t="n"/>
      <c r="AG640" s="204" t="n"/>
    </row>
    <row r="641" ht="12.75" customHeight="1" s="205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  <c r="S641" s="204" t="n"/>
      <c r="T641" s="204" t="n"/>
      <c r="U641" s="204" t="n"/>
      <c r="V641" s="204" t="n"/>
      <c r="W641" s="204" t="n"/>
      <c r="X641" s="204" t="n"/>
      <c r="Y641" s="204" t="n"/>
      <c r="Z641" s="204" t="n"/>
      <c r="AA641" s="204" t="n"/>
      <c r="AB641" s="204" t="n"/>
      <c r="AC641" s="204" t="n"/>
      <c r="AD641" s="204" t="n"/>
      <c r="AE641" s="204" t="n"/>
      <c r="AF641" s="204" t="n"/>
      <c r="AG641" s="204" t="n"/>
    </row>
    <row r="642" ht="12.75" customHeight="1" s="205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  <c r="S642" s="204" t="n"/>
      <c r="T642" s="204" t="n"/>
      <c r="U642" s="204" t="n"/>
      <c r="V642" s="204" t="n"/>
      <c r="W642" s="204" t="n"/>
      <c r="X642" s="204" t="n"/>
      <c r="Y642" s="204" t="n"/>
      <c r="Z642" s="204" t="n"/>
      <c r="AA642" s="204" t="n"/>
      <c r="AB642" s="204" t="n"/>
      <c r="AC642" s="204" t="n"/>
      <c r="AD642" s="204" t="n"/>
      <c r="AE642" s="204" t="n"/>
      <c r="AF642" s="204" t="n"/>
      <c r="AG642" s="204" t="n"/>
    </row>
    <row r="643" ht="12.75" customHeight="1" s="205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  <c r="S643" s="204" t="n"/>
      <c r="T643" s="204" t="n"/>
      <c r="U643" s="204" t="n"/>
      <c r="V643" s="204" t="n"/>
      <c r="W643" s="204" t="n"/>
      <c r="X643" s="204" t="n"/>
      <c r="Y643" s="204" t="n"/>
      <c r="Z643" s="204" t="n"/>
      <c r="AA643" s="204" t="n"/>
      <c r="AB643" s="204" t="n"/>
      <c r="AC643" s="204" t="n"/>
      <c r="AD643" s="204" t="n"/>
      <c r="AE643" s="204" t="n"/>
      <c r="AF643" s="204" t="n"/>
      <c r="AG643" s="204" t="n"/>
    </row>
    <row r="644" ht="12.75" customHeight="1" s="205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  <c r="S644" s="204" t="n"/>
      <c r="T644" s="204" t="n"/>
      <c r="U644" s="204" t="n"/>
      <c r="V644" s="204" t="n"/>
      <c r="W644" s="204" t="n"/>
      <c r="X644" s="204" t="n"/>
      <c r="Y644" s="204" t="n"/>
      <c r="Z644" s="204" t="n"/>
      <c r="AA644" s="204" t="n"/>
      <c r="AB644" s="204" t="n"/>
      <c r="AC644" s="204" t="n"/>
      <c r="AD644" s="204" t="n"/>
      <c r="AE644" s="204" t="n"/>
      <c r="AF644" s="204" t="n"/>
      <c r="AG644" s="204" t="n"/>
    </row>
    <row r="645" ht="12.75" customHeight="1" s="205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  <c r="S645" s="204" t="n"/>
      <c r="T645" s="204" t="n"/>
      <c r="U645" s="204" t="n"/>
      <c r="V645" s="204" t="n"/>
      <c r="W645" s="204" t="n"/>
      <c r="X645" s="204" t="n"/>
      <c r="Y645" s="204" t="n"/>
      <c r="Z645" s="204" t="n"/>
      <c r="AA645" s="204" t="n"/>
      <c r="AB645" s="204" t="n"/>
      <c r="AC645" s="204" t="n"/>
      <c r="AD645" s="204" t="n"/>
      <c r="AE645" s="204" t="n"/>
      <c r="AF645" s="204" t="n"/>
      <c r="AG645" s="204" t="n"/>
    </row>
    <row r="646" ht="12.75" customHeight="1" s="205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  <c r="S646" s="204" t="n"/>
      <c r="T646" s="204" t="n"/>
      <c r="U646" s="204" t="n"/>
      <c r="V646" s="204" t="n"/>
      <c r="W646" s="204" t="n"/>
      <c r="X646" s="204" t="n"/>
      <c r="Y646" s="204" t="n"/>
      <c r="Z646" s="204" t="n"/>
      <c r="AA646" s="204" t="n"/>
      <c r="AB646" s="204" t="n"/>
      <c r="AC646" s="204" t="n"/>
      <c r="AD646" s="204" t="n"/>
      <c r="AE646" s="204" t="n"/>
      <c r="AF646" s="204" t="n"/>
      <c r="AG646" s="204" t="n"/>
    </row>
    <row r="647" ht="12.75" customHeight="1" s="205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  <c r="S647" s="204" t="n"/>
      <c r="T647" s="204" t="n"/>
      <c r="U647" s="204" t="n"/>
      <c r="V647" s="204" t="n"/>
      <c r="W647" s="204" t="n"/>
      <c r="X647" s="204" t="n"/>
      <c r="Y647" s="204" t="n"/>
      <c r="Z647" s="204" t="n"/>
      <c r="AA647" s="204" t="n"/>
      <c r="AB647" s="204" t="n"/>
      <c r="AC647" s="204" t="n"/>
      <c r="AD647" s="204" t="n"/>
      <c r="AE647" s="204" t="n"/>
      <c r="AF647" s="204" t="n"/>
      <c r="AG647" s="204" t="n"/>
    </row>
    <row r="648" ht="12.75" customHeight="1" s="205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  <c r="S648" s="204" t="n"/>
      <c r="T648" s="204" t="n"/>
      <c r="U648" s="204" t="n"/>
      <c r="V648" s="204" t="n"/>
      <c r="W648" s="204" t="n"/>
      <c r="X648" s="204" t="n"/>
      <c r="Y648" s="204" t="n"/>
      <c r="Z648" s="204" t="n"/>
      <c r="AA648" s="204" t="n"/>
      <c r="AB648" s="204" t="n"/>
      <c r="AC648" s="204" t="n"/>
      <c r="AD648" s="204" t="n"/>
      <c r="AE648" s="204" t="n"/>
      <c r="AF648" s="204" t="n"/>
      <c r="AG648" s="204" t="n"/>
    </row>
    <row r="649" ht="12.75" customHeight="1" s="205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  <c r="S649" s="204" t="n"/>
      <c r="T649" s="204" t="n"/>
      <c r="U649" s="204" t="n"/>
      <c r="V649" s="204" t="n"/>
      <c r="W649" s="204" t="n"/>
      <c r="X649" s="204" t="n"/>
      <c r="Y649" s="204" t="n"/>
      <c r="Z649" s="204" t="n"/>
      <c r="AA649" s="204" t="n"/>
      <c r="AB649" s="204" t="n"/>
      <c r="AC649" s="204" t="n"/>
      <c r="AD649" s="204" t="n"/>
      <c r="AE649" s="204" t="n"/>
      <c r="AF649" s="204" t="n"/>
      <c r="AG649" s="204" t="n"/>
    </row>
    <row r="650" ht="12.75" customHeight="1" s="205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  <c r="S650" s="204" t="n"/>
      <c r="T650" s="204" t="n"/>
      <c r="U650" s="204" t="n"/>
      <c r="V650" s="204" t="n"/>
      <c r="W650" s="204" t="n"/>
      <c r="X650" s="204" t="n"/>
      <c r="Y650" s="204" t="n"/>
      <c r="Z650" s="204" t="n"/>
      <c r="AA650" s="204" t="n"/>
      <c r="AB650" s="204" t="n"/>
      <c r="AC650" s="204" t="n"/>
      <c r="AD650" s="204" t="n"/>
      <c r="AE650" s="204" t="n"/>
      <c r="AF650" s="204" t="n"/>
      <c r="AG650" s="204" t="n"/>
    </row>
    <row r="651" ht="12.75" customHeight="1" s="205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  <c r="S651" s="204" t="n"/>
      <c r="T651" s="204" t="n"/>
      <c r="U651" s="204" t="n"/>
      <c r="V651" s="204" t="n"/>
      <c r="W651" s="204" t="n"/>
      <c r="X651" s="204" t="n"/>
      <c r="Y651" s="204" t="n"/>
      <c r="Z651" s="204" t="n"/>
      <c r="AA651" s="204" t="n"/>
      <c r="AB651" s="204" t="n"/>
      <c r="AC651" s="204" t="n"/>
      <c r="AD651" s="204" t="n"/>
      <c r="AE651" s="204" t="n"/>
      <c r="AF651" s="204" t="n"/>
      <c r="AG651" s="204" t="n"/>
    </row>
    <row r="652" ht="12.75" customHeight="1" s="205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  <c r="S652" s="204" t="n"/>
      <c r="T652" s="204" t="n"/>
      <c r="U652" s="204" t="n"/>
      <c r="V652" s="204" t="n"/>
      <c r="W652" s="204" t="n"/>
      <c r="X652" s="204" t="n"/>
      <c r="Y652" s="204" t="n"/>
      <c r="Z652" s="204" t="n"/>
      <c r="AA652" s="204" t="n"/>
      <c r="AB652" s="204" t="n"/>
      <c r="AC652" s="204" t="n"/>
      <c r="AD652" s="204" t="n"/>
      <c r="AE652" s="204" t="n"/>
      <c r="AF652" s="204" t="n"/>
      <c r="AG652" s="204" t="n"/>
    </row>
    <row r="653" ht="12.75" customHeight="1" s="205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  <c r="S653" s="204" t="n"/>
      <c r="T653" s="204" t="n"/>
      <c r="U653" s="204" t="n"/>
      <c r="V653" s="204" t="n"/>
      <c r="W653" s="204" t="n"/>
      <c r="X653" s="204" t="n"/>
      <c r="Y653" s="204" t="n"/>
      <c r="Z653" s="204" t="n"/>
      <c r="AA653" s="204" t="n"/>
      <c r="AB653" s="204" t="n"/>
      <c r="AC653" s="204" t="n"/>
      <c r="AD653" s="204" t="n"/>
      <c r="AE653" s="204" t="n"/>
      <c r="AF653" s="204" t="n"/>
      <c r="AG653" s="204" t="n"/>
    </row>
    <row r="654" ht="12.75" customHeight="1" s="205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  <c r="S654" s="204" t="n"/>
      <c r="T654" s="204" t="n"/>
      <c r="U654" s="204" t="n"/>
      <c r="V654" s="204" t="n"/>
      <c r="W654" s="204" t="n"/>
      <c r="X654" s="204" t="n"/>
      <c r="Y654" s="204" t="n"/>
      <c r="Z654" s="204" t="n"/>
      <c r="AA654" s="204" t="n"/>
      <c r="AB654" s="204" t="n"/>
      <c r="AC654" s="204" t="n"/>
      <c r="AD654" s="204" t="n"/>
      <c r="AE654" s="204" t="n"/>
      <c r="AF654" s="204" t="n"/>
      <c r="AG654" s="204" t="n"/>
    </row>
    <row r="655" ht="12.75" customHeight="1" s="205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  <c r="S655" s="204" t="n"/>
      <c r="T655" s="204" t="n"/>
      <c r="U655" s="204" t="n"/>
      <c r="V655" s="204" t="n"/>
      <c r="W655" s="204" t="n"/>
      <c r="X655" s="204" t="n"/>
      <c r="Y655" s="204" t="n"/>
      <c r="Z655" s="204" t="n"/>
      <c r="AA655" s="204" t="n"/>
      <c r="AB655" s="204" t="n"/>
      <c r="AC655" s="204" t="n"/>
      <c r="AD655" s="204" t="n"/>
      <c r="AE655" s="204" t="n"/>
      <c r="AF655" s="204" t="n"/>
      <c r="AG655" s="204" t="n"/>
    </row>
    <row r="656" ht="12.75" customHeight="1" s="205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  <c r="S656" s="204" t="n"/>
      <c r="T656" s="204" t="n"/>
      <c r="U656" s="204" t="n"/>
      <c r="V656" s="204" t="n"/>
      <c r="W656" s="204" t="n"/>
      <c r="X656" s="204" t="n"/>
      <c r="Y656" s="204" t="n"/>
      <c r="Z656" s="204" t="n"/>
      <c r="AA656" s="204" t="n"/>
      <c r="AB656" s="204" t="n"/>
      <c r="AC656" s="204" t="n"/>
      <c r="AD656" s="204" t="n"/>
      <c r="AE656" s="204" t="n"/>
      <c r="AF656" s="204" t="n"/>
      <c r="AG656" s="204" t="n"/>
    </row>
    <row r="657" ht="12.75" customHeight="1" s="205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  <c r="S657" s="204" t="n"/>
      <c r="T657" s="204" t="n"/>
      <c r="U657" s="204" t="n"/>
      <c r="V657" s="204" t="n"/>
      <c r="W657" s="204" t="n"/>
      <c r="X657" s="204" t="n"/>
      <c r="Y657" s="204" t="n"/>
      <c r="Z657" s="204" t="n"/>
      <c r="AA657" s="204" t="n"/>
      <c r="AB657" s="204" t="n"/>
      <c r="AC657" s="204" t="n"/>
      <c r="AD657" s="204" t="n"/>
      <c r="AE657" s="204" t="n"/>
      <c r="AF657" s="204" t="n"/>
      <c r="AG657" s="204" t="n"/>
    </row>
    <row r="658" ht="12.75" customHeight="1" s="205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  <c r="S658" s="204" t="n"/>
      <c r="T658" s="204" t="n"/>
      <c r="U658" s="204" t="n"/>
      <c r="V658" s="204" t="n"/>
      <c r="W658" s="204" t="n"/>
      <c r="X658" s="204" t="n"/>
      <c r="Y658" s="204" t="n"/>
      <c r="Z658" s="204" t="n"/>
      <c r="AA658" s="204" t="n"/>
      <c r="AB658" s="204" t="n"/>
      <c r="AC658" s="204" t="n"/>
      <c r="AD658" s="204" t="n"/>
      <c r="AE658" s="204" t="n"/>
      <c r="AF658" s="204" t="n"/>
      <c r="AG658" s="204" t="n"/>
    </row>
    <row r="659" ht="12.75" customHeight="1" s="205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  <c r="S659" s="204" t="n"/>
      <c r="T659" s="204" t="n"/>
      <c r="U659" s="204" t="n"/>
      <c r="V659" s="204" t="n"/>
      <c r="W659" s="204" t="n"/>
      <c r="X659" s="204" t="n"/>
      <c r="Y659" s="204" t="n"/>
      <c r="Z659" s="204" t="n"/>
      <c r="AA659" s="204" t="n"/>
      <c r="AB659" s="204" t="n"/>
      <c r="AC659" s="204" t="n"/>
      <c r="AD659" s="204" t="n"/>
      <c r="AE659" s="204" t="n"/>
      <c r="AF659" s="204" t="n"/>
      <c r="AG659" s="204" t="n"/>
    </row>
    <row r="660" ht="12.75" customHeight="1" s="205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  <c r="S660" s="204" t="n"/>
      <c r="T660" s="204" t="n"/>
      <c r="U660" s="204" t="n"/>
      <c r="V660" s="204" t="n"/>
      <c r="W660" s="204" t="n"/>
      <c r="X660" s="204" t="n"/>
      <c r="Y660" s="204" t="n"/>
      <c r="Z660" s="204" t="n"/>
      <c r="AA660" s="204" t="n"/>
      <c r="AB660" s="204" t="n"/>
      <c r="AC660" s="204" t="n"/>
      <c r="AD660" s="204" t="n"/>
      <c r="AE660" s="204" t="n"/>
      <c r="AF660" s="204" t="n"/>
      <c r="AG660" s="204" t="n"/>
    </row>
    <row r="661" ht="12.75" customHeight="1" s="205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  <c r="S661" s="204" t="n"/>
      <c r="T661" s="204" t="n"/>
      <c r="U661" s="204" t="n"/>
      <c r="V661" s="204" t="n"/>
      <c r="W661" s="204" t="n"/>
      <c r="X661" s="204" t="n"/>
      <c r="Y661" s="204" t="n"/>
      <c r="Z661" s="204" t="n"/>
      <c r="AA661" s="204" t="n"/>
      <c r="AB661" s="204" t="n"/>
      <c r="AC661" s="204" t="n"/>
      <c r="AD661" s="204" t="n"/>
      <c r="AE661" s="204" t="n"/>
      <c r="AF661" s="204" t="n"/>
      <c r="AG661" s="204" t="n"/>
    </row>
    <row r="662" ht="12.75" customHeight="1" s="205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  <c r="S662" s="204" t="n"/>
      <c r="T662" s="204" t="n"/>
      <c r="U662" s="204" t="n"/>
      <c r="V662" s="204" t="n"/>
      <c r="W662" s="204" t="n"/>
      <c r="X662" s="204" t="n"/>
      <c r="Y662" s="204" t="n"/>
      <c r="Z662" s="204" t="n"/>
      <c r="AA662" s="204" t="n"/>
      <c r="AB662" s="204" t="n"/>
      <c r="AC662" s="204" t="n"/>
      <c r="AD662" s="204" t="n"/>
      <c r="AE662" s="204" t="n"/>
      <c r="AF662" s="204" t="n"/>
      <c r="AG662" s="204" t="n"/>
    </row>
    <row r="663" ht="12.75" customHeight="1" s="205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  <c r="S663" s="204" t="n"/>
      <c r="T663" s="204" t="n"/>
      <c r="U663" s="204" t="n"/>
      <c r="V663" s="204" t="n"/>
      <c r="W663" s="204" t="n"/>
      <c r="X663" s="204" t="n"/>
      <c r="Y663" s="204" t="n"/>
      <c r="Z663" s="204" t="n"/>
      <c r="AA663" s="204" t="n"/>
      <c r="AB663" s="204" t="n"/>
      <c r="AC663" s="204" t="n"/>
      <c r="AD663" s="204" t="n"/>
      <c r="AE663" s="204" t="n"/>
      <c r="AF663" s="204" t="n"/>
      <c r="AG663" s="204" t="n"/>
    </row>
    <row r="664" ht="12.75" customHeight="1" s="205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  <c r="S664" s="204" t="n"/>
      <c r="T664" s="204" t="n"/>
      <c r="U664" s="204" t="n"/>
      <c r="V664" s="204" t="n"/>
      <c r="W664" s="204" t="n"/>
      <c r="X664" s="204" t="n"/>
      <c r="Y664" s="204" t="n"/>
      <c r="Z664" s="204" t="n"/>
      <c r="AA664" s="204" t="n"/>
      <c r="AB664" s="204" t="n"/>
      <c r="AC664" s="204" t="n"/>
      <c r="AD664" s="204" t="n"/>
      <c r="AE664" s="204" t="n"/>
      <c r="AF664" s="204" t="n"/>
      <c r="AG664" s="204" t="n"/>
    </row>
    <row r="665" ht="12.75" customHeight="1" s="205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  <c r="S665" s="204" t="n"/>
      <c r="T665" s="204" t="n"/>
      <c r="U665" s="204" t="n"/>
      <c r="V665" s="204" t="n"/>
      <c r="W665" s="204" t="n"/>
      <c r="X665" s="204" t="n"/>
      <c r="Y665" s="204" t="n"/>
      <c r="Z665" s="204" t="n"/>
      <c r="AA665" s="204" t="n"/>
      <c r="AB665" s="204" t="n"/>
      <c r="AC665" s="204" t="n"/>
      <c r="AD665" s="204" t="n"/>
      <c r="AE665" s="204" t="n"/>
      <c r="AF665" s="204" t="n"/>
      <c r="AG665" s="204" t="n"/>
    </row>
    <row r="666" ht="12.75" customHeight="1" s="205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  <c r="S666" s="204" t="n"/>
      <c r="T666" s="204" t="n"/>
      <c r="U666" s="204" t="n"/>
      <c r="V666" s="204" t="n"/>
      <c r="W666" s="204" t="n"/>
      <c r="X666" s="204" t="n"/>
      <c r="Y666" s="204" t="n"/>
      <c r="Z666" s="204" t="n"/>
      <c r="AA666" s="204" t="n"/>
      <c r="AB666" s="204" t="n"/>
      <c r="AC666" s="204" t="n"/>
      <c r="AD666" s="204" t="n"/>
      <c r="AE666" s="204" t="n"/>
      <c r="AF666" s="204" t="n"/>
      <c r="AG666" s="204" t="n"/>
    </row>
    <row r="667" ht="12.75" customHeight="1" s="205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  <c r="S667" s="204" t="n"/>
      <c r="T667" s="204" t="n"/>
      <c r="U667" s="204" t="n"/>
      <c r="V667" s="204" t="n"/>
      <c r="W667" s="204" t="n"/>
      <c r="X667" s="204" t="n"/>
      <c r="Y667" s="204" t="n"/>
      <c r="Z667" s="204" t="n"/>
      <c r="AA667" s="204" t="n"/>
      <c r="AB667" s="204" t="n"/>
      <c r="AC667" s="204" t="n"/>
      <c r="AD667" s="204" t="n"/>
      <c r="AE667" s="204" t="n"/>
      <c r="AF667" s="204" t="n"/>
      <c r="AG667" s="204" t="n"/>
    </row>
    <row r="668" ht="12.75" customHeight="1" s="205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  <c r="S668" s="204" t="n"/>
      <c r="T668" s="204" t="n"/>
      <c r="U668" s="204" t="n"/>
      <c r="V668" s="204" t="n"/>
      <c r="W668" s="204" t="n"/>
      <c r="X668" s="204" t="n"/>
      <c r="Y668" s="204" t="n"/>
      <c r="Z668" s="204" t="n"/>
      <c r="AA668" s="204" t="n"/>
      <c r="AB668" s="204" t="n"/>
      <c r="AC668" s="204" t="n"/>
      <c r="AD668" s="204" t="n"/>
      <c r="AE668" s="204" t="n"/>
      <c r="AF668" s="204" t="n"/>
      <c r="AG668" s="204" t="n"/>
    </row>
    <row r="669" ht="12.75" customHeight="1" s="205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  <c r="S669" s="204" t="n"/>
      <c r="T669" s="204" t="n"/>
      <c r="U669" s="204" t="n"/>
      <c r="V669" s="204" t="n"/>
      <c r="W669" s="204" t="n"/>
      <c r="X669" s="204" t="n"/>
      <c r="Y669" s="204" t="n"/>
      <c r="Z669" s="204" t="n"/>
      <c r="AA669" s="204" t="n"/>
      <c r="AB669" s="204" t="n"/>
      <c r="AC669" s="204" t="n"/>
      <c r="AD669" s="204" t="n"/>
      <c r="AE669" s="204" t="n"/>
      <c r="AF669" s="204" t="n"/>
      <c r="AG669" s="204" t="n"/>
    </row>
    <row r="670" ht="12.75" customHeight="1" s="205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  <c r="S670" s="204" t="n"/>
      <c r="T670" s="204" t="n"/>
      <c r="U670" s="204" t="n"/>
      <c r="V670" s="204" t="n"/>
      <c r="W670" s="204" t="n"/>
      <c r="X670" s="204" t="n"/>
      <c r="Y670" s="204" t="n"/>
      <c r="Z670" s="204" t="n"/>
      <c r="AA670" s="204" t="n"/>
      <c r="AB670" s="204" t="n"/>
      <c r="AC670" s="204" t="n"/>
      <c r="AD670" s="204" t="n"/>
      <c r="AE670" s="204" t="n"/>
      <c r="AF670" s="204" t="n"/>
      <c r="AG670" s="204" t="n"/>
    </row>
    <row r="671" ht="12.75" customHeight="1" s="205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  <c r="S671" s="204" t="n"/>
      <c r="T671" s="204" t="n"/>
      <c r="U671" s="204" t="n"/>
      <c r="V671" s="204" t="n"/>
      <c r="W671" s="204" t="n"/>
      <c r="X671" s="204" t="n"/>
      <c r="Y671" s="204" t="n"/>
      <c r="Z671" s="204" t="n"/>
      <c r="AA671" s="204" t="n"/>
      <c r="AB671" s="204" t="n"/>
      <c r="AC671" s="204" t="n"/>
      <c r="AD671" s="204" t="n"/>
      <c r="AE671" s="204" t="n"/>
      <c r="AF671" s="204" t="n"/>
      <c r="AG671" s="204" t="n"/>
    </row>
    <row r="672" ht="12.75" customHeight="1" s="205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  <c r="S672" s="204" t="n"/>
      <c r="T672" s="204" t="n"/>
      <c r="U672" s="204" t="n"/>
      <c r="V672" s="204" t="n"/>
      <c r="W672" s="204" t="n"/>
      <c r="X672" s="204" t="n"/>
      <c r="Y672" s="204" t="n"/>
      <c r="Z672" s="204" t="n"/>
      <c r="AA672" s="204" t="n"/>
      <c r="AB672" s="204" t="n"/>
      <c r="AC672" s="204" t="n"/>
      <c r="AD672" s="204" t="n"/>
      <c r="AE672" s="204" t="n"/>
      <c r="AF672" s="204" t="n"/>
      <c r="AG672" s="204" t="n"/>
    </row>
    <row r="673" ht="12.75" customHeight="1" s="205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  <c r="S673" s="204" t="n"/>
      <c r="T673" s="204" t="n"/>
      <c r="U673" s="204" t="n"/>
      <c r="V673" s="204" t="n"/>
      <c r="W673" s="204" t="n"/>
      <c r="X673" s="204" t="n"/>
      <c r="Y673" s="204" t="n"/>
      <c r="Z673" s="204" t="n"/>
      <c r="AA673" s="204" t="n"/>
      <c r="AB673" s="204" t="n"/>
      <c r="AC673" s="204" t="n"/>
      <c r="AD673" s="204" t="n"/>
      <c r="AE673" s="204" t="n"/>
      <c r="AF673" s="204" t="n"/>
      <c r="AG673" s="204" t="n"/>
    </row>
    <row r="674" ht="12.75" customHeight="1" s="205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  <c r="S674" s="204" t="n"/>
      <c r="T674" s="204" t="n"/>
      <c r="U674" s="204" t="n"/>
      <c r="V674" s="204" t="n"/>
      <c r="W674" s="204" t="n"/>
      <c r="X674" s="204" t="n"/>
      <c r="Y674" s="204" t="n"/>
      <c r="Z674" s="204" t="n"/>
      <c r="AA674" s="204" t="n"/>
      <c r="AB674" s="204" t="n"/>
      <c r="AC674" s="204" t="n"/>
      <c r="AD674" s="204" t="n"/>
      <c r="AE674" s="204" t="n"/>
      <c r="AF674" s="204" t="n"/>
      <c r="AG674" s="204" t="n"/>
    </row>
    <row r="675" ht="12.75" customHeight="1" s="205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  <c r="S675" s="204" t="n"/>
      <c r="T675" s="204" t="n"/>
      <c r="U675" s="204" t="n"/>
      <c r="V675" s="204" t="n"/>
      <c r="W675" s="204" t="n"/>
      <c r="X675" s="204" t="n"/>
      <c r="Y675" s="204" t="n"/>
      <c r="Z675" s="204" t="n"/>
      <c r="AA675" s="204" t="n"/>
      <c r="AB675" s="204" t="n"/>
      <c r="AC675" s="204" t="n"/>
      <c r="AD675" s="204" t="n"/>
      <c r="AE675" s="204" t="n"/>
      <c r="AF675" s="204" t="n"/>
      <c r="AG675" s="204" t="n"/>
    </row>
    <row r="676" ht="12.75" customHeight="1" s="205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  <c r="S676" s="204" t="n"/>
      <c r="T676" s="204" t="n"/>
      <c r="U676" s="204" t="n"/>
      <c r="V676" s="204" t="n"/>
      <c r="W676" s="204" t="n"/>
      <c r="X676" s="204" t="n"/>
      <c r="Y676" s="204" t="n"/>
      <c r="Z676" s="204" t="n"/>
      <c r="AA676" s="204" t="n"/>
      <c r="AB676" s="204" t="n"/>
      <c r="AC676" s="204" t="n"/>
      <c r="AD676" s="204" t="n"/>
      <c r="AE676" s="204" t="n"/>
      <c r="AF676" s="204" t="n"/>
      <c r="AG676" s="204" t="n"/>
    </row>
    <row r="677" ht="12.75" customHeight="1" s="205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  <c r="S677" s="204" t="n"/>
      <c r="T677" s="204" t="n"/>
      <c r="U677" s="204" t="n"/>
      <c r="V677" s="204" t="n"/>
      <c r="W677" s="204" t="n"/>
      <c r="X677" s="204" t="n"/>
      <c r="Y677" s="204" t="n"/>
      <c r="Z677" s="204" t="n"/>
      <c r="AA677" s="204" t="n"/>
      <c r="AB677" s="204" t="n"/>
      <c r="AC677" s="204" t="n"/>
      <c r="AD677" s="204" t="n"/>
      <c r="AE677" s="204" t="n"/>
      <c r="AF677" s="204" t="n"/>
      <c r="AG677" s="204" t="n"/>
    </row>
    <row r="678" ht="12.75" customHeight="1" s="205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  <c r="S678" s="204" t="n"/>
      <c r="T678" s="204" t="n"/>
      <c r="U678" s="204" t="n"/>
      <c r="V678" s="204" t="n"/>
      <c r="W678" s="204" t="n"/>
      <c r="X678" s="204" t="n"/>
      <c r="Y678" s="204" t="n"/>
      <c r="Z678" s="204" t="n"/>
      <c r="AA678" s="204" t="n"/>
      <c r="AB678" s="204" t="n"/>
      <c r="AC678" s="204" t="n"/>
      <c r="AD678" s="204" t="n"/>
      <c r="AE678" s="204" t="n"/>
      <c r="AF678" s="204" t="n"/>
      <c r="AG678" s="204" t="n"/>
    </row>
    <row r="679" ht="12.75" customHeight="1" s="205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  <c r="S679" s="204" t="n"/>
      <c r="T679" s="204" t="n"/>
      <c r="U679" s="204" t="n"/>
      <c r="V679" s="204" t="n"/>
      <c r="W679" s="204" t="n"/>
      <c r="X679" s="204" t="n"/>
      <c r="Y679" s="204" t="n"/>
      <c r="Z679" s="204" t="n"/>
      <c r="AA679" s="204" t="n"/>
      <c r="AB679" s="204" t="n"/>
      <c r="AC679" s="204" t="n"/>
      <c r="AD679" s="204" t="n"/>
      <c r="AE679" s="204" t="n"/>
      <c r="AF679" s="204" t="n"/>
      <c r="AG679" s="204" t="n"/>
    </row>
    <row r="680" ht="12.75" customHeight="1" s="205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  <c r="S680" s="204" t="n"/>
      <c r="T680" s="204" t="n"/>
      <c r="U680" s="204" t="n"/>
      <c r="V680" s="204" t="n"/>
      <c r="W680" s="204" t="n"/>
      <c r="X680" s="204" t="n"/>
      <c r="Y680" s="204" t="n"/>
      <c r="Z680" s="204" t="n"/>
      <c r="AA680" s="204" t="n"/>
      <c r="AB680" s="204" t="n"/>
      <c r="AC680" s="204" t="n"/>
      <c r="AD680" s="204" t="n"/>
      <c r="AE680" s="204" t="n"/>
      <c r="AF680" s="204" t="n"/>
      <c r="AG680" s="204" t="n"/>
    </row>
    <row r="681" ht="12.75" customHeight="1" s="205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  <c r="S681" s="204" t="n"/>
      <c r="T681" s="204" t="n"/>
      <c r="U681" s="204" t="n"/>
      <c r="V681" s="204" t="n"/>
      <c r="W681" s="204" t="n"/>
      <c r="X681" s="204" t="n"/>
      <c r="Y681" s="204" t="n"/>
      <c r="Z681" s="204" t="n"/>
      <c r="AA681" s="204" t="n"/>
      <c r="AB681" s="204" t="n"/>
      <c r="AC681" s="204" t="n"/>
      <c r="AD681" s="204" t="n"/>
      <c r="AE681" s="204" t="n"/>
      <c r="AF681" s="204" t="n"/>
      <c r="AG681" s="204" t="n"/>
    </row>
    <row r="682" ht="12.75" customHeight="1" s="205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  <c r="S682" s="204" t="n"/>
      <c r="T682" s="204" t="n"/>
      <c r="U682" s="204" t="n"/>
      <c r="V682" s="204" t="n"/>
      <c r="W682" s="204" t="n"/>
      <c r="X682" s="204" t="n"/>
      <c r="Y682" s="204" t="n"/>
      <c r="Z682" s="204" t="n"/>
      <c r="AA682" s="204" t="n"/>
      <c r="AB682" s="204" t="n"/>
      <c r="AC682" s="204" t="n"/>
      <c r="AD682" s="204" t="n"/>
      <c r="AE682" s="204" t="n"/>
      <c r="AF682" s="204" t="n"/>
      <c r="AG682" s="204" t="n"/>
    </row>
    <row r="683" ht="12.75" customHeight="1" s="205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  <c r="S683" s="204" t="n"/>
      <c r="T683" s="204" t="n"/>
      <c r="U683" s="204" t="n"/>
      <c r="V683" s="204" t="n"/>
      <c r="W683" s="204" t="n"/>
      <c r="X683" s="204" t="n"/>
      <c r="Y683" s="204" t="n"/>
      <c r="Z683" s="204" t="n"/>
      <c r="AA683" s="204" t="n"/>
      <c r="AB683" s="204" t="n"/>
      <c r="AC683" s="204" t="n"/>
      <c r="AD683" s="204" t="n"/>
      <c r="AE683" s="204" t="n"/>
      <c r="AF683" s="204" t="n"/>
      <c r="AG683" s="204" t="n"/>
    </row>
    <row r="684" ht="12.75" customHeight="1" s="205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  <c r="S684" s="204" t="n"/>
      <c r="T684" s="204" t="n"/>
      <c r="U684" s="204" t="n"/>
      <c r="V684" s="204" t="n"/>
      <c r="W684" s="204" t="n"/>
      <c r="X684" s="204" t="n"/>
      <c r="Y684" s="204" t="n"/>
      <c r="Z684" s="204" t="n"/>
      <c r="AA684" s="204" t="n"/>
      <c r="AB684" s="204" t="n"/>
      <c r="AC684" s="204" t="n"/>
      <c r="AD684" s="204" t="n"/>
      <c r="AE684" s="204" t="n"/>
      <c r="AF684" s="204" t="n"/>
      <c r="AG684" s="204" t="n"/>
    </row>
    <row r="685" ht="12.75" customHeight="1" s="205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  <c r="S685" s="204" t="n"/>
      <c r="T685" s="204" t="n"/>
      <c r="U685" s="204" t="n"/>
      <c r="V685" s="204" t="n"/>
      <c r="W685" s="204" t="n"/>
      <c r="X685" s="204" t="n"/>
      <c r="Y685" s="204" t="n"/>
      <c r="Z685" s="204" t="n"/>
      <c r="AA685" s="204" t="n"/>
      <c r="AB685" s="204" t="n"/>
      <c r="AC685" s="204" t="n"/>
      <c r="AD685" s="204" t="n"/>
      <c r="AE685" s="204" t="n"/>
      <c r="AF685" s="204" t="n"/>
      <c r="AG685" s="204" t="n"/>
    </row>
    <row r="686" ht="12.75" customHeight="1" s="205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  <c r="S686" s="204" t="n"/>
      <c r="T686" s="204" t="n"/>
      <c r="U686" s="204" t="n"/>
      <c r="V686" s="204" t="n"/>
      <c r="W686" s="204" t="n"/>
      <c r="X686" s="204" t="n"/>
      <c r="Y686" s="204" t="n"/>
      <c r="Z686" s="204" t="n"/>
      <c r="AA686" s="204" t="n"/>
      <c r="AB686" s="204" t="n"/>
      <c r="AC686" s="204" t="n"/>
      <c r="AD686" s="204" t="n"/>
      <c r="AE686" s="204" t="n"/>
      <c r="AF686" s="204" t="n"/>
      <c r="AG686" s="204" t="n"/>
    </row>
    <row r="687" ht="12.75" customHeight="1" s="205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  <c r="S687" s="204" t="n"/>
      <c r="T687" s="204" t="n"/>
      <c r="U687" s="204" t="n"/>
      <c r="V687" s="204" t="n"/>
      <c r="W687" s="204" t="n"/>
      <c r="X687" s="204" t="n"/>
      <c r="Y687" s="204" t="n"/>
      <c r="Z687" s="204" t="n"/>
      <c r="AA687" s="204" t="n"/>
      <c r="AB687" s="204" t="n"/>
      <c r="AC687" s="204" t="n"/>
      <c r="AD687" s="204" t="n"/>
      <c r="AE687" s="204" t="n"/>
      <c r="AF687" s="204" t="n"/>
      <c r="AG687" s="204" t="n"/>
    </row>
    <row r="688" ht="12.75" customHeight="1" s="205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  <c r="S688" s="204" t="n"/>
      <c r="T688" s="204" t="n"/>
      <c r="U688" s="204" t="n"/>
      <c r="V688" s="204" t="n"/>
      <c r="W688" s="204" t="n"/>
      <c r="X688" s="204" t="n"/>
      <c r="Y688" s="204" t="n"/>
      <c r="Z688" s="204" t="n"/>
      <c r="AA688" s="204" t="n"/>
      <c r="AB688" s="204" t="n"/>
      <c r="AC688" s="204" t="n"/>
      <c r="AD688" s="204" t="n"/>
      <c r="AE688" s="204" t="n"/>
      <c r="AF688" s="204" t="n"/>
      <c r="AG688" s="204" t="n"/>
    </row>
    <row r="689" ht="12.75" customHeight="1" s="205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  <c r="S689" s="204" t="n"/>
      <c r="T689" s="204" t="n"/>
      <c r="U689" s="204" t="n"/>
      <c r="V689" s="204" t="n"/>
      <c r="W689" s="204" t="n"/>
      <c r="X689" s="204" t="n"/>
      <c r="Y689" s="204" t="n"/>
      <c r="Z689" s="204" t="n"/>
      <c r="AA689" s="204" t="n"/>
      <c r="AB689" s="204" t="n"/>
      <c r="AC689" s="204" t="n"/>
      <c r="AD689" s="204" t="n"/>
      <c r="AE689" s="204" t="n"/>
      <c r="AF689" s="204" t="n"/>
      <c r="AG689" s="204" t="n"/>
    </row>
    <row r="690" ht="12.75" customHeight="1" s="205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  <c r="S690" s="204" t="n"/>
      <c r="T690" s="204" t="n"/>
      <c r="U690" s="204" t="n"/>
      <c r="V690" s="204" t="n"/>
      <c r="W690" s="204" t="n"/>
      <c r="X690" s="204" t="n"/>
      <c r="Y690" s="204" t="n"/>
      <c r="Z690" s="204" t="n"/>
      <c r="AA690" s="204" t="n"/>
      <c r="AB690" s="204" t="n"/>
      <c r="AC690" s="204" t="n"/>
      <c r="AD690" s="204" t="n"/>
      <c r="AE690" s="204" t="n"/>
      <c r="AF690" s="204" t="n"/>
      <c r="AG690" s="204" t="n"/>
    </row>
    <row r="691" ht="12.75" customHeight="1" s="205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  <c r="S691" s="204" t="n"/>
      <c r="T691" s="204" t="n"/>
      <c r="U691" s="204" t="n"/>
      <c r="V691" s="204" t="n"/>
      <c r="W691" s="204" t="n"/>
      <c r="X691" s="204" t="n"/>
      <c r="Y691" s="204" t="n"/>
      <c r="Z691" s="204" t="n"/>
      <c r="AA691" s="204" t="n"/>
      <c r="AB691" s="204" t="n"/>
      <c r="AC691" s="204" t="n"/>
      <c r="AD691" s="204" t="n"/>
      <c r="AE691" s="204" t="n"/>
      <c r="AF691" s="204" t="n"/>
      <c r="AG691" s="204" t="n"/>
    </row>
    <row r="692" ht="12.75" customHeight="1" s="205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  <c r="S692" s="204" t="n"/>
      <c r="T692" s="204" t="n"/>
      <c r="U692" s="204" t="n"/>
      <c r="V692" s="204" t="n"/>
      <c r="W692" s="204" t="n"/>
      <c r="X692" s="204" t="n"/>
      <c r="Y692" s="204" t="n"/>
      <c r="Z692" s="204" t="n"/>
      <c r="AA692" s="204" t="n"/>
      <c r="AB692" s="204" t="n"/>
      <c r="AC692" s="204" t="n"/>
      <c r="AD692" s="204" t="n"/>
      <c r="AE692" s="204" t="n"/>
      <c r="AF692" s="204" t="n"/>
      <c r="AG692" s="204" t="n"/>
    </row>
    <row r="693" ht="12.75" customHeight="1" s="205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  <c r="S693" s="204" t="n"/>
      <c r="T693" s="204" t="n"/>
      <c r="U693" s="204" t="n"/>
      <c r="V693" s="204" t="n"/>
      <c r="W693" s="204" t="n"/>
      <c r="X693" s="204" t="n"/>
      <c r="Y693" s="204" t="n"/>
      <c r="Z693" s="204" t="n"/>
      <c r="AA693" s="204" t="n"/>
      <c r="AB693" s="204" t="n"/>
      <c r="AC693" s="204" t="n"/>
      <c r="AD693" s="204" t="n"/>
      <c r="AE693" s="204" t="n"/>
      <c r="AF693" s="204" t="n"/>
      <c r="AG693" s="204" t="n"/>
    </row>
    <row r="694" ht="12.75" customHeight="1" s="205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  <c r="S694" s="204" t="n"/>
      <c r="T694" s="204" t="n"/>
      <c r="U694" s="204" t="n"/>
      <c r="V694" s="204" t="n"/>
      <c r="W694" s="204" t="n"/>
      <c r="X694" s="204" t="n"/>
      <c r="Y694" s="204" t="n"/>
      <c r="Z694" s="204" t="n"/>
      <c r="AA694" s="204" t="n"/>
      <c r="AB694" s="204" t="n"/>
      <c r="AC694" s="204" t="n"/>
      <c r="AD694" s="204" t="n"/>
      <c r="AE694" s="204" t="n"/>
      <c r="AF694" s="204" t="n"/>
      <c r="AG694" s="204" t="n"/>
    </row>
    <row r="695" ht="12.75" customHeight="1" s="205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  <c r="S695" s="204" t="n"/>
      <c r="T695" s="204" t="n"/>
      <c r="U695" s="204" t="n"/>
      <c r="V695" s="204" t="n"/>
      <c r="W695" s="204" t="n"/>
      <c r="X695" s="204" t="n"/>
      <c r="Y695" s="204" t="n"/>
      <c r="Z695" s="204" t="n"/>
      <c r="AA695" s="204" t="n"/>
      <c r="AB695" s="204" t="n"/>
      <c r="AC695" s="204" t="n"/>
      <c r="AD695" s="204" t="n"/>
      <c r="AE695" s="204" t="n"/>
      <c r="AF695" s="204" t="n"/>
      <c r="AG695" s="204" t="n"/>
    </row>
    <row r="696" ht="12.75" customHeight="1" s="205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  <c r="S696" s="204" t="n"/>
      <c r="T696" s="204" t="n"/>
      <c r="U696" s="204" t="n"/>
      <c r="V696" s="204" t="n"/>
      <c r="W696" s="204" t="n"/>
      <c r="X696" s="204" t="n"/>
      <c r="Y696" s="204" t="n"/>
      <c r="Z696" s="204" t="n"/>
      <c r="AA696" s="204" t="n"/>
      <c r="AB696" s="204" t="n"/>
      <c r="AC696" s="204" t="n"/>
      <c r="AD696" s="204" t="n"/>
      <c r="AE696" s="204" t="n"/>
      <c r="AF696" s="204" t="n"/>
      <c r="AG696" s="204" t="n"/>
    </row>
    <row r="697" ht="12.75" customHeight="1" s="205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  <c r="S697" s="204" t="n"/>
      <c r="T697" s="204" t="n"/>
      <c r="U697" s="204" t="n"/>
      <c r="V697" s="204" t="n"/>
      <c r="W697" s="204" t="n"/>
      <c r="X697" s="204" t="n"/>
      <c r="Y697" s="204" t="n"/>
      <c r="Z697" s="204" t="n"/>
      <c r="AA697" s="204" t="n"/>
      <c r="AB697" s="204" t="n"/>
      <c r="AC697" s="204" t="n"/>
      <c r="AD697" s="204" t="n"/>
      <c r="AE697" s="204" t="n"/>
      <c r="AF697" s="204" t="n"/>
      <c r="AG697" s="204" t="n"/>
    </row>
    <row r="698" ht="12.75" customHeight="1" s="205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  <c r="S698" s="204" t="n"/>
      <c r="T698" s="204" t="n"/>
      <c r="U698" s="204" t="n"/>
      <c r="V698" s="204" t="n"/>
      <c r="W698" s="204" t="n"/>
      <c r="X698" s="204" t="n"/>
      <c r="Y698" s="204" t="n"/>
      <c r="Z698" s="204" t="n"/>
      <c r="AA698" s="204" t="n"/>
      <c r="AB698" s="204" t="n"/>
      <c r="AC698" s="204" t="n"/>
      <c r="AD698" s="204" t="n"/>
      <c r="AE698" s="204" t="n"/>
      <c r="AF698" s="204" t="n"/>
      <c r="AG698" s="204" t="n"/>
    </row>
    <row r="699" ht="12.75" customHeight="1" s="205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  <c r="S699" s="204" t="n"/>
      <c r="T699" s="204" t="n"/>
      <c r="U699" s="204" t="n"/>
      <c r="V699" s="204" t="n"/>
      <c r="W699" s="204" t="n"/>
      <c r="X699" s="204" t="n"/>
      <c r="Y699" s="204" t="n"/>
      <c r="Z699" s="204" t="n"/>
      <c r="AA699" s="204" t="n"/>
      <c r="AB699" s="204" t="n"/>
      <c r="AC699" s="204" t="n"/>
      <c r="AD699" s="204" t="n"/>
      <c r="AE699" s="204" t="n"/>
      <c r="AF699" s="204" t="n"/>
      <c r="AG699" s="204" t="n"/>
    </row>
    <row r="700" ht="12.75" customHeight="1" s="205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  <c r="S700" s="204" t="n"/>
      <c r="T700" s="204" t="n"/>
      <c r="U700" s="204" t="n"/>
      <c r="V700" s="204" t="n"/>
      <c r="W700" s="204" t="n"/>
      <c r="X700" s="204" t="n"/>
      <c r="Y700" s="204" t="n"/>
      <c r="Z700" s="204" t="n"/>
      <c r="AA700" s="204" t="n"/>
      <c r="AB700" s="204" t="n"/>
      <c r="AC700" s="204" t="n"/>
      <c r="AD700" s="204" t="n"/>
      <c r="AE700" s="204" t="n"/>
      <c r="AF700" s="204" t="n"/>
      <c r="AG700" s="204" t="n"/>
    </row>
    <row r="701" ht="12.75" customHeight="1" s="205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  <c r="S701" s="204" t="n"/>
      <c r="T701" s="204" t="n"/>
      <c r="U701" s="204" t="n"/>
      <c r="V701" s="204" t="n"/>
      <c r="W701" s="204" t="n"/>
      <c r="X701" s="204" t="n"/>
      <c r="Y701" s="204" t="n"/>
      <c r="Z701" s="204" t="n"/>
      <c r="AA701" s="204" t="n"/>
      <c r="AB701" s="204" t="n"/>
      <c r="AC701" s="204" t="n"/>
      <c r="AD701" s="204" t="n"/>
      <c r="AE701" s="204" t="n"/>
      <c r="AF701" s="204" t="n"/>
      <c r="AG701" s="204" t="n"/>
    </row>
    <row r="702" ht="12.75" customHeight="1" s="205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  <c r="S702" s="204" t="n"/>
      <c r="T702" s="204" t="n"/>
      <c r="U702" s="204" t="n"/>
      <c r="V702" s="204" t="n"/>
      <c r="W702" s="204" t="n"/>
      <c r="X702" s="204" t="n"/>
      <c r="Y702" s="204" t="n"/>
      <c r="Z702" s="204" t="n"/>
      <c r="AA702" s="204" t="n"/>
      <c r="AB702" s="204" t="n"/>
      <c r="AC702" s="204" t="n"/>
      <c r="AD702" s="204" t="n"/>
      <c r="AE702" s="204" t="n"/>
      <c r="AF702" s="204" t="n"/>
      <c r="AG702" s="204" t="n"/>
    </row>
    <row r="703" ht="12.75" customHeight="1" s="205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  <c r="S703" s="204" t="n"/>
      <c r="T703" s="204" t="n"/>
      <c r="U703" s="204" t="n"/>
      <c r="V703" s="204" t="n"/>
      <c r="W703" s="204" t="n"/>
      <c r="X703" s="204" t="n"/>
      <c r="Y703" s="204" t="n"/>
      <c r="Z703" s="204" t="n"/>
      <c r="AA703" s="204" t="n"/>
      <c r="AB703" s="204" t="n"/>
      <c r="AC703" s="204" t="n"/>
      <c r="AD703" s="204" t="n"/>
      <c r="AE703" s="204" t="n"/>
      <c r="AF703" s="204" t="n"/>
      <c r="AG703" s="204" t="n"/>
    </row>
    <row r="704" ht="12.75" customHeight="1" s="205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  <c r="S704" s="204" t="n"/>
      <c r="T704" s="204" t="n"/>
      <c r="U704" s="204" t="n"/>
      <c r="V704" s="204" t="n"/>
      <c r="W704" s="204" t="n"/>
      <c r="X704" s="204" t="n"/>
      <c r="Y704" s="204" t="n"/>
      <c r="Z704" s="204" t="n"/>
      <c r="AA704" s="204" t="n"/>
      <c r="AB704" s="204" t="n"/>
      <c r="AC704" s="204" t="n"/>
      <c r="AD704" s="204" t="n"/>
      <c r="AE704" s="204" t="n"/>
      <c r="AF704" s="204" t="n"/>
      <c r="AG704" s="204" t="n"/>
    </row>
    <row r="705" ht="12.75" customHeight="1" s="205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  <c r="S705" s="204" t="n"/>
      <c r="T705" s="204" t="n"/>
      <c r="U705" s="204" t="n"/>
      <c r="V705" s="204" t="n"/>
      <c r="W705" s="204" t="n"/>
      <c r="X705" s="204" t="n"/>
      <c r="Y705" s="204" t="n"/>
      <c r="Z705" s="204" t="n"/>
      <c r="AA705" s="204" t="n"/>
      <c r="AB705" s="204" t="n"/>
      <c r="AC705" s="204" t="n"/>
      <c r="AD705" s="204" t="n"/>
      <c r="AE705" s="204" t="n"/>
      <c r="AF705" s="204" t="n"/>
      <c r="AG705" s="204" t="n"/>
    </row>
    <row r="706" ht="12.75" customHeight="1" s="205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  <c r="S706" s="204" t="n"/>
      <c r="T706" s="204" t="n"/>
      <c r="U706" s="204" t="n"/>
      <c r="V706" s="204" t="n"/>
      <c r="W706" s="204" t="n"/>
      <c r="X706" s="204" t="n"/>
      <c r="Y706" s="204" t="n"/>
      <c r="Z706" s="204" t="n"/>
      <c r="AA706" s="204" t="n"/>
      <c r="AB706" s="204" t="n"/>
      <c r="AC706" s="204" t="n"/>
      <c r="AD706" s="204" t="n"/>
      <c r="AE706" s="204" t="n"/>
      <c r="AF706" s="204" t="n"/>
      <c r="AG706" s="204" t="n"/>
    </row>
    <row r="707" ht="12.75" customHeight="1" s="205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  <c r="S707" s="204" t="n"/>
      <c r="T707" s="204" t="n"/>
      <c r="U707" s="204" t="n"/>
      <c r="V707" s="204" t="n"/>
      <c r="W707" s="204" t="n"/>
      <c r="X707" s="204" t="n"/>
      <c r="Y707" s="204" t="n"/>
      <c r="Z707" s="204" t="n"/>
      <c r="AA707" s="204" t="n"/>
      <c r="AB707" s="204" t="n"/>
      <c r="AC707" s="204" t="n"/>
      <c r="AD707" s="204" t="n"/>
      <c r="AE707" s="204" t="n"/>
      <c r="AF707" s="204" t="n"/>
      <c r="AG707" s="204" t="n"/>
    </row>
    <row r="708" ht="12.75" customHeight="1" s="205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  <c r="S708" s="204" t="n"/>
      <c r="T708" s="204" t="n"/>
      <c r="U708" s="204" t="n"/>
      <c r="V708" s="204" t="n"/>
      <c r="W708" s="204" t="n"/>
      <c r="X708" s="204" t="n"/>
      <c r="Y708" s="204" t="n"/>
      <c r="Z708" s="204" t="n"/>
      <c r="AA708" s="204" t="n"/>
      <c r="AB708" s="204" t="n"/>
      <c r="AC708" s="204" t="n"/>
      <c r="AD708" s="204" t="n"/>
      <c r="AE708" s="204" t="n"/>
      <c r="AF708" s="204" t="n"/>
      <c r="AG708" s="204" t="n"/>
    </row>
    <row r="709" ht="12.75" customHeight="1" s="205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  <c r="S709" s="204" t="n"/>
      <c r="T709" s="204" t="n"/>
      <c r="U709" s="204" t="n"/>
      <c r="V709" s="204" t="n"/>
      <c r="W709" s="204" t="n"/>
      <c r="X709" s="204" t="n"/>
      <c r="Y709" s="204" t="n"/>
      <c r="Z709" s="204" t="n"/>
      <c r="AA709" s="204" t="n"/>
      <c r="AB709" s="204" t="n"/>
      <c r="AC709" s="204" t="n"/>
      <c r="AD709" s="204" t="n"/>
      <c r="AE709" s="204" t="n"/>
      <c r="AF709" s="204" t="n"/>
      <c r="AG709" s="204" t="n"/>
    </row>
    <row r="710" ht="12.75" customHeight="1" s="205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  <c r="S710" s="204" t="n"/>
      <c r="T710" s="204" t="n"/>
      <c r="U710" s="204" t="n"/>
      <c r="V710" s="204" t="n"/>
      <c r="W710" s="204" t="n"/>
      <c r="X710" s="204" t="n"/>
      <c r="Y710" s="204" t="n"/>
      <c r="Z710" s="204" t="n"/>
      <c r="AA710" s="204" t="n"/>
      <c r="AB710" s="204" t="n"/>
      <c r="AC710" s="204" t="n"/>
      <c r="AD710" s="204" t="n"/>
      <c r="AE710" s="204" t="n"/>
      <c r="AF710" s="204" t="n"/>
      <c r="AG710" s="204" t="n"/>
    </row>
    <row r="711" ht="12.75" customHeight="1" s="205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  <c r="S711" s="204" t="n"/>
      <c r="T711" s="204" t="n"/>
      <c r="U711" s="204" t="n"/>
      <c r="V711" s="204" t="n"/>
      <c r="W711" s="204" t="n"/>
      <c r="X711" s="204" t="n"/>
      <c r="Y711" s="204" t="n"/>
      <c r="Z711" s="204" t="n"/>
      <c r="AA711" s="204" t="n"/>
      <c r="AB711" s="204" t="n"/>
      <c r="AC711" s="204" t="n"/>
      <c r="AD711" s="204" t="n"/>
      <c r="AE711" s="204" t="n"/>
      <c r="AF711" s="204" t="n"/>
      <c r="AG711" s="204" t="n"/>
    </row>
    <row r="712" ht="12.75" customHeight="1" s="205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  <c r="S712" s="204" t="n"/>
      <c r="T712" s="204" t="n"/>
      <c r="U712" s="204" t="n"/>
      <c r="V712" s="204" t="n"/>
      <c r="W712" s="204" t="n"/>
      <c r="X712" s="204" t="n"/>
      <c r="Y712" s="204" t="n"/>
      <c r="Z712" s="204" t="n"/>
      <c r="AA712" s="204" t="n"/>
      <c r="AB712" s="204" t="n"/>
      <c r="AC712" s="204" t="n"/>
      <c r="AD712" s="204" t="n"/>
      <c r="AE712" s="204" t="n"/>
      <c r="AF712" s="204" t="n"/>
      <c r="AG712" s="204" t="n"/>
    </row>
    <row r="713" ht="12.75" customHeight="1" s="205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  <c r="S713" s="204" t="n"/>
      <c r="T713" s="204" t="n"/>
      <c r="U713" s="204" t="n"/>
      <c r="V713" s="204" t="n"/>
      <c r="W713" s="204" t="n"/>
      <c r="X713" s="204" t="n"/>
      <c r="Y713" s="204" t="n"/>
      <c r="Z713" s="204" t="n"/>
      <c r="AA713" s="204" t="n"/>
      <c r="AB713" s="204" t="n"/>
      <c r="AC713" s="204" t="n"/>
      <c r="AD713" s="204" t="n"/>
      <c r="AE713" s="204" t="n"/>
      <c r="AF713" s="204" t="n"/>
      <c r="AG713" s="204" t="n"/>
    </row>
    <row r="714" ht="12.75" customHeight="1" s="205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  <c r="S714" s="204" t="n"/>
      <c r="T714" s="204" t="n"/>
      <c r="U714" s="204" t="n"/>
      <c r="V714" s="204" t="n"/>
      <c r="W714" s="204" t="n"/>
      <c r="X714" s="204" t="n"/>
      <c r="Y714" s="204" t="n"/>
      <c r="Z714" s="204" t="n"/>
      <c r="AA714" s="204" t="n"/>
      <c r="AB714" s="204" t="n"/>
      <c r="AC714" s="204" t="n"/>
      <c r="AD714" s="204" t="n"/>
      <c r="AE714" s="204" t="n"/>
      <c r="AF714" s="204" t="n"/>
      <c r="AG714" s="204" t="n"/>
    </row>
    <row r="715" ht="12.75" customHeight="1" s="205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  <c r="S715" s="204" t="n"/>
      <c r="T715" s="204" t="n"/>
      <c r="U715" s="204" t="n"/>
      <c r="V715" s="204" t="n"/>
      <c r="W715" s="204" t="n"/>
      <c r="X715" s="204" t="n"/>
      <c r="Y715" s="204" t="n"/>
      <c r="Z715" s="204" t="n"/>
      <c r="AA715" s="204" t="n"/>
      <c r="AB715" s="204" t="n"/>
      <c r="AC715" s="204" t="n"/>
      <c r="AD715" s="204" t="n"/>
      <c r="AE715" s="204" t="n"/>
      <c r="AF715" s="204" t="n"/>
      <c r="AG715" s="204" t="n"/>
    </row>
    <row r="716" ht="12.75" customHeight="1" s="205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  <c r="S716" s="204" t="n"/>
      <c r="T716" s="204" t="n"/>
      <c r="U716" s="204" t="n"/>
      <c r="V716" s="204" t="n"/>
      <c r="W716" s="204" t="n"/>
      <c r="X716" s="204" t="n"/>
      <c r="Y716" s="204" t="n"/>
      <c r="Z716" s="204" t="n"/>
      <c r="AA716" s="204" t="n"/>
      <c r="AB716" s="204" t="n"/>
      <c r="AC716" s="204" t="n"/>
      <c r="AD716" s="204" t="n"/>
      <c r="AE716" s="204" t="n"/>
      <c r="AF716" s="204" t="n"/>
      <c r="AG716" s="204" t="n"/>
    </row>
    <row r="717" ht="12.75" customHeight="1" s="205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  <c r="S717" s="204" t="n"/>
      <c r="T717" s="204" t="n"/>
      <c r="U717" s="204" t="n"/>
      <c r="V717" s="204" t="n"/>
      <c r="W717" s="204" t="n"/>
      <c r="X717" s="204" t="n"/>
      <c r="Y717" s="204" t="n"/>
      <c r="Z717" s="204" t="n"/>
      <c r="AA717" s="204" t="n"/>
      <c r="AB717" s="204" t="n"/>
      <c r="AC717" s="204" t="n"/>
      <c r="AD717" s="204" t="n"/>
      <c r="AE717" s="204" t="n"/>
      <c r="AF717" s="204" t="n"/>
      <c r="AG717" s="204" t="n"/>
    </row>
    <row r="718" ht="12.75" customHeight="1" s="205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  <c r="S718" s="204" t="n"/>
      <c r="T718" s="204" t="n"/>
      <c r="U718" s="204" t="n"/>
      <c r="V718" s="204" t="n"/>
      <c r="W718" s="204" t="n"/>
      <c r="X718" s="204" t="n"/>
      <c r="Y718" s="204" t="n"/>
      <c r="Z718" s="204" t="n"/>
      <c r="AA718" s="204" t="n"/>
      <c r="AB718" s="204" t="n"/>
      <c r="AC718" s="204" t="n"/>
      <c r="AD718" s="204" t="n"/>
      <c r="AE718" s="204" t="n"/>
      <c r="AF718" s="204" t="n"/>
      <c r="AG718" s="204" t="n"/>
    </row>
    <row r="719" ht="12.75" customHeight="1" s="205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  <c r="S719" s="204" t="n"/>
      <c r="T719" s="204" t="n"/>
      <c r="U719" s="204" t="n"/>
      <c r="V719" s="204" t="n"/>
      <c r="W719" s="204" t="n"/>
      <c r="X719" s="204" t="n"/>
      <c r="Y719" s="204" t="n"/>
      <c r="Z719" s="204" t="n"/>
      <c r="AA719" s="204" t="n"/>
      <c r="AB719" s="204" t="n"/>
      <c r="AC719" s="204" t="n"/>
      <c r="AD719" s="204" t="n"/>
      <c r="AE719" s="204" t="n"/>
      <c r="AF719" s="204" t="n"/>
      <c r="AG719" s="204" t="n"/>
    </row>
    <row r="720" ht="12.75" customHeight="1" s="205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  <c r="S720" s="204" t="n"/>
      <c r="T720" s="204" t="n"/>
      <c r="U720" s="204" t="n"/>
      <c r="V720" s="204" t="n"/>
      <c r="W720" s="204" t="n"/>
      <c r="X720" s="204" t="n"/>
      <c r="Y720" s="204" t="n"/>
      <c r="Z720" s="204" t="n"/>
      <c r="AA720" s="204" t="n"/>
      <c r="AB720" s="204" t="n"/>
      <c r="AC720" s="204" t="n"/>
      <c r="AD720" s="204" t="n"/>
      <c r="AE720" s="204" t="n"/>
      <c r="AF720" s="204" t="n"/>
      <c r="AG720" s="204" t="n"/>
    </row>
    <row r="721" ht="12.75" customHeight="1" s="205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  <c r="S721" s="204" t="n"/>
      <c r="T721" s="204" t="n"/>
      <c r="U721" s="204" t="n"/>
      <c r="V721" s="204" t="n"/>
      <c r="W721" s="204" t="n"/>
      <c r="X721" s="204" t="n"/>
      <c r="Y721" s="204" t="n"/>
      <c r="Z721" s="204" t="n"/>
      <c r="AA721" s="204" t="n"/>
      <c r="AB721" s="204" t="n"/>
      <c r="AC721" s="204" t="n"/>
      <c r="AD721" s="204" t="n"/>
      <c r="AE721" s="204" t="n"/>
      <c r="AF721" s="204" t="n"/>
      <c r="AG721" s="204" t="n"/>
    </row>
    <row r="722" ht="12.75" customHeight="1" s="205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  <c r="S722" s="204" t="n"/>
      <c r="T722" s="204" t="n"/>
      <c r="U722" s="204" t="n"/>
      <c r="V722" s="204" t="n"/>
      <c r="W722" s="204" t="n"/>
      <c r="X722" s="204" t="n"/>
      <c r="Y722" s="204" t="n"/>
      <c r="Z722" s="204" t="n"/>
      <c r="AA722" s="204" t="n"/>
      <c r="AB722" s="204" t="n"/>
      <c r="AC722" s="204" t="n"/>
      <c r="AD722" s="204" t="n"/>
      <c r="AE722" s="204" t="n"/>
      <c r="AF722" s="204" t="n"/>
      <c r="AG722" s="204" t="n"/>
    </row>
    <row r="723" ht="12.75" customHeight="1" s="205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  <c r="S723" s="204" t="n"/>
      <c r="T723" s="204" t="n"/>
      <c r="U723" s="204" t="n"/>
      <c r="V723" s="204" t="n"/>
      <c r="W723" s="204" t="n"/>
      <c r="X723" s="204" t="n"/>
      <c r="Y723" s="204" t="n"/>
      <c r="Z723" s="204" t="n"/>
      <c r="AA723" s="204" t="n"/>
      <c r="AB723" s="204" t="n"/>
      <c r="AC723" s="204" t="n"/>
      <c r="AD723" s="204" t="n"/>
      <c r="AE723" s="204" t="n"/>
      <c r="AF723" s="204" t="n"/>
      <c r="AG723" s="204" t="n"/>
    </row>
    <row r="724" ht="12.75" customHeight="1" s="205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  <c r="S724" s="204" t="n"/>
      <c r="T724" s="204" t="n"/>
      <c r="U724" s="204" t="n"/>
      <c r="V724" s="204" t="n"/>
      <c r="W724" s="204" t="n"/>
      <c r="X724" s="204" t="n"/>
      <c r="Y724" s="204" t="n"/>
      <c r="Z724" s="204" t="n"/>
      <c r="AA724" s="204" t="n"/>
      <c r="AB724" s="204" t="n"/>
      <c r="AC724" s="204" t="n"/>
      <c r="AD724" s="204" t="n"/>
      <c r="AE724" s="204" t="n"/>
      <c r="AF724" s="204" t="n"/>
      <c r="AG724" s="204" t="n"/>
    </row>
    <row r="725" ht="12.75" customHeight="1" s="205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  <c r="S725" s="204" t="n"/>
      <c r="T725" s="204" t="n"/>
      <c r="U725" s="204" t="n"/>
      <c r="V725" s="204" t="n"/>
      <c r="W725" s="204" t="n"/>
      <c r="X725" s="204" t="n"/>
      <c r="Y725" s="204" t="n"/>
      <c r="Z725" s="204" t="n"/>
      <c r="AA725" s="204" t="n"/>
      <c r="AB725" s="204" t="n"/>
      <c r="AC725" s="204" t="n"/>
      <c r="AD725" s="204" t="n"/>
      <c r="AE725" s="204" t="n"/>
      <c r="AF725" s="204" t="n"/>
      <c r="AG725" s="204" t="n"/>
    </row>
    <row r="726" ht="12.75" customHeight="1" s="205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  <c r="S726" s="204" t="n"/>
      <c r="T726" s="204" t="n"/>
      <c r="U726" s="204" t="n"/>
      <c r="V726" s="204" t="n"/>
      <c r="W726" s="204" t="n"/>
      <c r="X726" s="204" t="n"/>
      <c r="Y726" s="204" t="n"/>
      <c r="Z726" s="204" t="n"/>
      <c r="AA726" s="204" t="n"/>
      <c r="AB726" s="204" t="n"/>
      <c r="AC726" s="204" t="n"/>
      <c r="AD726" s="204" t="n"/>
      <c r="AE726" s="204" t="n"/>
      <c r="AF726" s="204" t="n"/>
      <c r="AG726" s="204" t="n"/>
    </row>
    <row r="727" ht="12.75" customHeight="1" s="205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  <c r="S727" s="204" t="n"/>
      <c r="T727" s="204" t="n"/>
      <c r="U727" s="204" t="n"/>
      <c r="V727" s="204" t="n"/>
      <c r="W727" s="204" t="n"/>
      <c r="X727" s="204" t="n"/>
      <c r="Y727" s="204" t="n"/>
      <c r="Z727" s="204" t="n"/>
      <c r="AA727" s="204" t="n"/>
      <c r="AB727" s="204" t="n"/>
      <c r="AC727" s="204" t="n"/>
      <c r="AD727" s="204" t="n"/>
      <c r="AE727" s="204" t="n"/>
      <c r="AF727" s="204" t="n"/>
      <c r="AG727" s="204" t="n"/>
    </row>
    <row r="728" ht="12.75" customHeight="1" s="205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  <c r="S728" s="204" t="n"/>
      <c r="T728" s="204" t="n"/>
      <c r="U728" s="204" t="n"/>
      <c r="V728" s="204" t="n"/>
      <c r="W728" s="204" t="n"/>
      <c r="X728" s="204" t="n"/>
      <c r="Y728" s="204" t="n"/>
      <c r="Z728" s="204" t="n"/>
      <c r="AA728" s="204" t="n"/>
      <c r="AB728" s="204" t="n"/>
      <c r="AC728" s="204" t="n"/>
      <c r="AD728" s="204" t="n"/>
      <c r="AE728" s="204" t="n"/>
      <c r="AF728" s="204" t="n"/>
      <c r="AG728" s="204" t="n"/>
    </row>
    <row r="729" ht="12.75" customHeight="1" s="205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  <c r="S729" s="204" t="n"/>
      <c r="T729" s="204" t="n"/>
      <c r="U729" s="204" t="n"/>
      <c r="V729" s="204" t="n"/>
      <c r="W729" s="204" t="n"/>
      <c r="X729" s="204" t="n"/>
      <c r="Y729" s="204" t="n"/>
      <c r="Z729" s="204" t="n"/>
      <c r="AA729" s="204" t="n"/>
      <c r="AB729" s="204" t="n"/>
      <c r="AC729" s="204" t="n"/>
      <c r="AD729" s="204" t="n"/>
      <c r="AE729" s="204" t="n"/>
      <c r="AF729" s="204" t="n"/>
      <c r="AG729" s="204" t="n"/>
    </row>
    <row r="730" ht="12.75" customHeight="1" s="205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  <c r="S730" s="204" t="n"/>
      <c r="T730" s="204" t="n"/>
      <c r="U730" s="204" t="n"/>
      <c r="V730" s="204" t="n"/>
      <c r="W730" s="204" t="n"/>
      <c r="X730" s="204" t="n"/>
      <c r="Y730" s="204" t="n"/>
      <c r="Z730" s="204" t="n"/>
      <c r="AA730" s="204" t="n"/>
      <c r="AB730" s="204" t="n"/>
      <c r="AC730" s="204" t="n"/>
      <c r="AD730" s="204" t="n"/>
      <c r="AE730" s="204" t="n"/>
      <c r="AF730" s="204" t="n"/>
      <c r="AG730" s="204" t="n"/>
    </row>
    <row r="731" ht="12.75" customHeight="1" s="205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  <c r="S731" s="204" t="n"/>
      <c r="T731" s="204" t="n"/>
      <c r="U731" s="204" t="n"/>
      <c r="V731" s="204" t="n"/>
      <c r="W731" s="204" t="n"/>
      <c r="X731" s="204" t="n"/>
      <c r="Y731" s="204" t="n"/>
      <c r="Z731" s="204" t="n"/>
      <c r="AA731" s="204" t="n"/>
      <c r="AB731" s="204" t="n"/>
      <c r="AC731" s="204" t="n"/>
      <c r="AD731" s="204" t="n"/>
      <c r="AE731" s="204" t="n"/>
      <c r="AF731" s="204" t="n"/>
      <c r="AG731" s="204" t="n"/>
    </row>
    <row r="732" ht="12.75" customHeight="1" s="205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  <c r="S732" s="204" t="n"/>
      <c r="T732" s="204" t="n"/>
      <c r="U732" s="204" t="n"/>
      <c r="V732" s="204" t="n"/>
      <c r="W732" s="204" t="n"/>
      <c r="X732" s="204" t="n"/>
      <c r="Y732" s="204" t="n"/>
      <c r="Z732" s="204" t="n"/>
      <c r="AA732" s="204" t="n"/>
      <c r="AB732" s="204" t="n"/>
      <c r="AC732" s="204" t="n"/>
      <c r="AD732" s="204" t="n"/>
      <c r="AE732" s="204" t="n"/>
      <c r="AF732" s="204" t="n"/>
      <c r="AG732" s="204" t="n"/>
    </row>
    <row r="733" ht="12.75" customHeight="1" s="205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  <c r="S733" s="204" t="n"/>
      <c r="T733" s="204" t="n"/>
      <c r="U733" s="204" t="n"/>
      <c r="V733" s="204" t="n"/>
      <c r="W733" s="204" t="n"/>
      <c r="X733" s="204" t="n"/>
      <c r="Y733" s="204" t="n"/>
      <c r="Z733" s="204" t="n"/>
      <c r="AA733" s="204" t="n"/>
      <c r="AB733" s="204" t="n"/>
      <c r="AC733" s="204" t="n"/>
      <c r="AD733" s="204" t="n"/>
      <c r="AE733" s="204" t="n"/>
      <c r="AF733" s="204" t="n"/>
      <c r="AG733" s="204" t="n"/>
    </row>
    <row r="734" ht="12.75" customHeight="1" s="205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  <c r="S734" s="204" t="n"/>
      <c r="T734" s="204" t="n"/>
      <c r="U734" s="204" t="n"/>
      <c r="V734" s="204" t="n"/>
      <c r="W734" s="204" t="n"/>
      <c r="X734" s="204" t="n"/>
      <c r="Y734" s="204" t="n"/>
      <c r="Z734" s="204" t="n"/>
      <c r="AA734" s="204" t="n"/>
      <c r="AB734" s="204" t="n"/>
      <c r="AC734" s="204" t="n"/>
      <c r="AD734" s="204" t="n"/>
      <c r="AE734" s="204" t="n"/>
      <c r="AF734" s="204" t="n"/>
      <c r="AG734" s="204" t="n"/>
    </row>
    <row r="735" ht="12.75" customHeight="1" s="205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  <c r="S735" s="204" t="n"/>
      <c r="T735" s="204" t="n"/>
      <c r="U735" s="204" t="n"/>
      <c r="V735" s="204" t="n"/>
      <c r="W735" s="204" t="n"/>
      <c r="X735" s="204" t="n"/>
      <c r="Y735" s="204" t="n"/>
      <c r="Z735" s="204" t="n"/>
      <c r="AA735" s="204" t="n"/>
      <c r="AB735" s="204" t="n"/>
      <c r="AC735" s="204" t="n"/>
      <c r="AD735" s="204" t="n"/>
      <c r="AE735" s="204" t="n"/>
      <c r="AF735" s="204" t="n"/>
      <c r="AG735" s="204" t="n"/>
    </row>
    <row r="736" ht="12.75" customHeight="1" s="205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  <c r="S736" s="204" t="n"/>
      <c r="T736" s="204" t="n"/>
      <c r="U736" s="204" t="n"/>
      <c r="V736" s="204" t="n"/>
      <c r="W736" s="204" t="n"/>
      <c r="X736" s="204" t="n"/>
      <c r="Y736" s="204" t="n"/>
      <c r="Z736" s="204" t="n"/>
      <c r="AA736" s="204" t="n"/>
      <c r="AB736" s="204" t="n"/>
      <c r="AC736" s="204" t="n"/>
      <c r="AD736" s="204" t="n"/>
      <c r="AE736" s="204" t="n"/>
      <c r="AF736" s="204" t="n"/>
      <c r="AG736" s="204" t="n"/>
    </row>
    <row r="737" ht="12.75" customHeight="1" s="205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  <c r="S737" s="204" t="n"/>
      <c r="T737" s="204" t="n"/>
      <c r="U737" s="204" t="n"/>
      <c r="V737" s="204" t="n"/>
      <c r="W737" s="204" t="n"/>
      <c r="X737" s="204" t="n"/>
      <c r="Y737" s="204" t="n"/>
      <c r="Z737" s="204" t="n"/>
      <c r="AA737" s="204" t="n"/>
      <c r="AB737" s="204" t="n"/>
      <c r="AC737" s="204" t="n"/>
      <c r="AD737" s="204" t="n"/>
      <c r="AE737" s="204" t="n"/>
      <c r="AF737" s="204" t="n"/>
      <c r="AG737" s="204" t="n"/>
    </row>
    <row r="738" ht="12.75" customHeight="1" s="205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  <c r="S738" s="204" t="n"/>
      <c r="T738" s="204" t="n"/>
      <c r="U738" s="204" t="n"/>
      <c r="V738" s="204" t="n"/>
      <c r="W738" s="204" t="n"/>
      <c r="X738" s="204" t="n"/>
      <c r="Y738" s="204" t="n"/>
      <c r="Z738" s="204" t="n"/>
      <c r="AA738" s="204" t="n"/>
      <c r="AB738" s="204" t="n"/>
      <c r="AC738" s="204" t="n"/>
      <c r="AD738" s="204" t="n"/>
      <c r="AE738" s="204" t="n"/>
      <c r="AF738" s="204" t="n"/>
      <c r="AG738" s="204" t="n"/>
    </row>
    <row r="739" ht="12.75" customHeight="1" s="205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  <c r="S739" s="204" t="n"/>
      <c r="T739" s="204" t="n"/>
      <c r="U739" s="204" t="n"/>
      <c r="V739" s="204" t="n"/>
      <c r="W739" s="204" t="n"/>
      <c r="X739" s="204" t="n"/>
      <c r="Y739" s="204" t="n"/>
      <c r="Z739" s="204" t="n"/>
      <c r="AA739" s="204" t="n"/>
      <c r="AB739" s="204" t="n"/>
      <c r="AC739" s="204" t="n"/>
      <c r="AD739" s="204" t="n"/>
      <c r="AE739" s="204" t="n"/>
      <c r="AF739" s="204" t="n"/>
      <c r="AG739" s="204" t="n"/>
    </row>
    <row r="740" ht="12.75" customHeight="1" s="205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  <c r="S740" s="204" t="n"/>
      <c r="T740" s="204" t="n"/>
      <c r="U740" s="204" t="n"/>
      <c r="V740" s="204" t="n"/>
      <c r="W740" s="204" t="n"/>
      <c r="X740" s="204" t="n"/>
      <c r="Y740" s="204" t="n"/>
      <c r="Z740" s="204" t="n"/>
      <c r="AA740" s="204" t="n"/>
      <c r="AB740" s="204" t="n"/>
      <c r="AC740" s="204" t="n"/>
      <c r="AD740" s="204" t="n"/>
      <c r="AE740" s="204" t="n"/>
      <c r="AF740" s="204" t="n"/>
      <c r="AG740" s="204" t="n"/>
    </row>
    <row r="741" ht="12.75" customHeight="1" s="205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  <c r="S741" s="204" t="n"/>
      <c r="T741" s="204" t="n"/>
      <c r="U741" s="204" t="n"/>
      <c r="V741" s="204" t="n"/>
      <c r="W741" s="204" t="n"/>
      <c r="X741" s="204" t="n"/>
      <c r="Y741" s="204" t="n"/>
      <c r="Z741" s="204" t="n"/>
      <c r="AA741" s="204" t="n"/>
      <c r="AB741" s="204" t="n"/>
      <c r="AC741" s="204" t="n"/>
      <c r="AD741" s="204" t="n"/>
      <c r="AE741" s="204" t="n"/>
      <c r="AF741" s="204" t="n"/>
      <c r="AG741" s="204" t="n"/>
    </row>
    <row r="742" ht="12.75" customHeight="1" s="205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  <c r="S742" s="204" t="n"/>
      <c r="T742" s="204" t="n"/>
      <c r="U742" s="204" t="n"/>
      <c r="V742" s="204" t="n"/>
      <c r="W742" s="204" t="n"/>
      <c r="X742" s="204" t="n"/>
      <c r="Y742" s="204" t="n"/>
      <c r="Z742" s="204" t="n"/>
      <c r="AA742" s="204" t="n"/>
      <c r="AB742" s="204" t="n"/>
      <c r="AC742" s="204" t="n"/>
      <c r="AD742" s="204" t="n"/>
      <c r="AE742" s="204" t="n"/>
      <c r="AF742" s="204" t="n"/>
      <c r="AG742" s="204" t="n"/>
    </row>
    <row r="743" ht="12.75" customHeight="1" s="205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  <c r="S743" s="204" t="n"/>
      <c r="T743" s="204" t="n"/>
      <c r="U743" s="204" t="n"/>
      <c r="V743" s="204" t="n"/>
      <c r="W743" s="204" t="n"/>
      <c r="X743" s="204" t="n"/>
      <c r="Y743" s="204" t="n"/>
      <c r="Z743" s="204" t="n"/>
      <c r="AA743" s="204" t="n"/>
      <c r="AB743" s="204" t="n"/>
      <c r="AC743" s="204" t="n"/>
      <c r="AD743" s="204" t="n"/>
      <c r="AE743" s="204" t="n"/>
      <c r="AF743" s="204" t="n"/>
      <c r="AG743" s="204" t="n"/>
    </row>
    <row r="744" ht="12.75" customHeight="1" s="205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  <c r="S744" s="204" t="n"/>
      <c r="T744" s="204" t="n"/>
      <c r="U744" s="204" t="n"/>
      <c r="V744" s="204" t="n"/>
      <c r="W744" s="204" t="n"/>
      <c r="X744" s="204" t="n"/>
      <c r="Y744" s="204" t="n"/>
      <c r="Z744" s="204" t="n"/>
      <c r="AA744" s="204" t="n"/>
      <c r="AB744" s="204" t="n"/>
      <c r="AC744" s="204" t="n"/>
      <c r="AD744" s="204" t="n"/>
      <c r="AE744" s="204" t="n"/>
      <c r="AF744" s="204" t="n"/>
      <c r="AG744" s="204" t="n"/>
    </row>
    <row r="745" ht="12.75" customHeight="1" s="205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  <c r="S745" s="204" t="n"/>
      <c r="T745" s="204" t="n"/>
      <c r="U745" s="204" t="n"/>
      <c r="V745" s="204" t="n"/>
      <c r="W745" s="204" t="n"/>
      <c r="X745" s="204" t="n"/>
      <c r="Y745" s="204" t="n"/>
      <c r="Z745" s="204" t="n"/>
      <c r="AA745" s="204" t="n"/>
      <c r="AB745" s="204" t="n"/>
      <c r="AC745" s="204" t="n"/>
      <c r="AD745" s="204" t="n"/>
      <c r="AE745" s="204" t="n"/>
      <c r="AF745" s="204" t="n"/>
      <c r="AG745" s="204" t="n"/>
    </row>
    <row r="746" ht="12.75" customHeight="1" s="205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  <c r="S746" s="204" t="n"/>
      <c r="T746" s="204" t="n"/>
      <c r="U746" s="204" t="n"/>
      <c r="V746" s="204" t="n"/>
      <c r="W746" s="204" t="n"/>
      <c r="X746" s="204" t="n"/>
      <c r="Y746" s="204" t="n"/>
      <c r="Z746" s="204" t="n"/>
      <c r="AA746" s="204" t="n"/>
      <c r="AB746" s="204" t="n"/>
      <c r="AC746" s="204" t="n"/>
      <c r="AD746" s="204" t="n"/>
      <c r="AE746" s="204" t="n"/>
      <c r="AF746" s="204" t="n"/>
      <c r="AG746" s="204" t="n"/>
    </row>
    <row r="747" ht="12.75" customHeight="1" s="205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  <c r="S747" s="204" t="n"/>
      <c r="T747" s="204" t="n"/>
      <c r="U747" s="204" t="n"/>
      <c r="V747" s="204" t="n"/>
      <c r="W747" s="204" t="n"/>
      <c r="X747" s="204" t="n"/>
      <c r="Y747" s="204" t="n"/>
      <c r="Z747" s="204" t="n"/>
      <c r="AA747" s="204" t="n"/>
      <c r="AB747" s="204" t="n"/>
      <c r="AC747" s="204" t="n"/>
      <c r="AD747" s="204" t="n"/>
      <c r="AE747" s="204" t="n"/>
      <c r="AF747" s="204" t="n"/>
      <c r="AG747" s="204" t="n"/>
    </row>
    <row r="748" ht="12.75" customHeight="1" s="205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  <c r="S748" s="204" t="n"/>
      <c r="T748" s="204" t="n"/>
      <c r="U748" s="204" t="n"/>
      <c r="V748" s="204" t="n"/>
      <c r="W748" s="204" t="n"/>
      <c r="X748" s="204" t="n"/>
      <c r="Y748" s="204" t="n"/>
      <c r="Z748" s="204" t="n"/>
      <c r="AA748" s="204" t="n"/>
      <c r="AB748" s="204" t="n"/>
      <c r="AC748" s="204" t="n"/>
      <c r="AD748" s="204" t="n"/>
      <c r="AE748" s="204" t="n"/>
      <c r="AF748" s="204" t="n"/>
      <c r="AG748" s="204" t="n"/>
    </row>
    <row r="749" ht="12.75" customHeight="1" s="205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  <c r="S749" s="204" t="n"/>
      <c r="T749" s="204" t="n"/>
      <c r="U749" s="204" t="n"/>
      <c r="V749" s="204" t="n"/>
      <c r="W749" s="204" t="n"/>
      <c r="X749" s="204" t="n"/>
      <c r="Y749" s="204" t="n"/>
      <c r="Z749" s="204" t="n"/>
      <c r="AA749" s="204" t="n"/>
      <c r="AB749" s="204" t="n"/>
      <c r="AC749" s="204" t="n"/>
      <c r="AD749" s="204" t="n"/>
      <c r="AE749" s="204" t="n"/>
      <c r="AF749" s="204" t="n"/>
      <c r="AG749" s="204" t="n"/>
    </row>
    <row r="750" ht="12.75" customHeight="1" s="205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  <c r="S750" s="204" t="n"/>
      <c r="T750" s="204" t="n"/>
      <c r="U750" s="204" t="n"/>
      <c r="V750" s="204" t="n"/>
      <c r="W750" s="204" t="n"/>
      <c r="X750" s="204" t="n"/>
      <c r="Y750" s="204" t="n"/>
      <c r="Z750" s="204" t="n"/>
      <c r="AA750" s="204" t="n"/>
      <c r="AB750" s="204" t="n"/>
      <c r="AC750" s="204" t="n"/>
      <c r="AD750" s="204" t="n"/>
      <c r="AE750" s="204" t="n"/>
      <c r="AF750" s="204" t="n"/>
      <c r="AG750" s="204" t="n"/>
    </row>
    <row r="751" ht="12.75" customHeight="1" s="205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  <c r="S751" s="204" t="n"/>
      <c r="T751" s="204" t="n"/>
      <c r="U751" s="204" t="n"/>
      <c r="V751" s="204" t="n"/>
      <c r="W751" s="204" t="n"/>
      <c r="X751" s="204" t="n"/>
      <c r="Y751" s="204" t="n"/>
      <c r="Z751" s="204" t="n"/>
      <c r="AA751" s="204" t="n"/>
      <c r="AB751" s="204" t="n"/>
      <c r="AC751" s="204" t="n"/>
      <c r="AD751" s="204" t="n"/>
      <c r="AE751" s="204" t="n"/>
      <c r="AF751" s="204" t="n"/>
      <c r="AG751" s="204" t="n"/>
    </row>
    <row r="752" ht="12.75" customHeight="1" s="205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  <c r="S752" s="204" t="n"/>
      <c r="T752" s="204" t="n"/>
      <c r="U752" s="204" t="n"/>
      <c r="V752" s="204" t="n"/>
      <c r="W752" s="204" t="n"/>
      <c r="X752" s="204" t="n"/>
      <c r="Y752" s="204" t="n"/>
      <c r="Z752" s="204" t="n"/>
      <c r="AA752" s="204" t="n"/>
      <c r="AB752" s="204" t="n"/>
      <c r="AC752" s="204" t="n"/>
      <c r="AD752" s="204" t="n"/>
      <c r="AE752" s="204" t="n"/>
      <c r="AF752" s="204" t="n"/>
      <c r="AG752" s="204" t="n"/>
    </row>
    <row r="753" ht="12.75" customHeight="1" s="205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  <c r="S753" s="204" t="n"/>
      <c r="T753" s="204" t="n"/>
      <c r="U753" s="204" t="n"/>
      <c r="V753" s="204" t="n"/>
      <c r="W753" s="204" t="n"/>
      <c r="X753" s="204" t="n"/>
      <c r="Y753" s="204" t="n"/>
      <c r="Z753" s="204" t="n"/>
      <c r="AA753" s="204" t="n"/>
      <c r="AB753" s="204" t="n"/>
      <c r="AC753" s="204" t="n"/>
      <c r="AD753" s="204" t="n"/>
      <c r="AE753" s="204" t="n"/>
      <c r="AF753" s="204" t="n"/>
      <c r="AG753" s="204" t="n"/>
    </row>
    <row r="754" ht="12.75" customHeight="1" s="205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  <c r="S754" s="204" t="n"/>
      <c r="T754" s="204" t="n"/>
      <c r="U754" s="204" t="n"/>
      <c r="V754" s="204" t="n"/>
      <c r="W754" s="204" t="n"/>
      <c r="X754" s="204" t="n"/>
      <c r="Y754" s="204" t="n"/>
      <c r="Z754" s="204" t="n"/>
      <c r="AA754" s="204" t="n"/>
      <c r="AB754" s="204" t="n"/>
      <c r="AC754" s="204" t="n"/>
      <c r="AD754" s="204" t="n"/>
      <c r="AE754" s="204" t="n"/>
      <c r="AF754" s="204" t="n"/>
      <c r="AG754" s="204" t="n"/>
    </row>
    <row r="755" ht="12.75" customHeight="1" s="205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  <c r="S755" s="204" t="n"/>
      <c r="T755" s="204" t="n"/>
      <c r="U755" s="204" t="n"/>
      <c r="V755" s="204" t="n"/>
      <c r="W755" s="204" t="n"/>
      <c r="X755" s="204" t="n"/>
      <c r="Y755" s="204" t="n"/>
      <c r="Z755" s="204" t="n"/>
      <c r="AA755" s="204" t="n"/>
      <c r="AB755" s="204" t="n"/>
      <c r="AC755" s="204" t="n"/>
      <c r="AD755" s="204" t="n"/>
      <c r="AE755" s="204" t="n"/>
      <c r="AF755" s="204" t="n"/>
      <c r="AG755" s="204" t="n"/>
    </row>
    <row r="756" ht="12.75" customHeight="1" s="205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  <c r="S756" s="204" t="n"/>
      <c r="T756" s="204" t="n"/>
      <c r="U756" s="204" t="n"/>
      <c r="V756" s="204" t="n"/>
      <c r="W756" s="204" t="n"/>
      <c r="X756" s="204" t="n"/>
      <c r="Y756" s="204" t="n"/>
      <c r="Z756" s="204" t="n"/>
      <c r="AA756" s="204" t="n"/>
      <c r="AB756" s="204" t="n"/>
      <c r="AC756" s="204" t="n"/>
      <c r="AD756" s="204" t="n"/>
      <c r="AE756" s="204" t="n"/>
      <c r="AF756" s="204" t="n"/>
      <c r="AG756" s="204" t="n"/>
    </row>
    <row r="757" ht="12.75" customHeight="1" s="205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  <c r="S757" s="204" t="n"/>
      <c r="T757" s="204" t="n"/>
      <c r="U757" s="204" t="n"/>
      <c r="V757" s="204" t="n"/>
      <c r="W757" s="204" t="n"/>
      <c r="X757" s="204" t="n"/>
      <c r="Y757" s="204" t="n"/>
      <c r="Z757" s="204" t="n"/>
      <c r="AA757" s="204" t="n"/>
      <c r="AB757" s="204" t="n"/>
      <c r="AC757" s="204" t="n"/>
      <c r="AD757" s="204" t="n"/>
      <c r="AE757" s="204" t="n"/>
      <c r="AF757" s="204" t="n"/>
      <c r="AG757" s="204" t="n"/>
    </row>
    <row r="758" ht="12.75" customHeight="1" s="205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  <c r="S758" s="204" t="n"/>
      <c r="T758" s="204" t="n"/>
      <c r="U758" s="204" t="n"/>
      <c r="V758" s="204" t="n"/>
      <c r="W758" s="204" t="n"/>
      <c r="X758" s="204" t="n"/>
      <c r="Y758" s="204" t="n"/>
      <c r="Z758" s="204" t="n"/>
      <c r="AA758" s="204" t="n"/>
      <c r="AB758" s="204" t="n"/>
      <c r="AC758" s="204" t="n"/>
      <c r="AD758" s="204" t="n"/>
      <c r="AE758" s="204" t="n"/>
      <c r="AF758" s="204" t="n"/>
      <c r="AG758" s="204" t="n"/>
    </row>
    <row r="759" ht="12.75" customHeight="1" s="205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  <c r="S759" s="204" t="n"/>
      <c r="T759" s="204" t="n"/>
      <c r="U759" s="204" t="n"/>
      <c r="V759" s="204" t="n"/>
      <c r="W759" s="204" t="n"/>
      <c r="X759" s="204" t="n"/>
      <c r="Y759" s="204" t="n"/>
      <c r="Z759" s="204" t="n"/>
      <c r="AA759" s="204" t="n"/>
      <c r="AB759" s="204" t="n"/>
      <c r="AC759" s="204" t="n"/>
      <c r="AD759" s="204" t="n"/>
      <c r="AE759" s="204" t="n"/>
      <c r="AF759" s="204" t="n"/>
      <c r="AG759" s="204" t="n"/>
    </row>
    <row r="760" ht="12.75" customHeight="1" s="205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  <c r="S760" s="204" t="n"/>
      <c r="T760" s="204" t="n"/>
      <c r="U760" s="204" t="n"/>
      <c r="V760" s="204" t="n"/>
      <c r="W760" s="204" t="n"/>
      <c r="X760" s="204" t="n"/>
      <c r="Y760" s="204" t="n"/>
      <c r="Z760" s="204" t="n"/>
      <c r="AA760" s="204" t="n"/>
      <c r="AB760" s="204" t="n"/>
      <c r="AC760" s="204" t="n"/>
      <c r="AD760" s="204" t="n"/>
      <c r="AE760" s="204" t="n"/>
      <c r="AF760" s="204" t="n"/>
      <c r="AG760" s="204" t="n"/>
    </row>
    <row r="761" ht="12.75" customHeight="1" s="205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  <c r="S761" s="204" t="n"/>
      <c r="T761" s="204" t="n"/>
      <c r="U761" s="204" t="n"/>
      <c r="V761" s="204" t="n"/>
      <c r="W761" s="204" t="n"/>
      <c r="X761" s="204" t="n"/>
      <c r="Y761" s="204" t="n"/>
      <c r="Z761" s="204" t="n"/>
      <c r="AA761" s="204" t="n"/>
      <c r="AB761" s="204" t="n"/>
      <c r="AC761" s="204" t="n"/>
      <c r="AD761" s="204" t="n"/>
      <c r="AE761" s="204" t="n"/>
      <c r="AF761" s="204" t="n"/>
      <c r="AG761" s="204" t="n"/>
    </row>
    <row r="762" ht="12.75" customHeight="1" s="205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  <c r="S762" s="204" t="n"/>
      <c r="T762" s="204" t="n"/>
      <c r="U762" s="204" t="n"/>
      <c r="V762" s="204" t="n"/>
      <c r="W762" s="204" t="n"/>
      <c r="X762" s="204" t="n"/>
      <c r="Y762" s="204" t="n"/>
      <c r="Z762" s="204" t="n"/>
      <c r="AA762" s="204" t="n"/>
      <c r="AB762" s="204" t="n"/>
      <c r="AC762" s="204" t="n"/>
      <c r="AD762" s="204" t="n"/>
      <c r="AE762" s="204" t="n"/>
      <c r="AF762" s="204" t="n"/>
      <c r="AG762" s="204" t="n"/>
    </row>
    <row r="763" ht="12.75" customHeight="1" s="205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  <c r="S763" s="204" t="n"/>
      <c r="T763" s="204" t="n"/>
      <c r="U763" s="204" t="n"/>
      <c r="V763" s="204" t="n"/>
      <c r="W763" s="204" t="n"/>
      <c r="X763" s="204" t="n"/>
      <c r="Y763" s="204" t="n"/>
      <c r="Z763" s="204" t="n"/>
      <c r="AA763" s="204" t="n"/>
      <c r="AB763" s="204" t="n"/>
      <c r="AC763" s="204" t="n"/>
      <c r="AD763" s="204" t="n"/>
      <c r="AE763" s="204" t="n"/>
      <c r="AF763" s="204" t="n"/>
      <c r="AG763" s="204" t="n"/>
    </row>
    <row r="764" ht="12.75" customHeight="1" s="205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  <c r="S764" s="204" t="n"/>
      <c r="T764" s="204" t="n"/>
      <c r="U764" s="204" t="n"/>
      <c r="V764" s="204" t="n"/>
      <c r="W764" s="204" t="n"/>
      <c r="X764" s="204" t="n"/>
      <c r="Y764" s="204" t="n"/>
      <c r="Z764" s="204" t="n"/>
      <c r="AA764" s="204" t="n"/>
      <c r="AB764" s="204" t="n"/>
      <c r="AC764" s="204" t="n"/>
      <c r="AD764" s="204" t="n"/>
      <c r="AE764" s="204" t="n"/>
      <c r="AF764" s="204" t="n"/>
      <c r="AG764" s="204" t="n"/>
    </row>
    <row r="765" ht="12.75" customHeight="1" s="205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  <c r="S765" s="204" t="n"/>
      <c r="T765" s="204" t="n"/>
      <c r="U765" s="204" t="n"/>
      <c r="V765" s="204" t="n"/>
      <c r="W765" s="204" t="n"/>
      <c r="X765" s="204" t="n"/>
      <c r="Y765" s="204" t="n"/>
      <c r="Z765" s="204" t="n"/>
      <c r="AA765" s="204" t="n"/>
      <c r="AB765" s="204" t="n"/>
      <c r="AC765" s="204" t="n"/>
      <c r="AD765" s="204" t="n"/>
      <c r="AE765" s="204" t="n"/>
      <c r="AF765" s="204" t="n"/>
      <c r="AG765" s="204" t="n"/>
    </row>
    <row r="766" ht="12.75" customHeight="1" s="205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  <c r="S766" s="204" t="n"/>
      <c r="T766" s="204" t="n"/>
      <c r="U766" s="204" t="n"/>
      <c r="V766" s="204" t="n"/>
      <c r="W766" s="204" t="n"/>
      <c r="X766" s="204" t="n"/>
      <c r="Y766" s="204" t="n"/>
      <c r="Z766" s="204" t="n"/>
      <c r="AA766" s="204" t="n"/>
      <c r="AB766" s="204" t="n"/>
      <c r="AC766" s="204" t="n"/>
      <c r="AD766" s="204" t="n"/>
      <c r="AE766" s="204" t="n"/>
      <c r="AF766" s="204" t="n"/>
      <c r="AG766" s="204" t="n"/>
    </row>
    <row r="767" ht="12.75" customHeight="1" s="205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  <c r="S767" s="204" t="n"/>
      <c r="T767" s="204" t="n"/>
      <c r="U767" s="204" t="n"/>
      <c r="V767" s="204" t="n"/>
      <c r="W767" s="204" t="n"/>
      <c r="X767" s="204" t="n"/>
      <c r="Y767" s="204" t="n"/>
      <c r="Z767" s="204" t="n"/>
      <c r="AA767" s="204" t="n"/>
      <c r="AB767" s="204" t="n"/>
      <c r="AC767" s="204" t="n"/>
      <c r="AD767" s="204" t="n"/>
      <c r="AE767" s="204" t="n"/>
      <c r="AF767" s="204" t="n"/>
      <c r="AG767" s="204" t="n"/>
    </row>
    <row r="768" ht="12.75" customHeight="1" s="205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  <c r="S768" s="204" t="n"/>
      <c r="T768" s="204" t="n"/>
      <c r="U768" s="204" t="n"/>
      <c r="V768" s="204" t="n"/>
      <c r="W768" s="204" t="n"/>
      <c r="X768" s="204" t="n"/>
      <c r="Y768" s="204" t="n"/>
      <c r="Z768" s="204" t="n"/>
      <c r="AA768" s="204" t="n"/>
      <c r="AB768" s="204" t="n"/>
      <c r="AC768" s="204" t="n"/>
      <c r="AD768" s="204" t="n"/>
      <c r="AE768" s="204" t="n"/>
      <c r="AF768" s="204" t="n"/>
      <c r="AG768" s="204" t="n"/>
    </row>
    <row r="769" ht="12.75" customHeight="1" s="205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  <c r="S769" s="204" t="n"/>
      <c r="T769" s="204" t="n"/>
      <c r="U769" s="204" t="n"/>
      <c r="V769" s="204" t="n"/>
      <c r="W769" s="204" t="n"/>
      <c r="X769" s="204" t="n"/>
      <c r="Y769" s="204" t="n"/>
      <c r="Z769" s="204" t="n"/>
      <c r="AA769" s="204" t="n"/>
      <c r="AB769" s="204" t="n"/>
      <c r="AC769" s="204" t="n"/>
      <c r="AD769" s="204" t="n"/>
      <c r="AE769" s="204" t="n"/>
      <c r="AF769" s="204" t="n"/>
      <c r="AG769" s="204" t="n"/>
    </row>
    <row r="770" ht="12.75" customHeight="1" s="205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  <c r="S770" s="204" t="n"/>
      <c r="T770" s="204" t="n"/>
      <c r="U770" s="204" t="n"/>
      <c r="V770" s="204" t="n"/>
      <c r="W770" s="204" t="n"/>
      <c r="X770" s="204" t="n"/>
      <c r="Y770" s="204" t="n"/>
      <c r="Z770" s="204" t="n"/>
      <c r="AA770" s="204" t="n"/>
      <c r="AB770" s="204" t="n"/>
      <c r="AC770" s="204" t="n"/>
      <c r="AD770" s="204" t="n"/>
      <c r="AE770" s="204" t="n"/>
      <c r="AF770" s="204" t="n"/>
      <c r="AG770" s="204" t="n"/>
    </row>
    <row r="771" ht="12.75" customHeight="1" s="205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  <c r="S771" s="204" t="n"/>
      <c r="T771" s="204" t="n"/>
      <c r="U771" s="204" t="n"/>
      <c r="V771" s="204" t="n"/>
      <c r="W771" s="204" t="n"/>
      <c r="X771" s="204" t="n"/>
      <c r="Y771" s="204" t="n"/>
      <c r="Z771" s="204" t="n"/>
      <c r="AA771" s="204" t="n"/>
      <c r="AB771" s="204" t="n"/>
      <c r="AC771" s="204" t="n"/>
      <c r="AD771" s="204" t="n"/>
      <c r="AE771" s="204" t="n"/>
      <c r="AF771" s="204" t="n"/>
      <c r="AG771" s="204" t="n"/>
    </row>
    <row r="772" ht="12.75" customHeight="1" s="205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  <c r="S772" s="204" t="n"/>
      <c r="T772" s="204" t="n"/>
      <c r="U772" s="204" t="n"/>
      <c r="V772" s="204" t="n"/>
      <c r="W772" s="204" t="n"/>
      <c r="X772" s="204" t="n"/>
      <c r="Y772" s="204" t="n"/>
      <c r="Z772" s="204" t="n"/>
      <c r="AA772" s="204" t="n"/>
      <c r="AB772" s="204" t="n"/>
      <c r="AC772" s="204" t="n"/>
      <c r="AD772" s="204" t="n"/>
      <c r="AE772" s="204" t="n"/>
      <c r="AF772" s="204" t="n"/>
      <c r="AG772" s="204" t="n"/>
    </row>
    <row r="773" ht="12.75" customHeight="1" s="205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  <c r="S773" s="204" t="n"/>
      <c r="T773" s="204" t="n"/>
      <c r="U773" s="204" t="n"/>
      <c r="V773" s="204" t="n"/>
      <c r="W773" s="204" t="n"/>
      <c r="X773" s="204" t="n"/>
      <c r="Y773" s="204" t="n"/>
      <c r="Z773" s="204" t="n"/>
      <c r="AA773" s="204" t="n"/>
      <c r="AB773" s="204" t="n"/>
      <c r="AC773" s="204" t="n"/>
      <c r="AD773" s="204" t="n"/>
      <c r="AE773" s="204" t="n"/>
      <c r="AF773" s="204" t="n"/>
      <c r="AG773" s="204" t="n"/>
    </row>
    <row r="774" ht="12.75" customHeight="1" s="205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  <c r="S774" s="204" t="n"/>
      <c r="T774" s="204" t="n"/>
      <c r="U774" s="204" t="n"/>
      <c r="V774" s="204" t="n"/>
      <c r="W774" s="204" t="n"/>
      <c r="X774" s="204" t="n"/>
      <c r="Y774" s="204" t="n"/>
      <c r="Z774" s="204" t="n"/>
      <c r="AA774" s="204" t="n"/>
      <c r="AB774" s="204" t="n"/>
      <c r="AC774" s="204" t="n"/>
      <c r="AD774" s="204" t="n"/>
      <c r="AE774" s="204" t="n"/>
      <c r="AF774" s="204" t="n"/>
      <c r="AG774" s="204" t="n"/>
    </row>
    <row r="775" ht="12.75" customHeight="1" s="205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  <c r="S775" s="204" t="n"/>
      <c r="T775" s="204" t="n"/>
      <c r="U775" s="204" t="n"/>
      <c r="V775" s="204" t="n"/>
      <c r="W775" s="204" t="n"/>
      <c r="X775" s="204" t="n"/>
      <c r="Y775" s="204" t="n"/>
      <c r="Z775" s="204" t="n"/>
      <c r="AA775" s="204" t="n"/>
      <c r="AB775" s="204" t="n"/>
      <c r="AC775" s="204" t="n"/>
      <c r="AD775" s="204" t="n"/>
      <c r="AE775" s="204" t="n"/>
      <c r="AF775" s="204" t="n"/>
      <c r="AG775" s="204" t="n"/>
    </row>
    <row r="776" ht="12.75" customHeight="1" s="205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  <c r="S776" s="204" t="n"/>
      <c r="T776" s="204" t="n"/>
      <c r="U776" s="204" t="n"/>
      <c r="V776" s="204" t="n"/>
      <c r="W776" s="204" t="n"/>
      <c r="X776" s="204" t="n"/>
      <c r="Y776" s="204" t="n"/>
      <c r="Z776" s="204" t="n"/>
      <c r="AA776" s="204" t="n"/>
      <c r="AB776" s="204" t="n"/>
      <c r="AC776" s="204" t="n"/>
      <c r="AD776" s="204" t="n"/>
      <c r="AE776" s="204" t="n"/>
      <c r="AF776" s="204" t="n"/>
      <c r="AG776" s="204" t="n"/>
    </row>
    <row r="777" ht="12.75" customHeight="1" s="205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  <c r="S777" s="204" t="n"/>
      <c r="T777" s="204" t="n"/>
      <c r="U777" s="204" t="n"/>
      <c r="V777" s="204" t="n"/>
      <c r="W777" s="204" t="n"/>
      <c r="X777" s="204" t="n"/>
      <c r="Y777" s="204" t="n"/>
      <c r="Z777" s="204" t="n"/>
      <c r="AA777" s="204" t="n"/>
      <c r="AB777" s="204" t="n"/>
      <c r="AC777" s="204" t="n"/>
      <c r="AD777" s="204" t="n"/>
      <c r="AE777" s="204" t="n"/>
      <c r="AF777" s="204" t="n"/>
      <c r="AG777" s="204" t="n"/>
    </row>
    <row r="778" ht="12.75" customHeight="1" s="205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  <c r="S778" s="204" t="n"/>
      <c r="T778" s="204" t="n"/>
      <c r="U778" s="204" t="n"/>
      <c r="V778" s="204" t="n"/>
      <c r="W778" s="204" t="n"/>
      <c r="X778" s="204" t="n"/>
      <c r="Y778" s="204" t="n"/>
      <c r="Z778" s="204" t="n"/>
      <c r="AA778" s="204" t="n"/>
      <c r="AB778" s="204" t="n"/>
      <c r="AC778" s="204" t="n"/>
      <c r="AD778" s="204" t="n"/>
      <c r="AE778" s="204" t="n"/>
      <c r="AF778" s="204" t="n"/>
      <c r="AG778" s="204" t="n"/>
    </row>
    <row r="779" ht="12.75" customHeight="1" s="205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  <c r="S779" s="204" t="n"/>
      <c r="T779" s="204" t="n"/>
      <c r="U779" s="204" t="n"/>
      <c r="V779" s="204" t="n"/>
      <c r="W779" s="204" t="n"/>
      <c r="X779" s="204" t="n"/>
      <c r="Y779" s="204" t="n"/>
      <c r="Z779" s="204" t="n"/>
      <c r="AA779" s="204" t="n"/>
      <c r="AB779" s="204" t="n"/>
      <c r="AC779" s="204" t="n"/>
      <c r="AD779" s="204" t="n"/>
      <c r="AE779" s="204" t="n"/>
      <c r="AF779" s="204" t="n"/>
      <c r="AG779" s="204" t="n"/>
    </row>
    <row r="780" ht="12.75" customHeight="1" s="205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  <c r="S780" s="204" t="n"/>
      <c r="T780" s="204" t="n"/>
      <c r="U780" s="204" t="n"/>
      <c r="V780" s="204" t="n"/>
      <c r="W780" s="204" t="n"/>
      <c r="X780" s="204" t="n"/>
      <c r="Y780" s="204" t="n"/>
      <c r="Z780" s="204" t="n"/>
      <c r="AA780" s="204" t="n"/>
      <c r="AB780" s="204" t="n"/>
      <c r="AC780" s="204" t="n"/>
      <c r="AD780" s="204" t="n"/>
      <c r="AE780" s="204" t="n"/>
      <c r="AF780" s="204" t="n"/>
      <c r="AG780" s="204" t="n"/>
    </row>
    <row r="781" ht="12.75" customHeight="1" s="205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  <c r="S781" s="204" t="n"/>
      <c r="T781" s="204" t="n"/>
      <c r="U781" s="204" t="n"/>
      <c r="V781" s="204" t="n"/>
      <c r="W781" s="204" t="n"/>
      <c r="X781" s="204" t="n"/>
      <c r="Y781" s="204" t="n"/>
      <c r="Z781" s="204" t="n"/>
      <c r="AA781" s="204" t="n"/>
      <c r="AB781" s="204" t="n"/>
      <c r="AC781" s="204" t="n"/>
      <c r="AD781" s="204" t="n"/>
      <c r="AE781" s="204" t="n"/>
      <c r="AF781" s="204" t="n"/>
      <c r="AG781" s="204" t="n"/>
    </row>
    <row r="782" ht="12.75" customHeight="1" s="205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  <c r="S782" s="204" t="n"/>
      <c r="T782" s="204" t="n"/>
      <c r="U782" s="204" t="n"/>
      <c r="V782" s="204" t="n"/>
      <c r="W782" s="204" t="n"/>
      <c r="X782" s="204" t="n"/>
      <c r="Y782" s="204" t="n"/>
      <c r="Z782" s="204" t="n"/>
      <c r="AA782" s="204" t="n"/>
      <c r="AB782" s="204" t="n"/>
      <c r="AC782" s="204" t="n"/>
      <c r="AD782" s="204" t="n"/>
      <c r="AE782" s="204" t="n"/>
      <c r="AF782" s="204" t="n"/>
      <c r="AG782" s="204" t="n"/>
    </row>
    <row r="783" ht="12.75" customHeight="1" s="205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  <c r="S783" s="204" t="n"/>
      <c r="T783" s="204" t="n"/>
      <c r="U783" s="204" t="n"/>
      <c r="V783" s="204" t="n"/>
      <c r="W783" s="204" t="n"/>
      <c r="X783" s="204" t="n"/>
      <c r="Y783" s="204" t="n"/>
      <c r="Z783" s="204" t="n"/>
      <c r="AA783" s="204" t="n"/>
      <c r="AB783" s="204" t="n"/>
      <c r="AC783" s="204" t="n"/>
      <c r="AD783" s="204" t="n"/>
      <c r="AE783" s="204" t="n"/>
      <c r="AF783" s="204" t="n"/>
      <c r="AG783" s="204" t="n"/>
    </row>
    <row r="784" ht="12.75" customHeight="1" s="205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  <c r="S784" s="204" t="n"/>
      <c r="T784" s="204" t="n"/>
      <c r="U784" s="204" t="n"/>
      <c r="V784" s="204" t="n"/>
      <c r="W784" s="204" t="n"/>
      <c r="X784" s="204" t="n"/>
      <c r="Y784" s="204" t="n"/>
      <c r="Z784" s="204" t="n"/>
      <c r="AA784" s="204" t="n"/>
      <c r="AB784" s="204" t="n"/>
      <c r="AC784" s="204" t="n"/>
      <c r="AD784" s="204" t="n"/>
      <c r="AE784" s="204" t="n"/>
      <c r="AF784" s="204" t="n"/>
      <c r="AG784" s="204" t="n"/>
    </row>
    <row r="785" ht="12.75" customHeight="1" s="205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  <c r="S785" s="204" t="n"/>
      <c r="T785" s="204" t="n"/>
      <c r="U785" s="204" t="n"/>
      <c r="V785" s="204" t="n"/>
      <c r="W785" s="204" t="n"/>
      <c r="X785" s="204" t="n"/>
      <c r="Y785" s="204" t="n"/>
      <c r="Z785" s="204" t="n"/>
      <c r="AA785" s="204" t="n"/>
      <c r="AB785" s="204" t="n"/>
      <c r="AC785" s="204" t="n"/>
      <c r="AD785" s="204" t="n"/>
      <c r="AE785" s="204" t="n"/>
      <c r="AF785" s="204" t="n"/>
      <c r="AG785" s="204" t="n"/>
    </row>
    <row r="786" ht="12.75" customHeight="1" s="205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  <c r="S786" s="204" t="n"/>
      <c r="T786" s="204" t="n"/>
      <c r="U786" s="204" t="n"/>
      <c r="V786" s="204" t="n"/>
      <c r="W786" s="204" t="n"/>
      <c r="X786" s="204" t="n"/>
      <c r="Y786" s="204" t="n"/>
      <c r="Z786" s="204" t="n"/>
      <c r="AA786" s="204" t="n"/>
      <c r="AB786" s="204" t="n"/>
      <c r="AC786" s="204" t="n"/>
      <c r="AD786" s="204" t="n"/>
      <c r="AE786" s="204" t="n"/>
      <c r="AF786" s="204" t="n"/>
      <c r="AG786" s="204" t="n"/>
    </row>
    <row r="787" ht="12.75" customHeight="1" s="205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  <c r="S787" s="204" t="n"/>
      <c r="T787" s="204" t="n"/>
      <c r="U787" s="204" t="n"/>
      <c r="V787" s="204" t="n"/>
      <c r="W787" s="204" t="n"/>
      <c r="X787" s="204" t="n"/>
      <c r="Y787" s="204" t="n"/>
      <c r="Z787" s="204" t="n"/>
      <c r="AA787" s="204" t="n"/>
      <c r="AB787" s="204" t="n"/>
      <c r="AC787" s="204" t="n"/>
      <c r="AD787" s="204" t="n"/>
      <c r="AE787" s="204" t="n"/>
      <c r="AF787" s="204" t="n"/>
      <c r="AG787" s="204" t="n"/>
    </row>
    <row r="788" ht="12.75" customHeight="1" s="205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  <c r="S788" s="204" t="n"/>
      <c r="T788" s="204" t="n"/>
      <c r="U788" s="204" t="n"/>
      <c r="V788" s="204" t="n"/>
      <c r="W788" s="204" t="n"/>
      <c r="X788" s="204" t="n"/>
      <c r="Y788" s="204" t="n"/>
      <c r="Z788" s="204" t="n"/>
      <c r="AA788" s="204" t="n"/>
      <c r="AB788" s="204" t="n"/>
      <c r="AC788" s="204" t="n"/>
      <c r="AD788" s="204" t="n"/>
      <c r="AE788" s="204" t="n"/>
      <c r="AF788" s="204" t="n"/>
      <c r="AG788" s="204" t="n"/>
    </row>
    <row r="789" ht="12.75" customHeight="1" s="205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  <c r="S789" s="204" t="n"/>
      <c r="T789" s="204" t="n"/>
      <c r="U789" s="204" t="n"/>
      <c r="V789" s="204" t="n"/>
      <c r="W789" s="204" t="n"/>
      <c r="X789" s="204" t="n"/>
      <c r="Y789" s="204" t="n"/>
      <c r="Z789" s="204" t="n"/>
      <c r="AA789" s="204" t="n"/>
      <c r="AB789" s="204" t="n"/>
      <c r="AC789" s="204" t="n"/>
      <c r="AD789" s="204" t="n"/>
      <c r="AE789" s="204" t="n"/>
      <c r="AF789" s="204" t="n"/>
      <c r="AG789" s="204" t="n"/>
    </row>
    <row r="790" ht="12.75" customHeight="1" s="205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  <c r="S790" s="204" t="n"/>
      <c r="T790" s="204" t="n"/>
      <c r="U790" s="204" t="n"/>
      <c r="V790" s="204" t="n"/>
      <c r="W790" s="204" t="n"/>
      <c r="X790" s="204" t="n"/>
      <c r="Y790" s="204" t="n"/>
      <c r="Z790" s="204" t="n"/>
      <c r="AA790" s="204" t="n"/>
      <c r="AB790" s="204" t="n"/>
      <c r="AC790" s="204" t="n"/>
      <c r="AD790" s="204" t="n"/>
      <c r="AE790" s="204" t="n"/>
      <c r="AF790" s="204" t="n"/>
      <c r="AG790" s="204" t="n"/>
    </row>
    <row r="791" ht="12.75" customHeight="1" s="205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  <c r="S791" s="204" t="n"/>
      <c r="T791" s="204" t="n"/>
      <c r="U791" s="204" t="n"/>
      <c r="V791" s="204" t="n"/>
      <c r="W791" s="204" t="n"/>
      <c r="X791" s="204" t="n"/>
      <c r="Y791" s="204" t="n"/>
      <c r="Z791" s="204" t="n"/>
      <c r="AA791" s="204" t="n"/>
      <c r="AB791" s="204" t="n"/>
      <c r="AC791" s="204" t="n"/>
      <c r="AD791" s="204" t="n"/>
      <c r="AE791" s="204" t="n"/>
      <c r="AF791" s="204" t="n"/>
      <c r="AG791" s="204" t="n"/>
    </row>
    <row r="792" ht="12.75" customHeight="1" s="205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  <c r="S792" s="204" t="n"/>
      <c r="T792" s="204" t="n"/>
      <c r="U792" s="204" t="n"/>
      <c r="V792" s="204" t="n"/>
      <c r="W792" s="204" t="n"/>
      <c r="X792" s="204" t="n"/>
      <c r="Y792" s="204" t="n"/>
      <c r="Z792" s="204" t="n"/>
      <c r="AA792" s="204" t="n"/>
      <c r="AB792" s="204" t="n"/>
      <c r="AC792" s="204" t="n"/>
      <c r="AD792" s="204" t="n"/>
      <c r="AE792" s="204" t="n"/>
      <c r="AF792" s="204" t="n"/>
      <c r="AG792" s="204" t="n"/>
    </row>
    <row r="793" ht="12.75" customHeight="1" s="205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  <c r="S793" s="204" t="n"/>
      <c r="T793" s="204" t="n"/>
      <c r="U793" s="204" t="n"/>
      <c r="V793" s="204" t="n"/>
      <c r="W793" s="204" t="n"/>
      <c r="X793" s="204" t="n"/>
      <c r="Y793" s="204" t="n"/>
      <c r="Z793" s="204" t="n"/>
      <c r="AA793" s="204" t="n"/>
      <c r="AB793" s="204" t="n"/>
      <c r="AC793" s="204" t="n"/>
      <c r="AD793" s="204" t="n"/>
      <c r="AE793" s="204" t="n"/>
      <c r="AF793" s="204" t="n"/>
      <c r="AG793" s="204" t="n"/>
    </row>
    <row r="794" ht="12.75" customHeight="1" s="205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  <c r="S794" s="204" t="n"/>
      <c r="T794" s="204" t="n"/>
      <c r="U794" s="204" t="n"/>
      <c r="V794" s="204" t="n"/>
      <c r="W794" s="204" t="n"/>
      <c r="X794" s="204" t="n"/>
      <c r="Y794" s="204" t="n"/>
      <c r="Z794" s="204" t="n"/>
      <c r="AA794" s="204" t="n"/>
      <c r="AB794" s="204" t="n"/>
      <c r="AC794" s="204" t="n"/>
      <c r="AD794" s="204" t="n"/>
      <c r="AE794" s="204" t="n"/>
      <c r="AF794" s="204" t="n"/>
      <c r="AG794" s="204" t="n"/>
    </row>
    <row r="795" ht="12.75" customHeight="1" s="205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  <c r="S795" s="204" t="n"/>
      <c r="T795" s="204" t="n"/>
      <c r="U795" s="204" t="n"/>
      <c r="V795" s="204" t="n"/>
      <c r="W795" s="204" t="n"/>
      <c r="X795" s="204" t="n"/>
      <c r="Y795" s="204" t="n"/>
      <c r="Z795" s="204" t="n"/>
      <c r="AA795" s="204" t="n"/>
      <c r="AB795" s="204" t="n"/>
      <c r="AC795" s="204" t="n"/>
      <c r="AD795" s="204" t="n"/>
      <c r="AE795" s="204" t="n"/>
      <c r="AF795" s="204" t="n"/>
      <c r="AG795" s="204" t="n"/>
    </row>
    <row r="796" ht="12.75" customHeight="1" s="205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  <c r="S796" s="204" t="n"/>
      <c r="T796" s="204" t="n"/>
      <c r="U796" s="204" t="n"/>
      <c r="V796" s="204" t="n"/>
      <c r="W796" s="204" t="n"/>
      <c r="X796" s="204" t="n"/>
      <c r="Y796" s="204" t="n"/>
      <c r="Z796" s="204" t="n"/>
      <c r="AA796" s="204" t="n"/>
      <c r="AB796" s="204" t="n"/>
      <c r="AC796" s="204" t="n"/>
      <c r="AD796" s="204" t="n"/>
      <c r="AE796" s="204" t="n"/>
      <c r="AF796" s="204" t="n"/>
      <c r="AG796" s="204" t="n"/>
    </row>
    <row r="797" ht="12.75" customHeight="1" s="205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  <c r="S797" s="204" t="n"/>
      <c r="T797" s="204" t="n"/>
      <c r="U797" s="204" t="n"/>
      <c r="V797" s="204" t="n"/>
      <c r="W797" s="204" t="n"/>
      <c r="X797" s="204" t="n"/>
      <c r="Y797" s="204" t="n"/>
      <c r="Z797" s="204" t="n"/>
      <c r="AA797" s="204" t="n"/>
      <c r="AB797" s="204" t="n"/>
      <c r="AC797" s="204" t="n"/>
      <c r="AD797" s="204" t="n"/>
      <c r="AE797" s="204" t="n"/>
      <c r="AF797" s="204" t="n"/>
      <c r="AG797" s="204" t="n"/>
    </row>
    <row r="798" ht="12.75" customHeight="1" s="205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  <c r="S798" s="204" t="n"/>
      <c r="T798" s="204" t="n"/>
      <c r="U798" s="204" t="n"/>
      <c r="V798" s="204" t="n"/>
      <c r="W798" s="204" t="n"/>
      <c r="X798" s="204" t="n"/>
      <c r="Y798" s="204" t="n"/>
      <c r="Z798" s="204" t="n"/>
      <c r="AA798" s="204" t="n"/>
      <c r="AB798" s="204" t="n"/>
      <c r="AC798" s="204" t="n"/>
      <c r="AD798" s="204" t="n"/>
      <c r="AE798" s="204" t="n"/>
      <c r="AF798" s="204" t="n"/>
      <c r="AG798" s="204" t="n"/>
    </row>
    <row r="799" ht="12.75" customHeight="1" s="205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  <c r="S799" s="204" t="n"/>
      <c r="T799" s="204" t="n"/>
      <c r="U799" s="204" t="n"/>
      <c r="V799" s="204" t="n"/>
      <c r="W799" s="204" t="n"/>
      <c r="X799" s="204" t="n"/>
      <c r="Y799" s="204" t="n"/>
      <c r="Z799" s="204" t="n"/>
      <c r="AA799" s="204" t="n"/>
      <c r="AB799" s="204" t="n"/>
      <c r="AC799" s="204" t="n"/>
      <c r="AD799" s="204" t="n"/>
      <c r="AE799" s="204" t="n"/>
      <c r="AF799" s="204" t="n"/>
      <c r="AG799" s="204" t="n"/>
    </row>
    <row r="800" ht="12.75" customHeight="1" s="205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  <c r="S800" s="204" t="n"/>
      <c r="T800" s="204" t="n"/>
      <c r="U800" s="204" t="n"/>
      <c r="V800" s="204" t="n"/>
      <c r="W800" s="204" t="n"/>
      <c r="X800" s="204" t="n"/>
      <c r="Y800" s="204" t="n"/>
      <c r="Z800" s="204" t="n"/>
      <c r="AA800" s="204" t="n"/>
      <c r="AB800" s="204" t="n"/>
      <c r="AC800" s="204" t="n"/>
      <c r="AD800" s="204" t="n"/>
      <c r="AE800" s="204" t="n"/>
      <c r="AF800" s="204" t="n"/>
      <c r="AG800" s="204" t="n"/>
    </row>
    <row r="801" ht="12.75" customHeight="1" s="205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  <c r="S801" s="204" t="n"/>
      <c r="T801" s="204" t="n"/>
      <c r="U801" s="204" t="n"/>
      <c r="V801" s="204" t="n"/>
      <c r="W801" s="204" t="n"/>
      <c r="X801" s="204" t="n"/>
      <c r="Y801" s="204" t="n"/>
      <c r="Z801" s="204" t="n"/>
      <c r="AA801" s="204" t="n"/>
      <c r="AB801" s="204" t="n"/>
      <c r="AC801" s="204" t="n"/>
      <c r="AD801" s="204" t="n"/>
      <c r="AE801" s="204" t="n"/>
      <c r="AF801" s="204" t="n"/>
      <c r="AG801" s="204" t="n"/>
    </row>
    <row r="802" ht="12.75" customHeight="1" s="205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  <c r="S802" s="204" t="n"/>
      <c r="T802" s="204" t="n"/>
      <c r="U802" s="204" t="n"/>
      <c r="V802" s="204" t="n"/>
      <c r="W802" s="204" t="n"/>
      <c r="X802" s="204" t="n"/>
      <c r="Y802" s="204" t="n"/>
      <c r="Z802" s="204" t="n"/>
      <c r="AA802" s="204" t="n"/>
      <c r="AB802" s="204" t="n"/>
      <c r="AC802" s="204" t="n"/>
      <c r="AD802" s="204" t="n"/>
      <c r="AE802" s="204" t="n"/>
      <c r="AF802" s="204" t="n"/>
      <c r="AG802" s="204" t="n"/>
    </row>
    <row r="803" ht="12.75" customHeight="1" s="205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  <c r="S803" s="204" t="n"/>
      <c r="T803" s="204" t="n"/>
      <c r="U803" s="204" t="n"/>
      <c r="V803" s="204" t="n"/>
      <c r="W803" s="204" t="n"/>
      <c r="X803" s="204" t="n"/>
      <c r="Y803" s="204" t="n"/>
      <c r="Z803" s="204" t="n"/>
      <c r="AA803" s="204" t="n"/>
      <c r="AB803" s="204" t="n"/>
      <c r="AC803" s="204" t="n"/>
      <c r="AD803" s="204" t="n"/>
      <c r="AE803" s="204" t="n"/>
      <c r="AF803" s="204" t="n"/>
      <c r="AG803" s="204" t="n"/>
    </row>
    <row r="804" ht="12.75" customHeight="1" s="205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  <c r="S804" s="204" t="n"/>
      <c r="T804" s="204" t="n"/>
      <c r="U804" s="204" t="n"/>
      <c r="V804" s="204" t="n"/>
      <c r="W804" s="204" t="n"/>
      <c r="X804" s="204" t="n"/>
      <c r="Y804" s="204" t="n"/>
      <c r="Z804" s="204" t="n"/>
      <c r="AA804" s="204" t="n"/>
      <c r="AB804" s="204" t="n"/>
      <c r="AC804" s="204" t="n"/>
      <c r="AD804" s="204" t="n"/>
      <c r="AE804" s="204" t="n"/>
      <c r="AF804" s="204" t="n"/>
      <c r="AG804" s="204" t="n"/>
    </row>
    <row r="805" ht="12.75" customHeight="1" s="205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  <c r="S805" s="204" t="n"/>
      <c r="T805" s="204" t="n"/>
      <c r="U805" s="204" t="n"/>
      <c r="V805" s="204" t="n"/>
      <c r="W805" s="204" t="n"/>
      <c r="X805" s="204" t="n"/>
      <c r="Y805" s="204" t="n"/>
      <c r="Z805" s="204" t="n"/>
      <c r="AA805" s="204" t="n"/>
      <c r="AB805" s="204" t="n"/>
      <c r="AC805" s="204" t="n"/>
      <c r="AD805" s="204" t="n"/>
      <c r="AE805" s="204" t="n"/>
      <c r="AF805" s="204" t="n"/>
      <c r="AG805" s="204" t="n"/>
    </row>
    <row r="806" ht="12.75" customHeight="1" s="205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  <c r="S806" s="204" t="n"/>
      <c r="T806" s="204" t="n"/>
      <c r="U806" s="204" t="n"/>
      <c r="V806" s="204" t="n"/>
      <c r="W806" s="204" t="n"/>
      <c r="X806" s="204" t="n"/>
      <c r="Y806" s="204" t="n"/>
      <c r="Z806" s="204" t="n"/>
      <c r="AA806" s="204" t="n"/>
      <c r="AB806" s="204" t="n"/>
      <c r="AC806" s="204" t="n"/>
      <c r="AD806" s="204" t="n"/>
      <c r="AE806" s="204" t="n"/>
      <c r="AF806" s="204" t="n"/>
      <c r="AG806" s="204" t="n"/>
    </row>
    <row r="807" ht="12.75" customHeight="1" s="205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  <c r="S807" s="204" t="n"/>
      <c r="T807" s="204" t="n"/>
      <c r="U807" s="204" t="n"/>
      <c r="V807" s="204" t="n"/>
      <c r="W807" s="204" t="n"/>
      <c r="X807" s="204" t="n"/>
      <c r="Y807" s="204" t="n"/>
      <c r="Z807" s="204" t="n"/>
      <c r="AA807" s="204" t="n"/>
      <c r="AB807" s="204" t="n"/>
      <c r="AC807" s="204" t="n"/>
      <c r="AD807" s="204" t="n"/>
      <c r="AE807" s="204" t="n"/>
      <c r="AF807" s="204" t="n"/>
      <c r="AG807" s="204" t="n"/>
    </row>
    <row r="808" ht="12.75" customHeight="1" s="205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  <c r="S808" s="204" t="n"/>
      <c r="T808" s="204" t="n"/>
      <c r="U808" s="204" t="n"/>
      <c r="V808" s="204" t="n"/>
      <c r="W808" s="204" t="n"/>
      <c r="X808" s="204" t="n"/>
      <c r="Y808" s="204" t="n"/>
      <c r="Z808" s="204" t="n"/>
      <c r="AA808" s="204" t="n"/>
      <c r="AB808" s="204" t="n"/>
      <c r="AC808" s="204" t="n"/>
      <c r="AD808" s="204" t="n"/>
      <c r="AE808" s="204" t="n"/>
      <c r="AF808" s="204" t="n"/>
      <c r="AG808" s="204" t="n"/>
    </row>
    <row r="809" ht="12.75" customHeight="1" s="205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  <c r="S809" s="204" t="n"/>
      <c r="T809" s="204" t="n"/>
      <c r="U809" s="204" t="n"/>
      <c r="V809" s="204" t="n"/>
      <c r="W809" s="204" t="n"/>
      <c r="X809" s="204" t="n"/>
      <c r="Y809" s="204" t="n"/>
      <c r="Z809" s="204" t="n"/>
      <c r="AA809" s="204" t="n"/>
      <c r="AB809" s="204" t="n"/>
      <c r="AC809" s="204" t="n"/>
      <c r="AD809" s="204" t="n"/>
      <c r="AE809" s="204" t="n"/>
      <c r="AF809" s="204" t="n"/>
      <c r="AG809" s="204" t="n"/>
    </row>
    <row r="810" ht="12.75" customHeight="1" s="205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  <c r="S810" s="204" t="n"/>
      <c r="T810" s="204" t="n"/>
      <c r="U810" s="204" t="n"/>
      <c r="V810" s="204" t="n"/>
      <c r="W810" s="204" t="n"/>
      <c r="X810" s="204" t="n"/>
      <c r="Y810" s="204" t="n"/>
      <c r="Z810" s="204" t="n"/>
      <c r="AA810" s="204" t="n"/>
      <c r="AB810" s="204" t="n"/>
      <c r="AC810" s="204" t="n"/>
      <c r="AD810" s="204" t="n"/>
      <c r="AE810" s="204" t="n"/>
      <c r="AF810" s="204" t="n"/>
      <c r="AG810" s="204" t="n"/>
    </row>
    <row r="811" ht="12.75" customHeight="1" s="205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  <c r="S811" s="204" t="n"/>
      <c r="T811" s="204" t="n"/>
      <c r="U811" s="204" t="n"/>
      <c r="V811" s="204" t="n"/>
      <c r="W811" s="204" t="n"/>
      <c r="X811" s="204" t="n"/>
      <c r="Y811" s="204" t="n"/>
      <c r="Z811" s="204" t="n"/>
      <c r="AA811" s="204" t="n"/>
      <c r="AB811" s="204" t="n"/>
      <c r="AC811" s="204" t="n"/>
      <c r="AD811" s="204" t="n"/>
      <c r="AE811" s="204" t="n"/>
      <c r="AF811" s="204" t="n"/>
      <c r="AG811" s="204" t="n"/>
    </row>
    <row r="812" ht="12.75" customHeight="1" s="205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  <c r="S812" s="204" t="n"/>
      <c r="T812" s="204" t="n"/>
      <c r="U812" s="204" t="n"/>
      <c r="V812" s="204" t="n"/>
      <c r="W812" s="204" t="n"/>
      <c r="X812" s="204" t="n"/>
      <c r="Y812" s="204" t="n"/>
      <c r="Z812" s="204" t="n"/>
      <c r="AA812" s="204" t="n"/>
      <c r="AB812" s="204" t="n"/>
      <c r="AC812" s="204" t="n"/>
      <c r="AD812" s="204" t="n"/>
      <c r="AE812" s="204" t="n"/>
      <c r="AF812" s="204" t="n"/>
      <c r="AG812" s="204" t="n"/>
    </row>
    <row r="813" ht="12.75" customHeight="1" s="205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  <c r="S813" s="204" t="n"/>
      <c r="T813" s="204" t="n"/>
      <c r="U813" s="204" t="n"/>
      <c r="V813" s="204" t="n"/>
      <c r="W813" s="204" t="n"/>
      <c r="X813" s="204" t="n"/>
      <c r="Y813" s="204" t="n"/>
      <c r="Z813" s="204" t="n"/>
      <c r="AA813" s="204" t="n"/>
      <c r="AB813" s="204" t="n"/>
      <c r="AC813" s="204" t="n"/>
      <c r="AD813" s="204" t="n"/>
      <c r="AE813" s="204" t="n"/>
      <c r="AF813" s="204" t="n"/>
      <c r="AG813" s="204" t="n"/>
    </row>
    <row r="814" ht="12.75" customHeight="1" s="205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  <c r="S814" s="204" t="n"/>
      <c r="T814" s="204" t="n"/>
      <c r="U814" s="204" t="n"/>
      <c r="V814" s="204" t="n"/>
      <c r="W814" s="204" t="n"/>
      <c r="X814" s="204" t="n"/>
      <c r="Y814" s="204" t="n"/>
      <c r="Z814" s="204" t="n"/>
      <c r="AA814" s="204" t="n"/>
      <c r="AB814" s="204" t="n"/>
      <c r="AC814" s="204" t="n"/>
      <c r="AD814" s="204" t="n"/>
      <c r="AE814" s="204" t="n"/>
      <c r="AF814" s="204" t="n"/>
      <c r="AG814" s="204" t="n"/>
    </row>
    <row r="815" ht="12.75" customHeight="1" s="205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  <c r="S815" s="204" t="n"/>
      <c r="T815" s="204" t="n"/>
      <c r="U815" s="204" t="n"/>
      <c r="V815" s="204" t="n"/>
      <c r="W815" s="204" t="n"/>
      <c r="X815" s="204" t="n"/>
      <c r="Y815" s="204" t="n"/>
      <c r="Z815" s="204" t="n"/>
      <c r="AA815" s="204" t="n"/>
      <c r="AB815" s="204" t="n"/>
      <c r="AC815" s="204" t="n"/>
      <c r="AD815" s="204" t="n"/>
      <c r="AE815" s="204" t="n"/>
      <c r="AF815" s="204" t="n"/>
      <c r="AG815" s="204" t="n"/>
    </row>
    <row r="816" ht="12.75" customHeight="1" s="205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  <c r="S816" s="204" t="n"/>
      <c r="T816" s="204" t="n"/>
      <c r="U816" s="204" t="n"/>
      <c r="V816" s="204" t="n"/>
      <c r="W816" s="204" t="n"/>
      <c r="X816" s="204" t="n"/>
      <c r="Y816" s="204" t="n"/>
      <c r="Z816" s="204" t="n"/>
      <c r="AA816" s="204" t="n"/>
      <c r="AB816" s="204" t="n"/>
      <c r="AC816" s="204" t="n"/>
      <c r="AD816" s="204" t="n"/>
      <c r="AE816" s="204" t="n"/>
      <c r="AF816" s="204" t="n"/>
      <c r="AG816" s="204" t="n"/>
    </row>
    <row r="817" ht="12.75" customHeight="1" s="205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  <c r="S817" s="204" t="n"/>
      <c r="T817" s="204" t="n"/>
      <c r="U817" s="204" t="n"/>
      <c r="V817" s="204" t="n"/>
      <c r="W817" s="204" t="n"/>
      <c r="X817" s="204" t="n"/>
      <c r="Y817" s="204" t="n"/>
      <c r="Z817" s="204" t="n"/>
      <c r="AA817" s="204" t="n"/>
      <c r="AB817" s="204" t="n"/>
      <c r="AC817" s="204" t="n"/>
      <c r="AD817" s="204" t="n"/>
      <c r="AE817" s="204" t="n"/>
      <c r="AF817" s="204" t="n"/>
      <c r="AG817" s="204" t="n"/>
    </row>
    <row r="818" ht="12.75" customHeight="1" s="205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  <c r="S818" s="204" t="n"/>
      <c r="T818" s="204" t="n"/>
      <c r="U818" s="204" t="n"/>
      <c r="V818" s="204" t="n"/>
      <c r="W818" s="204" t="n"/>
      <c r="X818" s="204" t="n"/>
      <c r="Y818" s="204" t="n"/>
      <c r="Z818" s="204" t="n"/>
      <c r="AA818" s="204" t="n"/>
      <c r="AB818" s="204" t="n"/>
      <c r="AC818" s="204" t="n"/>
      <c r="AD818" s="204" t="n"/>
      <c r="AE818" s="204" t="n"/>
      <c r="AF818" s="204" t="n"/>
      <c r="AG818" s="204" t="n"/>
    </row>
    <row r="819" ht="12.75" customHeight="1" s="205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  <c r="S819" s="204" t="n"/>
      <c r="T819" s="204" t="n"/>
      <c r="U819" s="204" t="n"/>
      <c r="V819" s="204" t="n"/>
      <c r="W819" s="204" t="n"/>
      <c r="X819" s="204" t="n"/>
      <c r="Y819" s="204" t="n"/>
      <c r="Z819" s="204" t="n"/>
      <c r="AA819" s="204" t="n"/>
      <c r="AB819" s="204" t="n"/>
      <c r="AC819" s="204" t="n"/>
      <c r="AD819" s="204" t="n"/>
      <c r="AE819" s="204" t="n"/>
      <c r="AF819" s="204" t="n"/>
      <c r="AG819" s="204" t="n"/>
    </row>
    <row r="820" ht="12.75" customHeight="1" s="205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  <c r="S820" s="204" t="n"/>
      <c r="T820" s="204" t="n"/>
      <c r="U820" s="204" t="n"/>
      <c r="V820" s="204" t="n"/>
      <c r="W820" s="204" t="n"/>
      <c r="X820" s="204" t="n"/>
      <c r="Y820" s="204" t="n"/>
      <c r="Z820" s="204" t="n"/>
      <c r="AA820" s="204" t="n"/>
      <c r="AB820" s="204" t="n"/>
      <c r="AC820" s="204" t="n"/>
      <c r="AD820" s="204" t="n"/>
      <c r="AE820" s="204" t="n"/>
      <c r="AF820" s="204" t="n"/>
      <c r="AG820" s="204" t="n"/>
    </row>
    <row r="821" ht="12.75" customHeight="1" s="205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  <c r="S821" s="204" t="n"/>
      <c r="T821" s="204" t="n"/>
      <c r="U821" s="204" t="n"/>
      <c r="V821" s="204" t="n"/>
      <c r="W821" s="204" t="n"/>
      <c r="X821" s="204" t="n"/>
      <c r="Y821" s="204" t="n"/>
      <c r="Z821" s="204" t="n"/>
      <c r="AA821" s="204" t="n"/>
      <c r="AB821" s="204" t="n"/>
      <c r="AC821" s="204" t="n"/>
      <c r="AD821" s="204" t="n"/>
      <c r="AE821" s="204" t="n"/>
      <c r="AF821" s="204" t="n"/>
      <c r="AG821" s="204" t="n"/>
    </row>
    <row r="822" ht="12.75" customHeight="1" s="205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  <c r="S822" s="204" t="n"/>
      <c r="T822" s="204" t="n"/>
      <c r="U822" s="204" t="n"/>
      <c r="V822" s="204" t="n"/>
      <c r="W822" s="204" t="n"/>
      <c r="X822" s="204" t="n"/>
      <c r="Y822" s="204" t="n"/>
      <c r="Z822" s="204" t="n"/>
      <c r="AA822" s="204" t="n"/>
      <c r="AB822" s="204" t="n"/>
      <c r="AC822" s="204" t="n"/>
      <c r="AD822" s="204" t="n"/>
      <c r="AE822" s="204" t="n"/>
      <c r="AF822" s="204" t="n"/>
      <c r="AG822" s="204" t="n"/>
    </row>
    <row r="823" ht="12.75" customHeight="1" s="205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  <c r="S823" s="204" t="n"/>
      <c r="T823" s="204" t="n"/>
      <c r="U823" s="204" t="n"/>
      <c r="V823" s="204" t="n"/>
      <c r="W823" s="204" t="n"/>
      <c r="X823" s="204" t="n"/>
      <c r="Y823" s="204" t="n"/>
      <c r="Z823" s="204" t="n"/>
      <c r="AA823" s="204" t="n"/>
      <c r="AB823" s="204" t="n"/>
      <c r="AC823" s="204" t="n"/>
      <c r="AD823" s="204" t="n"/>
      <c r="AE823" s="204" t="n"/>
      <c r="AF823" s="204" t="n"/>
      <c r="AG823" s="204" t="n"/>
    </row>
    <row r="824" ht="12.75" customHeight="1" s="205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  <c r="S824" s="204" t="n"/>
      <c r="T824" s="204" t="n"/>
      <c r="U824" s="204" t="n"/>
      <c r="V824" s="204" t="n"/>
      <c r="W824" s="204" t="n"/>
      <c r="X824" s="204" t="n"/>
      <c r="Y824" s="204" t="n"/>
      <c r="Z824" s="204" t="n"/>
      <c r="AA824" s="204" t="n"/>
      <c r="AB824" s="204" t="n"/>
      <c r="AC824" s="204" t="n"/>
      <c r="AD824" s="204" t="n"/>
      <c r="AE824" s="204" t="n"/>
      <c r="AF824" s="204" t="n"/>
      <c r="AG824" s="204" t="n"/>
    </row>
    <row r="825" ht="12.75" customHeight="1" s="205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  <c r="S825" s="204" t="n"/>
      <c r="T825" s="204" t="n"/>
      <c r="U825" s="204" t="n"/>
      <c r="V825" s="204" t="n"/>
      <c r="W825" s="204" t="n"/>
      <c r="X825" s="204" t="n"/>
      <c r="Y825" s="204" t="n"/>
      <c r="Z825" s="204" t="n"/>
      <c r="AA825" s="204" t="n"/>
      <c r="AB825" s="204" t="n"/>
      <c r="AC825" s="204" t="n"/>
      <c r="AD825" s="204" t="n"/>
      <c r="AE825" s="204" t="n"/>
      <c r="AF825" s="204" t="n"/>
      <c r="AG825" s="204" t="n"/>
    </row>
    <row r="826" ht="12.75" customHeight="1" s="205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  <c r="S826" s="204" t="n"/>
      <c r="T826" s="204" t="n"/>
      <c r="U826" s="204" t="n"/>
      <c r="V826" s="204" t="n"/>
      <c r="W826" s="204" t="n"/>
      <c r="X826" s="204" t="n"/>
      <c r="Y826" s="204" t="n"/>
      <c r="Z826" s="204" t="n"/>
      <c r="AA826" s="204" t="n"/>
      <c r="AB826" s="204" t="n"/>
      <c r="AC826" s="204" t="n"/>
      <c r="AD826" s="204" t="n"/>
      <c r="AE826" s="204" t="n"/>
      <c r="AF826" s="204" t="n"/>
      <c r="AG826" s="204" t="n"/>
    </row>
    <row r="827" ht="12.75" customHeight="1" s="205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  <c r="S827" s="204" t="n"/>
      <c r="T827" s="204" t="n"/>
      <c r="U827" s="204" t="n"/>
      <c r="V827" s="204" t="n"/>
      <c r="W827" s="204" t="n"/>
      <c r="X827" s="204" t="n"/>
      <c r="Y827" s="204" t="n"/>
      <c r="Z827" s="204" t="n"/>
      <c r="AA827" s="204" t="n"/>
      <c r="AB827" s="204" t="n"/>
      <c r="AC827" s="204" t="n"/>
      <c r="AD827" s="204" t="n"/>
      <c r="AE827" s="204" t="n"/>
      <c r="AF827" s="204" t="n"/>
      <c r="AG827" s="204" t="n"/>
    </row>
    <row r="828" ht="12.75" customHeight="1" s="205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  <c r="S828" s="204" t="n"/>
      <c r="T828" s="204" t="n"/>
      <c r="U828" s="204" t="n"/>
      <c r="V828" s="204" t="n"/>
      <c r="W828" s="204" t="n"/>
      <c r="X828" s="204" t="n"/>
      <c r="Y828" s="204" t="n"/>
      <c r="Z828" s="204" t="n"/>
      <c r="AA828" s="204" t="n"/>
      <c r="AB828" s="204" t="n"/>
      <c r="AC828" s="204" t="n"/>
      <c r="AD828" s="204" t="n"/>
      <c r="AE828" s="204" t="n"/>
      <c r="AF828" s="204" t="n"/>
      <c r="AG828" s="204" t="n"/>
    </row>
    <row r="829" ht="12.75" customHeight="1" s="205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  <c r="S829" s="204" t="n"/>
      <c r="T829" s="204" t="n"/>
      <c r="U829" s="204" t="n"/>
      <c r="V829" s="204" t="n"/>
      <c r="W829" s="204" t="n"/>
      <c r="X829" s="204" t="n"/>
      <c r="Y829" s="204" t="n"/>
      <c r="Z829" s="204" t="n"/>
      <c r="AA829" s="204" t="n"/>
      <c r="AB829" s="204" t="n"/>
      <c r="AC829" s="204" t="n"/>
      <c r="AD829" s="204" t="n"/>
      <c r="AE829" s="204" t="n"/>
      <c r="AF829" s="204" t="n"/>
      <c r="AG829" s="204" t="n"/>
    </row>
    <row r="830" ht="12.75" customHeight="1" s="205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  <c r="S830" s="204" t="n"/>
      <c r="T830" s="204" t="n"/>
      <c r="U830" s="204" t="n"/>
      <c r="V830" s="204" t="n"/>
      <c r="W830" s="204" t="n"/>
      <c r="X830" s="204" t="n"/>
      <c r="Y830" s="204" t="n"/>
      <c r="Z830" s="204" t="n"/>
      <c r="AA830" s="204" t="n"/>
      <c r="AB830" s="204" t="n"/>
      <c r="AC830" s="204" t="n"/>
      <c r="AD830" s="204" t="n"/>
      <c r="AE830" s="204" t="n"/>
      <c r="AF830" s="204" t="n"/>
      <c r="AG830" s="204" t="n"/>
    </row>
    <row r="831" ht="12.75" customHeight="1" s="205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  <c r="S831" s="204" t="n"/>
      <c r="T831" s="204" t="n"/>
      <c r="U831" s="204" t="n"/>
      <c r="V831" s="204" t="n"/>
      <c r="W831" s="204" t="n"/>
      <c r="X831" s="204" t="n"/>
      <c r="Y831" s="204" t="n"/>
      <c r="Z831" s="204" t="n"/>
      <c r="AA831" s="204" t="n"/>
      <c r="AB831" s="204" t="n"/>
      <c r="AC831" s="204" t="n"/>
      <c r="AD831" s="204" t="n"/>
      <c r="AE831" s="204" t="n"/>
      <c r="AF831" s="204" t="n"/>
      <c r="AG831" s="204" t="n"/>
    </row>
    <row r="832" ht="12.75" customHeight="1" s="205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  <c r="S832" s="204" t="n"/>
      <c r="T832" s="204" t="n"/>
      <c r="U832" s="204" t="n"/>
      <c r="V832" s="204" t="n"/>
      <c r="W832" s="204" t="n"/>
      <c r="X832" s="204" t="n"/>
      <c r="Y832" s="204" t="n"/>
      <c r="Z832" s="204" t="n"/>
      <c r="AA832" s="204" t="n"/>
      <c r="AB832" s="204" t="n"/>
      <c r="AC832" s="204" t="n"/>
      <c r="AD832" s="204" t="n"/>
      <c r="AE832" s="204" t="n"/>
      <c r="AF832" s="204" t="n"/>
      <c r="AG832" s="204" t="n"/>
    </row>
    <row r="833" ht="12.75" customHeight="1" s="205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  <c r="S833" s="204" t="n"/>
      <c r="T833" s="204" t="n"/>
      <c r="U833" s="204" t="n"/>
      <c r="V833" s="204" t="n"/>
      <c r="W833" s="204" t="n"/>
      <c r="X833" s="204" t="n"/>
      <c r="Y833" s="204" t="n"/>
      <c r="Z833" s="204" t="n"/>
      <c r="AA833" s="204" t="n"/>
      <c r="AB833" s="204" t="n"/>
      <c r="AC833" s="204" t="n"/>
      <c r="AD833" s="204" t="n"/>
      <c r="AE833" s="204" t="n"/>
      <c r="AF833" s="204" t="n"/>
      <c r="AG833" s="204" t="n"/>
    </row>
    <row r="834" ht="12.75" customHeight="1" s="205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  <c r="S834" s="204" t="n"/>
      <c r="T834" s="204" t="n"/>
      <c r="U834" s="204" t="n"/>
      <c r="V834" s="204" t="n"/>
      <c r="W834" s="204" t="n"/>
      <c r="X834" s="204" t="n"/>
      <c r="Y834" s="204" t="n"/>
      <c r="Z834" s="204" t="n"/>
      <c r="AA834" s="204" t="n"/>
      <c r="AB834" s="204" t="n"/>
      <c r="AC834" s="204" t="n"/>
      <c r="AD834" s="204" t="n"/>
      <c r="AE834" s="204" t="n"/>
      <c r="AF834" s="204" t="n"/>
      <c r="AG834" s="204" t="n"/>
    </row>
    <row r="835" ht="12.75" customHeight="1" s="205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  <c r="S835" s="204" t="n"/>
      <c r="T835" s="204" t="n"/>
      <c r="U835" s="204" t="n"/>
      <c r="V835" s="204" t="n"/>
      <c r="W835" s="204" t="n"/>
      <c r="X835" s="204" t="n"/>
      <c r="Y835" s="204" t="n"/>
      <c r="Z835" s="204" t="n"/>
      <c r="AA835" s="204" t="n"/>
      <c r="AB835" s="204" t="n"/>
      <c r="AC835" s="204" t="n"/>
      <c r="AD835" s="204" t="n"/>
      <c r="AE835" s="204" t="n"/>
      <c r="AF835" s="204" t="n"/>
      <c r="AG835" s="204" t="n"/>
    </row>
    <row r="836" ht="12.75" customHeight="1" s="205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  <c r="S836" s="204" t="n"/>
      <c r="T836" s="204" t="n"/>
      <c r="U836" s="204" t="n"/>
      <c r="V836" s="204" t="n"/>
      <c r="W836" s="204" t="n"/>
      <c r="X836" s="204" t="n"/>
      <c r="Y836" s="204" t="n"/>
      <c r="Z836" s="204" t="n"/>
      <c r="AA836" s="204" t="n"/>
      <c r="AB836" s="204" t="n"/>
      <c r="AC836" s="204" t="n"/>
      <c r="AD836" s="204" t="n"/>
      <c r="AE836" s="204" t="n"/>
      <c r="AF836" s="204" t="n"/>
      <c r="AG836" s="204" t="n"/>
    </row>
    <row r="837" ht="12.75" customHeight="1" s="205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  <c r="S837" s="204" t="n"/>
      <c r="T837" s="204" t="n"/>
      <c r="U837" s="204" t="n"/>
      <c r="V837" s="204" t="n"/>
      <c r="W837" s="204" t="n"/>
      <c r="X837" s="204" t="n"/>
      <c r="Y837" s="204" t="n"/>
      <c r="Z837" s="204" t="n"/>
      <c r="AA837" s="204" t="n"/>
      <c r="AB837" s="204" t="n"/>
      <c r="AC837" s="204" t="n"/>
      <c r="AD837" s="204" t="n"/>
      <c r="AE837" s="204" t="n"/>
      <c r="AF837" s="204" t="n"/>
      <c r="AG837" s="204" t="n"/>
    </row>
    <row r="838" ht="12.75" customHeight="1" s="205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  <c r="S838" s="204" t="n"/>
      <c r="T838" s="204" t="n"/>
      <c r="U838" s="204" t="n"/>
      <c r="V838" s="204" t="n"/>
      <c r="W838" s="204" t="n"/>
      <c r="X838" s="204" t="n"/>
      <c r="Y838" s="204" t="n"/>
      <c r="Z838" s="204" t="n"/>
      <c r="AA838" s="204" t="n"/>
      <c r="AB838" s="204" t="n"/>
      <c r="AC838" s="204" t="n"/>
      <c r="AD838" s="204" t="n"/>
      <c r="AE838" s="204" t="n"/>
      <c r="AF838" s="204" t="n"/>
      <c r="AG838" s="204" t="n"/>
    </row>
    <row r="839" ht="12.75" customHeight="1" s="205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  <c r="S839" s="204" t="n"/>
      <c r="T839" s="204" t="n"/>
      <c r="U839" s="204" t="n"/>
      <c r="V839" s="204" t="n"/>
      <c r="W839" s="204" t="n"/>
      <c r="X839" s="204" t="n"/>
      <c r="Y839" s="204" t="n"/>
      <c r="Z839" s="204" t="n"/>
      <c r="AA839" s="204" t="n"/>
      <c r="AB839" s="204" t="n"/>
      <c r="AC839" s="204" t="n"/>
      <c r="AD839" s="204" t="n"/>
      <c r="AE839" s="204" t="n"/>
      <c r="AF839" s="204" t="n"/>
      <c r="AG839" s="204" t="n"/>
    </row>
    <row r="840" ht="12.75" customHeight="1" s="205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  <c r="S840" s="204" t="n"/>
      <c r="T840" s="204" t="n"/>
      <c r="U840" s="204" t="n"/>
      <c r="V840" s="204" t="n"/>
      <c r="W840" s="204" t="n"/>
      <c r="X840" s="204" t="n"/>
      <c r="Y840" s="204" t="n"/>
      <c r="Z840" s="204" t="n"/>
      <c r="AA840" s="204" t="n"/>
      <c r="AB840" s="204" t="n"/>
      <c r="AC840" s="204" t="n"/>
      <c r="AD840" s="204" t="n"/>
      <c r="AE840" s="204" t="n"/>
      <c r="AF840" s="204" t="n"/>
      <c r="AG840" s="204" t="n"/>
    </row>
    <row r="841" ht="12.75" customHeight="1" s="205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  <c r="S841" s="204" t="n"/>
      <c r="T841" s="204" t="n"/>
      <c r="U841" s="204" t="n"/>
      <c r="V841" s="204" t="n"/>
      <c r="W841" s="204" t="n"/>
      <c r="X841" s="204" t="n"/>
      <c r="Y841" s="204" t="n"/>
      <c r="Z841" s="204" t="n"/>
      <c r="AA841" s="204" t="n"/>
      <c r="AB841" s="204" t="n"/>
      <c r="AC841" s="204" t="n"/>
      <c r="AD841" s="204" t="n"/>
      <c r="AE841" s="204" t="n"/>
      <c r="AF841" s="204" t="n"/>
      <c r="AG841" s="204" t="n"/>
    </row>
    <row r="842" ht="12.75" customHeight="1" s="205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  <c r="S842" s="204" t="n"/>
      <c r="T842" s="204" t="n"/>
      <c r="U842" s="204" t="n"/>
      <c r="V842" s="204" t="n"/>
      <c r="W842" s="204" t="n"/>
      <c r="X842" s="204" t="n"/>
      <c r="Y842" s="204" t="n"/>
      <c r="Z842" s="204" t="n"/>
      <c r="AA842" s="204" t="n"/>
      <c r="AB842" s="204" t="n"/>
      <c r="AC842" s="204" t="n"/>
      <c r="AD842" s="204" t="n"/>
      <c r="AE842" s="204" t="n"/>
      <c r="AF842" s="204" t="n"/>
      <c r="AG842" s="204" t="n"/>
    </row>
    <row r="843" ht="12.75" customHeight="1" s="205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  <c r="S843" s="204" t="n"/>
      <c r="T843" s="204" t="n"/>
      <c r="U843" s="204" t="n"/>
      <c r="V843" s="204" t="n"/>
      <c r="W843" s="204" t="n"/>
      <c r="X843" s="204" t="n"/>
      <c r="Y843" s="204" t="n"/>
      <c r="Z843" s="204" t="n"/>
      <c r="AA843" s="204" t="n"/>
      <c r="AB843" s="204" t="n"/>
      <c r="AC843" s="204" t="n"/>
      <c r="AD843" s="204" t="n"/>
      <c r="AE843" s="204" t="n"/>
      <c r="AF843" s="204" t="n"/>
      <c r="AG843" s="204" t="n"/>
    </row>
    <row r="844" ht="12.75" customHeight="1" s="205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  <c r="S844" s="204" t="n"/>
      <c r="T844" s="204" t="n"/>
      <c r="U844" s="204" t="n"/>
      <c r="V844" s="204" t="n"/>
      <c r="W844" s="204" t="n"/>
      <c r="X844" s="204" t="n"/>
      <c r="Y844" s="204" t="n"/>
      <c r="Z844" s="204" t="n"/>
      <c r="AA844" s="204" t="n"/>
      <c r="AB844" s="204" t="n"/>
      <c r="AC844" s="204" t="n"/>
      <c r="AD844" s="204" t="n"/>
      <c r="AE844" s="204" t="n"/>
      <c r="AF844" s="204" t="n"/>
      <c r="AG844" s="204" t="n"/>
    </row>
    <row r="845" ht="12.75" customHeight="1" s="205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  <c r="S845" s="204" t="n"/>
      <c r="T845" s="204" t="n"/>
      <c r="U845" s="204" t="n"/>
      <c r="V845" s="204" t="n"/>
      <c r="W845" s="204" t="n"/>
      <c r="X845" s="204" t="n"/>
      <c r="Y845" s="204" t="n"/>
      <c r="Z845" s="204" t="n"/>
      <c r="AA845" s="204" t="n"/>
      <c r="AB845" s="204" t="n"/>
      <c r="AC845" s="204" t="n"/>
      <c r="AD845" s="204" t="n"/>
      <c r="AE845" s="204" t="n"/>
      <c r="AF845" s="204" t="n"/>
      <c r="AG845" s="204" t="n"/>
    </row>
    <row r="846" ht="12.75" customHeight="1" s="205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  <c r="S846" s="204" t="n"/>
      <c r="T846" s="204" t="n"/>
      <c r="U846" s="204" t="n"/>
      <c r="V846" s="204" t="n"/>
      <c r="W846" s="204" t="n"/>
      <c r="X846" s="204" t="n"/>
      <c r="Y846" s="204" t="n"/>
      <c r="Z846" s="204" t="n"/>
      <c r="AA846" s="204" t="n"/>
      <c r="AB846" s="204" t="n"/>
      <c r="AC846" s="204" t="n"/>
      <c r="AD846" s="204" t="n"/>
      <c r="AE846" s="204" t="n"/>
      <c r="AF846" s="204" t="n"/>
      <c r="AG846" s="204" t="n"/>
    </row>
    <row r="847" ht="12.75" customHeight="1" s="205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  <c r="S847" s="204" t="n"/>
      <c r="T847" s="204" t="n"/>
      <c r="U847" s="204" t="n"/>
      <c r="V847" s="204" t="n"/>
      <c r="W847" s="204" t="n"/>
      <c r="X847" s="204" t="n"/>
      <c r="Y847" s="204" t="n"/>
      <c r="Z847" s="204" t="n"/>
      <c r="AA847" s="204" t="n"/>
      <c r="AB847" s="204" t="n"/>
      <c r="AC847" s="204" t="n"/>
      <c r="AD847" s="204" t="n"/>
      <c r="AE847" s="204" t="n"/>
      <c r="AF847" s="204" t="n"/>
      <c r="AG847" s="204" t="n"/>
    </row>
    <row r="848" ht="12.75" customHeight="1" s="205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  <c r="S848" s="204" t="n"/>
      <c r="T848" s="204" t="n"/>
      <c r="U848" s="204" t="n"/>
      <c r="V848" s="204" t="n"/>
      <c r="W848" s="204" t="n"/>
      <c r="X848" s="204" t="n"/>
      <c r="Y848" s="204" t="n"/>
      <c r="Z848" s="204" t="n"/>
      <c r="AA848" s="204" t="n"/>
      <c r="AB848" s="204" t="n"/>
      <c r="AC848" s="204" t="n"/>
      <c r="AD848" s="204" t="n"/>
      <c r="AE848" s="204" t="n"/>
      <c r="AF848" s="204" t="n"/>
      <c r="AG848" s="204" t="n"/>
    </row>
    <row r="849" ht="12.75" customHeight="1" s="205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  <c r="S849" s="204" t="n"/>
      <c r="T849" s="204" t="n"/>
      <c r="U849" s="204" t="n"/>
      <c r="V849" s="204" t="n"/>
      <c r="W849" s="204" t="n"/>
      <c r="X849" s="204" t="n"/>
      <c r="Y849" s="204" t="n"/>
      <c r="Z849" s="204" t="n"/>
      <c r="AA849" s="204" t="n"/>
      <c r="AB849" s="204" t="n"/>
      <c r="AC849" s="204" t="n"/>
      <c r="AD849" s="204" t="n"/>
      <c r="AE849" s="204" t="n"/>
      <c r="AF849" s="204" t="n"/>
      <c r="AG849" s="204" t="n"/>
    </row>
    <row r="850" ht="12.75" customHeight="1" s="205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  <c r="S850" s="204" t="n"/>
      <c r="T850" s="204" t="n"/>
      <c r="U850" s="204" t="n"/>
      <c r="V850" s="204" t="n"/>
      <c r="W850" s="204" t="n"/>
      <c r="X850" s="204" t="n"/>
      <c r="Y850" s="204" t="n"/>
      <c r="Z850" s="204" t="n"/>
      <c r="AA850" s="204" t="n"/>
      <c r="AB850" s="204" t="n"/>
      <c r="AC850" s="204" t="n"/>
      <c r="AD850" s="204" t="n"/>
      <c r="AE850" s="204" t="n"/>
      <c r="AF850" s="204" t="n"/>
      <c r="AG850" s="204" t="n"/>
    </row>
    <row r="851" ht="12.75" customHeight="1" s="205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  <c r="S851" s="204" t="n"/>
      <c r="T851" s="204" t="n"/>
      <c r="U851" s="204" t="n"/>
      <c r="V851" s="204" t="n"/>
      <c r="W851" s="204" t="n"/>
      <c r="X851" s="204" t="n"/>
      <c r="Y851" s="204" t="n"/>
      <c r="Z851" s="204" t="n"/>
      <c r="AA851" s="204" t="n"/>
      <c r="AB851" s="204" t="n"/>
      <c r="AC851" s="204" t="n"/>
      <c r="AD851" s="204" t="n"/>
      <c r="AE851" s="204" t="n"/>
      <c r="AF851" s="204" t="n"/>
      <c r="AG851" s="204" t="n"/>
    </row>
    <row r="852" ht="12.75" customHeight="1" s="205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  <c r="S852" s="204" t="n"/>
      <c r="T852" s="204" t="n"/>
      <c r="U852" s="204" t="n"/>
      <c r="V852" s="204" t="n"/>
      <c r="W852" s="204" t="n"/>
      <c r="X852" s="204" t="n"/>
      <c r="Y852" s="204" t="n"/>
      <c r="Z852" s="204" t="n"/>
      <c r="AA852" s="204" t="n"/>
      <c r="AB852" s="204" t="n"/>
      <c r="AC852" s="204" t="n"/>
      <c r="AD852" s="204" t="n"/>
      <c r="AE852" s="204" t="n"/>
      <c r="AF852" s="204" t="n"/>
      <c r="AG852" s="204" t="n"/>
    </row>
    <row r="853" ht="12.75" customHeight="1" s="205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  <c r="S853" s="204" t="n"/>
      <c r="T853" s="204" t="n"/>
      <c r="U853" s="204" t="n"/>
      <c r="V853" s="204" t="n"/>
      <c r="W853" s="204" t="n"/>
      <c r="X853" s="204" t="n"/>
      <c r="Y853" s="204" t="n"/>
      <c r="Z853" s="204" t="n"/>
      <c r="AA853" s="204" t="n"/>
      <c r="AB853" s="204" t="n"/>
      <c r="AC853" s="204" t="n"/>
      <c r="AD853" s="204" t="n"/>
      <c r="AE853" s="204" t="n"/>
      <c r="AF853" s="204" t="n"/>
      <c r="AG853" s="204" t="n"/>
    </row>
    <row r="854" ht="12.75" customHeight="1" s="205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  <c r="S854" s="204" t="n"/>
      <c r="T854" s="204" t="n"/>
      <c r="U854" s="204" t="n"/>
      <c r="V854" s="204" t="n"/>
      <c r="W854" s="204" t="n"/>
      <c r="X854" s="204" t="n"/>
      <c r="Y854" s="204" t="n"/>
      <c r="Z854" s="204" t="n"/>
      <c r="AA854" s="204" t="n"/>
      <c r="AB854" s="204" t="n"/>
      <c r="AC854" s="204" t="n"/>
      <c r="AD854" s="204" t="n"/>
      <c r="AE854" s="204" t="n"/>
      <c r="AF854" s="204" t="n"/>
      <c r="AG854" s="204" t="n"/>
    </row>
    <row r="855" ht="12.75" customHeight="1" s="205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  <c r="S855" s="204" t="n"/>
      <c r="T855" s="204" t="n"/>
      <c r="U855" s="204" t="n"/>
      <c r="V855" s="204" t="n"/>
      <c r="W855" s="204" t="n"/>
      <c r="X855" s="204" t="n"/>
      <c r="Y855" s="204" t="n"/>
      <c r="Z855" s="204" t="n"/>
      <c r="AA855" s="204" t="n"/>
      <c r="AB855" s="204" t="n"/>
      <c r="AC855" s="204" t="n"/>
      <c r="AD855" s="204" t="n"/>
      <c r="AE855" s="204" t="n"/>
      <c r="AF855" s="204" t="n"/>
      <c r="AG855" s="204" t="n"/>
    </row>
    <row r="856" ht="12.75" customHeight="1" s="205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  <c r="S856" s="204" t="n"/>
      <c r="T856" s="204" t="n"/>
      <c r="U856" s="204" t="n"/>
      <c r="V856" s="204" t="n"/>
      <c r="W856" s="204" t="n"/>
      <c r="X856" s="204" t="n"/>
      <c r="Y856" s="204" t="n"/>
      <c r="Z856" s="204" t="n"/>
      <c r="AA856" s="204" t="n"/>
      <c r="AB856" s="204" t="n"/>
      <c r="AC856" s="204" t="n"/>
      <c r="AD856" s="204" t="n"/>
      <c r="AE856" s="204" t="n"/>
      <c r="AF856" s="204" t="n"/>
      <c r="AG856" s="204" t="n"/>
    </row>
    <row r="857" ht="12.75" customHeight="1" s="205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  <c r="S857" s="204" t="n"/>
      <c r="T857" s="204" t="n"/>
      <c r="U857" s="204" t="n"/>
      <c r="V857" s="204" t="n"/>
      <c r="W857" s="204" t="n"/>
      <c r="X857" s="204" t="n"/>
      <c r="Y857" s="204" t="n"/>
      <c r="Z857" s="204" t="n"/>
      <c r="AA857" s="204" t="n"/>
      <c r="AB857" s="204" t="n"/>
      <c r="AC857" s="204" t="n"/>
      <c r="AD857" s="204" t="n"/>
      <c r="AE857" s="204" t="n"/>
      <c r="AF857" s="204" t="n"/>
      <c r="AG857" s="204" t="n"/>
    </row>
    <row r="858" ht="12.75" customHeight="1" s="205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  <c r="S858" s="204" t="n"/>
      <c r="T858" s="204" t="n"/>
      <c r="U858" s="204" t="n"/>
      <c r="V858" s="204" t="n"/>
      <c r="W858" s="204" t="n"/>
      <c r="X858" s="204" t="n"/>
      <c r="Y858" s="204" t="n"/>
      <c r="Z858" s="204" t="n"/>
      <c r="AA858" s="204" t="n"/>
      <c r="AB858" s="204" t="n"/>
      <c r="AC858" s="204" t="n"/>
      <c r="AD858" s="204" t="n"/>
      <c r="AE858" s="204" t="n"/>
      <c r="AF858" s="204" t="n"/>
      <c r="AG858" s="204" t="n"/>
    </row>
    <row r="859" ht="12.75" customHeight="1" s="205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  <c r="S859" s="204" t="n"/>
      <c r="T859" s="204" t="n"/>
      <c r="U859" s="204" t="n"/>
      <c r="V859" s="204" t="n"/>
      <c r="W859" s="204" t="n"/>
      <c r="X859" s="204" t="n"/>
      <c r="Y859" s="204" t="n"/>
      <c r="Z859" s="204" t="n"/>
      <c r="AA859" s="204" t="n"/>
      <c r="AB859" s="204" t="n"/>
      <c r="AC859" s="204" t="n"/>
      <c r="AD859" s="204" t="n"/>
      <c r="AE859" s="204" t="n"/>
      <c r="AF859" s="204" t="n"/>
      <c r="AG859" s="204" t="n"/>
    </row>
    <row r="860" ht="12.75" customHeight="1" s="205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  <c r="S860" s="204" t="n"/>
      <c r="T860" s="204" t="n"/>
      <c r="U860" s="204" t="n"/>
      <c r="V860" s="204" t="n"/>
      <c r="W860" s="204" t="n"/>
      <c r="X860" s="204" t="n"/>
      <c r="Y860" s="204" t="n"/>
      <c r="Z860" s="204" t="n"/>
      <c r="AA860" s="204" t="n"/>
      <c r="AB860" s="204" t="n"/>
      <c r="AC860" s="204" t="n"/>
      <c r="AD860" s="204" t="n"/>
      <c r="AE860" s="204" t="n"/>
      <c r="AF860" s="204" t="n"/>
      <c r="AG860" s="204" t="n"/>
    </row>
    <row r="861" ht="12.75" customHeight="1" s="205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  <c r="S861" s="204" t="n"/>
      <c r="T861" s="204" t="n"/>
      <c r="U861" s="204" t="n"/>
      <c r="V861" s="204" t="n"/>
      <c r="W861" s="204" t="n"/>
      <c r="X861" s="204" t="n"/>
      <c r="Y861" s="204" t="n"/>
      <c r="Z861" s="204" t="n"/>
      <c r="AA861" s="204" t="n"/>
      <c r="AB861" s="204" t="n"/>
      <c r="AC861" s="204" t="n"/>
      <c r="AD861" s="204" t="n"/>
      <c r="AE861" s="204" t="n"/>
      <c r="AF861" s="204" t="n"/>
      <c r="AG861" s="204" t="n"/>
    </row>
    <row r="862" ht="12.75" customHeight="1" s="205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  <c r="S862" s="204" t="n"/>
      <c r="T862" s="204" t="n"/>
      <c r="U862" s="204" t="n"/>
      <c r="V862" s="204" t="n"/>
      <c r="W862" s="204" t="n"/>
      <c r="X862" s="204" t="n"/>
      <c r="Y862" s="204" t="n"/>
      <c r="Z862" s="204" t="n"/>
      <c r="AA862" s="204" t="n"/>
      <c r="AB862" s="204" t="n"/>
      <c r="AC862" s="204" t="n"/>
      <c r="AD862" s="204" t="n"/>
      <c r="AE862" s="204" t="n"/>
      <c r="AF862" s="204" t="n"/>
      <c r="AG862" s="204" t="n"/>
    </row>
    <row r="863" ht="12.75" customHeight="1" s="205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  <c r="S863" s="204" t="n"/>
      <c r="T863" s="204" t="n"/>
      <c r="U863" s="204" t="n"/>
      <c r="V863" s="204" t="n"/>
      <c r="W863" s="204" t="n"/>
      <c r="X863" s="204" t="n"/>
      <c r="Y863" s="204" t="n"/>
      <c r="Z863" s="204" t="n"/>
      <c r="AA863" s="204" t="n"/>
      <c r="AB863" s="204" t="n"/>
      <c r="AC863" s="204" t="n"/>
      <c r="AD863" s="204" t="n"/>
      <c r="AE863" s="204" t="n"/>
      <c r="AF863" s="204" t="n"/>
      <c r="AG863" s="204" t="n"/>
    </row>
    <row r="864" ht="12.75" customHeight="1" s="205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  <c r="S864" s="204" t="n"/>
      <c r="T864" s="204" t="n"/>
      <c r="U864" s="204" t="n"/>
      <c r="V864" s="204" t="n"/>
      <c r="W864" s="204" t="n"/>
      <c r="X864" s="204" t="n"/>
      <c r="Y864" s="204" t="n"/>
      <c r="Z864" s="204" t="n"/>
      <c r="AA864" s="204" t="n"/>
      <c r="AB864" s="204" t="n"/>
      <c r="AC864" s="204" t="n"/>
      <c r="AD864" s="204" t="n"/>
      <c r="AE864" s="204" t="n"/>
      <c r="AF864" s="204" t="n"/>
      <c r="AG864" s="204" t="n"/>
    </row>
    <row r="865" ht="12.75" customHeight="1" s="205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  <c r="S865" s="204" t="n"/>
      <c r="T865" s="204" t="n"/>
      <c r="U865" s="204" t="n"/>
      <c r="V865" s="204" t="n"/>
      <c r="W865" s="204" t="n"/>
      <c r="X865" s="204" t="n"/>
      <c r="Y865" s="204" t="n"/>
      <c r="Z865" s="204" t="n"/>
      <c r="AA865" s="204" t="n"/>
      <c r="AB865" s="204" t="n"/>
      <c r="AC865" s="204" t="n"/>
      <c r="AD865" s="204" t="n"/>
      <c r="AE865" s="204" t="n"/>
      <c r="AF865" s="204" t="n"/>
      <c r="AG865" s="204" t="n"/>
    </row>
    <row r="866" ht="12.75" customHeight="1" s="205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  <c r="S866" s="204" t="n"/>
      <c r="T866" s="204" t="n"/>
      <c r="U866" s="204" t="n"/>
      <c r="V866" s="204" t="n"/>
      <c r="W866" s="204" t="n"/>
      <c r="X866" s="204" t="n"/>
      <c r="Y866" s="204" t="n"/>
      <c r="Z866" s="204" t="n"/>
      <c r="AA866" s="204" t="n"/>
      <c r="AB866" s="204" t="n"/>
      <c r="AC866" s="204" t="n"/>
      <c r="AD866" s="204" t="n"/>
      <c r="AE866" s="204" t="n"/>
      <c r="AF866" s="204" t="n"/>
      <c r="AG866" s="204" t="n"/>
    </row>
    <row r="867" ht="12.75" customHeight="1" s="205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  <c r="S867" s="204" t="n"/>
      <c r="T867" s="204" t="n"/>
      <c r="U867" s="204" t="n"/>
      <c r="V867" s="204" t="n"/>
      <c r="W867" s="204" t="n"/>
      <c r="X867" s="204" t="n"/>
      <c r="Y867" s="204" t="n"/>
      <c r="Z867" s="204" t="n"/>
      <c r="AA867" s="204" t="n"/>
      <c r="AB867" s="204" t="n"/>
      <c r="AC867" s="204" t="n"/>
      <c r="AD867" s="204" t="n"/>
      <c r="AE867" s="204" t="n"/>
      <c r="AF867" s="204" t="n"/>
      <c r="AG867" s="204" t="n"/>
    </row>
    <row r="868" ht="12.75" customHeight="1" s="205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  <c r="S868" s="204" t="n"/>
      <c r="T868" s="204" t="n"/>
      <c r="U868" s="204" t="n"/>
      <c r="V868" s="204" t="n"/>
      <c r="W868" s="204" t="n"/>
      <c r="X868" s="204" t="n"/>
      <c r="Y868" s="204" t="n"/>
      <c r="Z868" s="204" t="n"/>
      <c r="AA868" s="204" t="n"/>
      <c r="AB868" s="204" t="n"/>
      <c r="AC868" s="204" t="n"/>
      <c r="AD868" s="204" t="n"/>
      <c r="AE868" s="204" t="n"/>
      <c r="AF868" s="204" t="n"/>
      <c r="AG868" s="204" t="n"/>
    </row>
    <row r="869" ht="12.75" customHeight="1" s="205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  <c r="S869" s="204" t="n"/>
      <c r="T869" s="204" t="n"/>
      <c r="U869" s="204" t="n"/>
      <c r="V869" s="204" t="n"/>
      <c r="W869" s="204" t="n"/>
      <c r="X869" s="204" t="n"/>
      <c r="Y869" s="204" t="n"/>
      <c r="Z869" s="204" t="n"/>
      <c r="AA869" s="204" t="n"/>
      <c r="AB869" s="204" t="n"/>
      <c r="AC869" s="204" t="n"/>
      <c r="AD869" s="204" t="n"/>
      <c r="AE869" s="204" t="n"/>
      <c r="AF869" s="204" t="n"/>
      <c r="AG869" s="204" t="n"/>
    </row>
    <row r="870" ht="12.75" customHeight="1" s="205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  <c r="S870" s="204" t="n"/>
      <c r="T870" s="204" t="n"/>
      <c r="U870" s="204" t="n"/>
      <c r="V870" s="204" t="n"/>
      <c r="W870" s="204" t="n"/>
      <c r="X870" s="204" t="n"/>
      <c r="Y870" s="204" t="n"/>
      <c r="Z870" s="204" t="n"/>
      <c r="AA870" s="204" t="n"/>
      <c r="AB870" s="204" t="n"/>
      <c r="AC870" s="204" t="n"/>
      <c r="AD870" s="204" t="n"/>
      <c r="AE870" s="204" t="n"/>
      <c r="AF870" s="204" t="n"/>
      <c r="AG870" s="204" t="n"/>
    </row>
    <row r="871" ht="12.75" customHeight="1" s="205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  <c r="S871" s="204" t="n"/>
      <c r="T871" s="204" t="n"/>
      <c r="U871" s="204" t="n"/>
      <c r="V871" s="204" t="n"/>
      <c r="W871" s="204" t="n"/>
      <c r="X871" s="204" t="n"/>
      <c r="Y871" s="204" t="n"/>
      <c r="Z871" s="204" t="n"/>
      <c r="AA871" s="204" t="n"/>
      <c r="AB871" s="204" t="n"/>
      <c r="AC871" s="204" t="n"/>
      <c r="AD871" s="204" t="n"/>
      <c r="AE871" s="204" t="n"/>
      <c r="AF871" s="204" t="n"/>
      <c r="AG871" s="204" t="n"/>
    </row>
    <row r="872" ht="12.75" customHeight="1" s="205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  <c r="S872" s="204" t="n"/>
      <c r="T872" s="204" t="n"/>
      <c r="U872" s="204" t="n"/>
      <c r="V872" s="204" t="n"/>
      <c r="W872" s="204" t="n"/>
      <c r="X872" s="204" t="n"/>
      <c r="Y872" s="204" t="n"/>
      <c r="Z872" s="204" t="n"/>
      <c r="AA872" s="204" t="n"/>
      <c r="AB872" s="204" t="n"/>
      <c r="AC872" s="204" t="n"/>
      <c r="AD872" s="204" t="n"/>
      <c r="AE872" s="204" t="n"/>
      <c r="AF872" s="204" t="n"/>
      <c r="AG872" s="204" t="n"/>
    </row>
    <row r="873" ht="12.75" customHeight="1" s="205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  <c r="S873" s="204" t="n"/>
      <c r="T873" s="204" t="n"/>
      <c r="U873" s="204" t="n"/>
      <c r="V873" s="204" t="n"/>
      <c r="W873" s="204" t="n"/>
      <c r="X873" s="204" t="n"/>
      <c r="Y873" s="204" t="n"/>
      <c r="Z873" s="204" t="n"/>
      <c r="AA873" s="204" t="n"/>
      <c r="AB873" s="204" t="n"/>
      <c r="AC873" s="204" t="n"/>
      <c r="AD873" s="204" t="n"/>
      <c r="AE873" s="204" t="n"/>
      <c r="AF873" s="204" t="n"/>
      <c r="AG873" s="204" t="n"/>
    </row>
    <row r="874" ht="12.75" customHeight="1" s="205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  <c r="S874" s="204" t="n"/>
      <c r="T874" s="204" t="n"/>
      <c r="U874" s="204" t="n"/>
      <c r="V874" s="204" t="n"/>
      <c r="W874" s="204" t="n"/>
      <c r="X874" s="204" t="n"/>
      <c r="Y874" s="204" t="n"/>
      <c r="Z874" s="204" t="n"/>
      <c r="AA874" s="204" t="n"/>
      <c r="AB874" s="204" t="n"/>
      <c r="AC874" s="204" t="n"/>
      <c r="AD874" s="204" t="n"/>
      <c r="AE874" s="204" t="n"/>
      <c r="AF874" s="204" t="n"/>
      <c r="AG874" s="204" t="n"/>
    </row>
    <row r="875" ht="12.75" customHeight="1" s="205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  <c r="S875" s="204" t="n"/>
      <c r="T875" s="204" t="n"/>
      <c r="U875" s="204" t="n"/>
      <c r="V875" s="204" t="n"/>
      <c r="W875" s="204" t="n"/>
      <c r="X875" s="204" t="n"/>
      <c r="Y875" s="204" t="n"/>
      <c r="Z875" s="204" t="n"/>
      <c r="AA875" s="204" t="n"/>
      <c r="AB875" s="204" t="n"/>
      <c r="AC875" s="204" t="n"/>
      <c r="AD875" s="204" t="n"/>
      <c r="AE875" s="204" t="n"/>
      <c r="AF875" s="204" t="n"/>
      <c r="AG875" s="204" t="n"/>
    </row>
    <row r="876" ht="12.75" customHeight="1" s="205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  <c r="S876" s="204" t="n"/>
      <c r="T876" s="204" t="n"/>
      <c r="U876" s="204" t="n"/>
      <c r="V876" s="204" t="n"/>
      <c r="W876" s="204" t="n"/>
      <c r="X876" s="204" t="n"/>
      <c r="Y876" s="204" t="n"/>
      <c r="Z876" s="204" t="n"/>
      <c r="AA876" s="204" t="n"/>
      <c r="AB876" s="204" t="n"/>
      <c r="AC876" s="204" t="n"/>
      <c r="AD876" s="204" t="n"/>
      <c r="AE876" s="204" t="n"/>
      <c r="AF876" s="204" t="n"/>
      <c r="AG876" s="204" t="n"/>
    </row>
    <row r="877" ht="12.75" customHeight="1" s="205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  <c r="S877" s="204" t="n"/>
      <c r="T877" s="204" t="n"/>
      <c r="U877" s="204" t="n"/>
      <c r="V877" s="204" t="n"/>
      <c r="W877" s="204" t="n"/>
      <c r="X877" s="204" t="n"/>
      <c r="Y877" s="204" t="n"/>
      <c r="Z877" s="204" t="n"/>
      <c r="AA877" s="204" t="n"/>
      <c r="AB877" s="204" t="n"/>
      <c r="AC877" s="204" t="n"/>
      <c r="AD877" s="204" t="n"/>
      <c r="AE877" s="204" t="n"/>
      <c r="AF877" s="204" t="n"/>
      <c r="AG877" s="204" t="n"/>
    </row>
    <row r="878" ht="12.75" customHeight="1" s="205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  <c r="S878" s="204" t="n"/>
      <c r="T878" s="204" t="n"/>
      <c r="U878" s="204" t="n"/>
      <c r="V878" s="204" t="n"/>
      <c r="W878" s="204" t="n"/>
      <c r="X878" s="204" t="n"/>
      <c r="Y878" s="204" t="n"/>
      <c r="Z878" s="204" t="n"/>
      <c r="AA878" s="204" t="n"/>
      <c r="AB878" s="204" t="n"/>
      <c r="AC878" s="204" t="n"/>
      <c r="AD878" s="204" t="n"/>
      <c r="AE878" s="204" t="n"/>
      <c r="AF878" s="204" t="n"/>
      <c r="AG878" s="204" t="n"/>
    </row>
    <row r="879" ht="12.75" customHeight="1" s="205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  <c r="S879" s="204" t="n"/>
      <c r="T879" s="204" t="n"/>
      <c r="U879" s="204" t="n"/>
      <c r="V879" s="204" t="n"/>
      <c r="W879" s="204" t="n"/>
      <c r="X879" s="204" t="n"/>
      <c r="Y879" s="204" t="n"/>
      <c r="Z879" s="204" t="n"/>
      <c r="AA879" s="204" t="n"/>
      <c r="AB879" s="204" t="n"/>
      <c r="AC879" s="204" t="n"/>
      <c r="AD879" s="204" t="n"/>
      <c r="AE879" s="204" t="n"/>
      <c r="AF879" s="204" t="n"/>
      <c r="AG879" s="204" t="n"/>
    </row>
    <row r="880" ht="12.75" customHeight="1" s="205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  <c r="S880" s="204" t="n"/>
      <c r="T880" s="204" t="n"/>
      <c r="U880" s="204" t="n"/>
      <c r="V880" s="204" t="n"/>
      <c r="W880" s="204" t="n"/>
      <c r="X880" s="204" t="n"/>
      <c r="Y880" s="204" t="n"/>
      <c r="Z880" s="204" t="n"/>
      <c r="AA880" s="204" t="n"/>
      <c r="AB880" s="204" t="n"/>
      <c r="AC880" s="204" t="n"/>
      <c r="AD880" s="204" t="n"/>
      <c r="AE880" s="204" t="n"/>
      <c r="AF880" s="204" t="n"/>
      <c r="AG880" s="204" t="n"/>
    </row>
    <row r="881" ht="12.75" customHeight="1" s="205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  <c r="S881" s="204" t="n"/>
      <c r="T881" s="204" t="n"/>
      <c r="U881" s="204" t="n"/>
      <c r="V881" s="204" t="n"/>
      <c r="W881" s="204" t="n"/>
      <c r="X881" s="204" t="n"/>
      <c r="Y881" s="204" t="n"/>
      <c r="Z881" s="204" t="n"/>
      <c r="AA881" s="204" t="n"/>
      <c r="AB881" s="204" t="n"/>
      <c r="AC881" s="204" t="n"/>
      <c r="AD881" s="204" t="n"/>
      <c r="AE881" s="204" t="n"/>
      <c r="AF881" s="204" t="n"/>
      <c r="AG881" s="204" t="n"/>
    </row>
    <row r="882" ht="12.75" customHeight="1" s="205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  <c r="S882" s="204" t="n"/>
      <c r="T882" s="204" t="n"/>
      <c r="U882" s="204" t="n"/>
      <c r="V882" s="204" t="n"/>
      <c r="W882" s="204" t="n"/>
      <c r="X882" s="204" t="n"/>
      <c r="Y882" s="204" t="n"/>
      <c r="Z882" s="204" t="n"/>
      <c r="AA882" s="204" t="n"/>
      <c r="AB882" s="204" t="n"/>
      <c r="AC882" s="204" t="n"/>
      <c r="AD882" s="204" t="n"/>
      <c r="AE882" s="204" t="n"/>
      <c r="AF882" s="204" t="n"/>
      <c r="AG882" s="204" t="n"/>
    </row>
    <row r="883" ht="12.75" customHeight="1" s="205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  <c r="S883" s="204" t="n"/>
      <c r="T883" s="204" t="n"/>
      <c r="U883" s="204" t="n"/>
      <c r="V883" s="204" t="n"/>
      <c r="W883" s="204" t="n"/>
      <c r="X883" s="204" t="n"/>
      <c r="Y883" s="204" t="n"/>
      <c r="Z883" s="204" t="n"/>
      <c r="AA883" s="204" t="n"/>
      <c r="AB883" s="204" t="n"/>
      <c r="AC883" s="204" t="n"/>
      <c r="AD883" s="204" t="n"/>
      <c r="AE883" s="204" t="n"/>
      <c r="AF883" s="204" t="n"/>
      <c r="AG883" s="204" t="n"/>
    </row>
    <row r="884" ht="12.75" customHeight="1" s="205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  <c r="S884" s="204" t="n"/>
      <c r="T884" s="204" t="n"/>
      <c r="U884" s="204" t="n"/>
      <c r="V884" s="204" t="n"/>
      <c r="W884" s="204" t="n"/>
      <c r="X884" s="204" t="n"/>
      <c r="Y884" s="204" t="n"/>
      <c r="Z884" s="204" t="n"/>
      <c r="AA884" s="204" t="n"/>
      <c r="AB884" s="204" t="n"/>
      <c r="AC884" s="204" t="n"/>
      <c r="AD884" s="204" t="n"/>
      <c r="AE884" s="204" t="n"/>
      <c r="AF884" s="204" t="n"/>
      <c r="AG884" s="204" t="n"/>
    </row>
    <row r="885" ht="12.75" customHeight="1" s="205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  <c r="S885" s="204" t="n"/>
      <c r="T885" s="204" t="n"/>
      <c r="U885" s="204" t="n"/>
      <c r="V885" s="204" t="n"/>
      <c r="W885" s="204" t="n"/>
      <c r="X885" s="204" t="n"/>
      <c r="Y885" s="204" t="n"/>
      <c r="Z885" s="204" t="n"/>
      <c r="AA885" s="204" t="n"/>
      <c r="AB885" s="204" t="n"/>
      <c r="AC885" s="204" t="n"/>
      <c r="AD885" s="204" t="n"/>
      <c r="AE885" s="204" t="n"/>
      <c r="AF885" s="204" t="n"/>
      <c r="AG885" s="204" t="n"/>
    </row>
    <row r="886" ht="12.75" customHeight="1" s="205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  <c r="S886" s="204" t="n"/>
      <c r="T886" s="204" t="n"/>
      <c r="U886" s="204" t="n"/>
      <c r="V886" s="204" t="n"/>
      <c r="W886" s="204" t="n"/>
      <c r="X886" s="204" t="n"/>
      <c r="Y886" s="204" t="n"/>
      <c r="Z886" s="204" t="n"/>
      <c r="AA886" s="204" t="n"/>
      <c r="AB886" s="204" t="n"/>
      <c r="AC886" s="204" t="n"/>
      <c r="AD886" s="204" t="n"/>
      <c r="AE886" s="204" t="n"/>
      <c r="AF886" s="204" t="n"/>
      <c r="AG886" s="204" t="n"/>
    </row>
    <row r="887" ht="12.75" customHeight="1" s="205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  <c r="S887" s="204" t="n"/>
      <c r="T887" s="204" t="n"/>
      <c r="U887" s="204" t="n"/>
      <c r="V887" s="204" t="n"/>
      <c r="W887" s="204" t="n"/>
      <c r="X887" s="204" t="n"/>
      <c r="Y887" s="204" t="n"/>
      <c r="Z887" s="204" t="n"/>
      <c r="AA887" s="204" t="n"/>
      <c r="AB887" s="204" t="n"/>
      <c r="AC887" s="204" t="n"/>
      <c r="AD887" s="204" t="n"/>
      <c r="AE887" s="204" t="n"/>
      <c r="AF887" s="204" t="n"/>
      <c r="AG887" s="204" t="n"/>
    </row>
    <row r="888" ht="12.75" customHeight="1" s="205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  <c r="S888" s="204" t="n"/>
      <c r="T888" s="204" t="n"/>
      <c r="U888" s="204" t="n"/>
      <c r="V888" s="204" t="n"/>
      <c r="W888" s="204" t="n"/>
      <c r="X888" s="204" t="n"/>
      <c r="Y888" s="204" t="n"/>
      <c r="Z888" s="204" t="n"/>
      <c r="AA888" s="204" t="n"/>
      <c r="AB888" s="204" t="n"/>
      <c r="AC888" s="204" t="n"/>
      <c r="AD888" s="204" t="n"/>
      <c r="AE888" s="204" t="n"/>
      <c r="AF888" s="204" t="n"/>
      <c r="AG888" s="204" t="n"/>
    </row>
    <row r="889" ht="12.75" customHeight="1" s="205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  <c r="S889" s="204" t="n"/>
      <c r="T889" s="204" t="n"/>
      <c r="U889" s="204" t="n"/>
      <c r="V889" s="204" t="n"/>
      <c r="W889" s="204" t="n"/>
      <c r="X889" s="204" t="n"/>
      <c r="Y889" s="204" t="n"/>
      <c r="Z889" s="204" t="n"/>
      <c r="AA889" s="204" t="n"/>
      <c r="AB889" s="204" t="n"/>
      <c r="AC889" s="204" t="n"/>
      <c r="AD889" s="204" t="n"/>
      <c r="AE889" s="204" t="n"/>
      <c r="AF889" s="204" t="n"/>
      <c r="AG889" s="204" t="n"/>
    </row>
    <row r="890" ht="12.75" customHeight="1" s="205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  <c r="S890" s="204" t="n"/>
      <c r="T890" s="204" t="n"/>
      <c r="U890" s="204" t="n"/>
      <c r="V890" s="204" t="n"/>
      <c r="W890" s="204" t="n"/>
      <c r="X890" s="204" t="n"/>
      <c r="Y890" s="204" t="n"/>
      <c r="Z890" s="204" t="n"/>
      <c r="AA890" s="204" t="n"/>
      <c r="AB890" s="204" t="n"/>
      <c r="AC890" s="204" t="n"/>
      <c r="AD890" s="204" t="n"/>
      <c r="AE890" s="204" t="n"/>
      <c r="AF890" s="204" t="n"/>
      <c r="AG890" s="204" t="n"/>
    </row>
    <row r="891" ht="12.75" customHeight="1" s="205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  <c r="S891" s="204" t="n"/>
      <c r="T891" s="204" t="n"/>
      <c r="U891" s="204" t="n"/>
      <c r="V891" s="204" t="n"/>
      <c r="W891" s="204" t="n"/>
      <c r="X891" s="204" t="n"/>
      <c r="Y891" s="204" t="n"/>
      <c r="Z891" s="204" t="n"/>
      <c r="AA891" s="204" t="n"/>
      <c r="AB891" s="204" t="n"/>
      <c r="AC891" s="204" t="n"/>
      <c r="AD891" s="204" t="n"/>
      <c r="AE891" s="204" t="n"/>
      <c r="AF891" s="204" t="n"/>
      <c r="AG891" s="204" t="n"/>
    </row>
    <row r="892" ht="12.75" customHeight="1" s="205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  <c r="S892" s="204" t="n"/>
      <c r="T892" s="204" t="n"/>
      <c r="U892" s="204" t="n"/>
      <c r="V892" s="204" t="n"/>
      <c r="W892" s="204" t="n"/>
      <c r="X892" s="204" t="n"/>
      <c r="Y892" s="204" t="n"/>
      <c r="Z892" s="204" t="n"/>
      <c r="AA892" s="204" t="n"/>
      <c r="AB892" s="204" t="n"/>
      <c r="AC892" s="204" t="n"/>
      <c r="AD892" s="204" t="n"/>
      <c r="AE892" s="204" t="n"/>
      <c r="AF892" s="204" t="n"/>
      <c r="AG892" s="204" t="n"/>
    </row>
    <row r="893" ht="12.75" customHeight="1" s="205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  <c r="S893" s="204" t="n"/>
      <c r="T893" s="204" t="n"/>
      <c r="U893" s="204" t="n"/>
      <c r="V893" s="204" t="n"/>
      <c r="W893" s="204" t="n"/>
      <c r="X893" s="204" t="n"/>
      <c r="Y893" s="204" t="n"/>
      <c r="Z893" s="204" t="n"/>
      <c r="AA893" s="204" t="n"/>
      <c r="AB893" s="204" t="n"/>
      <c r="AC893" s="204" t="n"/>
      <c r="AD893" s="204" t="n"/>
      <c r="AE893" s="204" t="n"/>
      <c r="AF893" s="204" t="n"/>
      <c r="AG893" s="204" t="n"/>
    </row>
    <row r="894" ht="12.75" customHeight="1" s="205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  <c r="S894" s="204" t="n"/>
      <c r="T894" s="204" t="n"/>
      <c r="U894" s="204" t="n"/>
      <c r="V894" s="204" t="n"/>
      <c r="W894" s="204" t="n"/>
      <c r="X894" s="204" t="n"/>
      <c r="Y894" s="204" t="n"/>
      <c r="Z894" s="204" t="n"/>
      <c r="AA894" s="204" t="n"/>
      <c r="AB894" s="204" t="n"/>
      <c r="AC894" s="204" t="n"/>
      <c r="AD894" s="204" t="n"/>
      <c r="AE894" s="204" t="n"/>
      <c r="AF894" s="204" t="n"/>
      <c r="AG894" s="204" t="n"/>
    </row>
    <row r="895" ht="12.75" customHeight="1" s="205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  <c r="S895" s="204" t="n"/>
      <c r="T895" s="204" t="n"/>
      <c r="U895" s="204" t="n"/>
      <c r="V895" s="204" t="n"/>
      <c r="W895" s="204" t="n"/>
      <c r="X895" s="204" t="n"/>
      <c r="Y895" s="204" t="n"/>
      <c r="Z895" s="204" t="n"/>
      <c r="AA895" s="204" t="n"/>
      <c r="AB895" s="204" t="n"/>
      <c r="AC895" s="204" t="n"/>
      <c r="AD895" s="204" t="n"/>
      <c r="AE895" s="204" t="n"/>
      <c r="AF895" s="204" t="n"/>
      <c r="AG895" s="204" t="n"/>
    </row>
    <row r="896" ht="12.75" customHeight="1" s="205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  <c r="S896" s="204" t="n"/>
      <c r="T896" s="204" t="n"/>
      <c r="U896" s="204" t="n"/>
      <c r="V896" s="204" t="n"/>
      <c r="W896" s="204" t="n"/>
      <c r="X896" s="204" t="n"/>
      <c r="Y896" s="204" t="n"/>
      <c r="Z896" s="204" t="n"/>
      <c r="AA896" s="204" t="n"/>
      <c r="AB896" s="204" t="n"/>
      <c r="AC896" s="204" t="n"/>
      <c r="AD896" s="204" t="n"/>
      <c r="AE896" s="204" t="n"/>
      <c r="AF896" s="204" t="n"/>
      <c r="AG896" s="204" t="n"/>
    </row>
    <row r="897" ht="12.75" customHeight="1" s="205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  <c r="S897" s="204" t="n"/>
      <c r="T897" s="204" t="n"/>
      <c r="U897" s="204" t="n"/>
      <c r="V897" s="204" t="n"/>
      <c r="W897" s="204" t="n"/>
      <c r="X897" s="204" t="n"/>
      <c r="Y897" s="204" t="n"/>
      <c r="Z897" s="204" t="n"/>
      <c r="AA897" s="204" t="n"/>
      <c r="AB897" s="204" t="n"/>
      <c r="AC897" s="204" t="n"/>
      <c r="AD897" s="204" t="n"/>
      <c r="AE897" s="204" t="n"/>
      <c r="AF897" s="204" t="n"/>
      <c r="AG897" s="204" t="n"/>
    </row>
    <row r="898" ht="12.75" customHeight="1" s="205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  <c r="S898" s="204" t="n"/>
      <c r="T898" s="204" t="n"/>
      <c r="U898" s="204" t="n"/>
      <c r="V898" s="204" t="n"/>
      <c r="W898" s="204" t="n"/>
      <c r="X898" s="204" t="n"/>
      <c r="Y898" s="204" t="n"/>
      <c r="Z898" s="204" t="n"/>
      <c r="AA898" s="204" t="n"/>
      <c r="AB898" s="204" t="n"/>
      <c r="AC898" s="204" t="n"/>
      <c r="AD898" s="204" t="n"/>
      <c r="AE898" s="204" t="n"/>
      <c r="AF898" s="204" t="n"/>
      <c r="AG898" s="204" t="n"/>
    </row>
    <row r="899" ht="12.75" customHeight="1" s="205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  <c r="S899" s="204" t="n"/>
      <c r="T899" s="204" t="n"/>
      <c r="U899" s="204" t="n"/>
      <c r="V899" s="204" t="n"/>
      <c r="W899" s="204" t="n"/>
      <c r="X899" s="204" t="n"/>
      <c r="Y899" s="204" t="n"/>
      <c r="Z899" s="204" t="n"/>
      <c r="AA899" s="204" t="n"/>
      <c r="AB899" s="204" t="n"/>
      <c r="AC899" s="204" t="n"/>
      <c r="AD899" s="204" t="n"/>
      <c r="AE899" s="204" t="n"/>
      <c r="AF899" s="204" t="n"/>
      <c r="AG899" s="204" t="n"/>
    </row>
    <row r="900" ht="12.75" customHeight="1" s="205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  <c r="S900" s="204" t="n"/>
      <c r="T900" s="204" t="n"/>
      <c r="U900" s="204" t="n"/>
      <c r="V900" s="204" t="n"/>
      <c r="W900" s="204" t="n"/>
      <c r="X900" s="204" t="n"/>
      <c r="Y900" s="204" t="n"/>
      <c r="Z900" s="204" t="n"/>
      <c r="AA900" s="204" t="n"/>
      <c r="AB900" s="204" t="n"/>
      <c r="AC900" s="204" t="n"/>
      <c r="AD900" s="204" t="n"/>
      <c r="AE900" s="204" t="n"/>
      <c r="AF900" s="204" t="n"/>
      <c r="AG900" s="204" t="n"/>
    </row>
    <row r="901" ht="12.75" customHeight="1" s="205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  <c r="S901" s="204" t="n"/>
      <c r="T901" s="204" t="n"/>
      <c r="U901" s="204" t="n"/>
      <c r="V901" s="204" t="n"/>
      <c r="W901" s="204" t="n"/>
      <c r="X901" s="204" t="n"/>
      <c r="Y901" s="204" t="n"/>
      <c r="Z901" s="204" t="n"/>
      <c r="AA901" s="204" t="n"/>
      <c r="AB901" s="204" t="n"/>
      <c r="AC901" s="204" t="n"/>
      <c r="AD901" s="204" t="n"/>
      <c r="AE901" s="204" t="n"/>
      <c r="AF901" s="204" t="n"/>
      <c r="AG901" s="204" t="n"/>
    </row>
    <row r="902" ht="12.75" customHeight="1" s="205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  <c r="S902" s="204" t="n"/>
      <c r="T902" s="204" t="n"/>
      <c r="U902" s="204" t="n"/>
      <c r="V902" s="204" t="n"/>
      <c r="W902" s="204" t="n"/>
      <c r="X902" s="204" t="n"/>
      <c r="Y902" s="204" t="n"/>
      <c r="Z902" s="204" t="n"/>
      <c r="AA902" s="204" t="n"/>
      <c r="AB902" s="204" t="n"/>
      <c r="AC902" s="204" t="n"/>
      <c r="AD902" s="204" t="n"/>
      <c r="AE902" s="204" t="n"/>
      <c r="AF902" s="204" t="n"/>
      <c r="AG902" s="204" t="n"/>
    </row>
    <row r="903" ht="12.75" customHeight="1" s="205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  <c r="S903" s="204" t="n"/>
      <c r="T903" s="204" t="n"/>
      <c r="U903" s="204" t="n"/>
      <c r="V903" s="204" t="n"/>
      <c r="W903" s="204" t="n"/>
      <c r="X903" s="204" t="n"/>
      <c r="Y903" s="204" t="n"/>
      <c r="Z903" s="204" t="n"/>
      <c r="AA903" s="204" t="n"/>
      <c r="AB903" s="204" t="n"/>
      <c r="AC903" s="204" t="n"/>
      <c r="AD903" s="204" t="n"/>
      <c r="AE903" s="204" t="n"/>
      <c r="AF903" s="204" t="n"/>
      <c r="AG903" s="204" t="n"/>
    </row>
    <row r="904" ht="12.75" customHeight="1" s="205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  <c r="S904" s="204" t="n"/>
      <c r="T904" s="204" t="n"/>
      <c r="U904" s="204" t="n"/>
      <c r="V904" s="204" t="n"/>
      <c r="W904" s="204" t="n"/>
      <c r="X904" s="204" t="n"/>
      <c r="Y904" s="204" t="n"/>
      <c r="Z904" s="204" t="n"/>
      <c r="AA904" s="204" t="n"/>
      <c r="AB904" s="204" t="n"/>
      <c r="AC904" s="204" t="n"/>
      <c r="AD904" s="204" t="n"/>
      <c r="AE904" s="204" t="n"/>
      <c r="AF904" s="204" t="n"/>
      <c r="AG904" s="204" t="n"/>
    </row>
    <row r="905" ht="12.75" customHeight="1" s="205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  <c r="S905" s="204" t="n"/>
      <c r="T905" s="204" t="n"/>
      <c r="U905" s="204" t="n"/>
      <c r="V905" s="204" t="n"/>
      <c r="W905" s="204" t="n"/>
      <c r="X905" s="204" t="n"/>
      <c r="Y905" s="204" t="n"/>
      <c r="Z905" s="204" t="n"/>
      <c r="AA905" s="204" t="n"/>
      <c r="AB905" s="204" t="n"/>
      <c r="AC905" s="204" t="n"/>
      <c r="AD905" s="204" t="n"/>
      <c r="AE905" s="204" t="n"/>
      <c r="AF905" s="204" t="n"/>
      <c r="AG905" s="204" t="n"/>
    </row>
    <row r="906" ht="12.75" customHeight="1" s="205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  <c r="S906" s="204" t="n"/>
      <c r="T906" s="204" t="n"/>
      <c r="U906" s="204" t="n"/>
      <c r="V906" s="204" t="n"/>
      <c r="W906" s="204" t="n"/>
      <c r="X906" s="204" t="n"/>
      <c r="Y906" s="204" t="n"/>
      <c r="Z906" s="204" t="n"/>
      <c r="AA906" s="204" t="n"/>
      <c r="AB906" s="204" t="n"/>
      <c r="AC906" s="204" t="n"/>
      <c r="AD906" s="204" t="n"/>
      <c r="AE906" s="204" t="n"/>
      <c r="AF906" s="204" t="n"/>
      <c r="AG906" s="204" t="n"/>
    </row>
    <row r="907" ht="12.75" customHeight="1" s="205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  <c r="S907" s="204" t="n"/>
      <c r="T907" s="204" t="n"/>
      <c r="U907" s="204" t="n"/>
      <c r="V907" s="204" t="n"/>
      <c r="W907" s="204" t="n"/>
      <c r="X907" s="204" t="n"/>
      <c r="Y907" s="204" t="n"/>
      <c r="Z907" s="204" t="n"/>
      <c r="AA907" s="204" t="n"/>
      <c r="AB907" s="204" t="n"/>
      <c r="AC907" s="204" t="n"/>
      <c r="AD907" s="204" t="n"/>
      <c r="AE907" s="204" t="n"/>
      <c r="AF907" s="204" t="n"/>
      <c r="AG907" s="204" t="n"/>
    </row>
    <row r="908" ht="12.75" customHeight="1" s="205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  <c r="S908" s="204" t="n"/>
      <c r="T908" s="204" t="n"/>
      <c r="U908" s="204" t="n"/>
      <c r="V908" s="204" t="n"/>
      <c r="W908" s="204" t="n"/>
      <c r="X908" s="204" t="n"/>
      <c r="Y908" s="204" t="n"/>
      <c r="Z908" s="204" t="n"/>
      <c r="AA908" s="204" t="n"/>
      <c r="AB908" s="204" t="n"/>
      <c r="AC908" s="204" t="n"/>
      <c r="AD908" s="204" t="n"/>
      <c r="AE908" s="204" t="n"/>
      <c r="AF908" s="204" t="n"/>
      <c r="AG908" s="204" t="n"/>
    </row>
    <row r="909" ht="12.75" customHeight="1" s="205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  <c r="S909" s="204" t="n"/>
      <c r="T909" s="204" t="n"/>
      <c r="U909" s="204" t="n"/>
      <c r="V909" s="204" t="n"/>
      <c r="W909" s="204" t="n"/>
      <c r="X909" s="204" t="n"/>
      <c r="Y909" s="204" t="n"/>
      <c r="Z909" s="204" t="n"/>
      <c r="AA909" s="204" t="n"/>
      <c r="AB909" s="204" t="n"/>
      <c r="AC909" s="204" t="n"/>
      <c r="AD909" s="204" t="n"/>
      <c r="AE909" s="204" t="n"/>
      <c r="AF909" s="204" t="n"/>
      <c r="AG909" s="204" t="n"/>
    </row>
    <row r="910" ht="12.75" customHeight="1" s="205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  <c r="S910" s="204" t="n"/>
      <c r="T910" s="204" t="n"/>
      <c r="U910" s="204" t="n"/>
      <c r="V910" s="204" t="n"/>
      <c r="W910" s="204" t="n"/>
      <c r="X910" s="204" t="n"/>
      <c r="Y910" s="204" t="n"/>
      <c r="Z910" s="204" t="n"/>
      <c r="AA910" s="204" t="n"/>
      <c r="AB910" s="204" t="n"/>
      <c r="AC910" s="204" t="n"/>
      <c r="AD910" s="204" t="n"/>
      <c r="AE910" s="204" t="n"/>
      <c r="AF910" s="204" t="n"/>
      <c r="AG910" s="204" t="n"/>
    </row>
    <row r="911" ht="12.75" customHeight="1" s="205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  <c r="S911" s="204" t="n"/>
      <c r="T911" s="204" t="n"/>
      <c r="U911" s="204" t="n"/>
      <c r="V911" s="204" t="n"/>
      <c r="W911" s="204" t="n"/>
      <c r="X911" s="204" t="n"/>
      <c r="Y911" s="204" t="n"/>
      <c r="Z911" s="204" t="n"/>
      <c r="AA911" s="204" t="n"/>
      <c r="AB911" s="204" t="n"/>
      <c r="AC911" s="204" t="n"/>
      <c r="AD911" s="204" t="n"/>
      <c r="AE911" s="204" t="n"/>
      <c r="AF911" s="204" t="n"/>
      <c r="AG911" s="204" t="n"/>
    </row>
    <row r="912" ht="12.75" customHeight="1" s="205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  <c r="S912" s="204" t="n"/>
      <c r="T912" s="204" t="n"/>
      <c r="U912" s="204" t="n"/>
      <c r="V912" s="204" t="n"/>
      <c r="W912" s="204" t="n"/>
      <c r="X912" s="204" t="n"/>
      <c r="Y912" s="204" t="n"/>
      <c r="Z912" s="204" t="n"/>
      <c r="AA912" s="204" t="n"/>
      <c r="AB912" s="204" t="n"/>
      <c r="AC912" s="204" t="n"/>
      <c r="AD912" s="204" t="n"/>
      <c r="AE912" s="204" t="n"/>
      <c r="AF912" s="204" t="n"/>
      <c r="AG912" s="204" t="n"/>
    </row>
    <row r="913" ht="12.75" customHeight="1" s="205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  <c r="S913" s="204" t="n"/>
      <c r="T913" s="204" t="n"/>
      <c r="U913" s="204" t="n"/>
      <c r="V913" s="204" t="n"/>
      <c r="W913" s="204" t="n"/>
      <c r="X913" s="204" t="n"/>
      <c r="Y913" s="204" t="n"/>
      <c r="Z913" s="204" t="n"/>
      <c r="AA913" s="204" t="n"/>
      <c r="AB913" s="204" t="n"/>
      <c r="AC913" s="204" t="n"/>
      <c r="AD913" s="204" t="n"/>
      <c r="AE913" s="204" t="n"/>
      <c r="AF913" s="204" t="n"/>
      <c r="AG913" s="204" t="n"/>
    </row>
    <row r="914" ht="12.75" customHeight="1" s="205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  <c r="S914" s="204" t="n"/>
      <c r="T914" s="204" t="n"/>
      <c r="U914" s="204" t="n"/>
      <c r="V914" s="204" t="n"/>
      <c r="W914" s="204" t="n"/>
      <c r="X914" s="204" t="n"/>
      <c r="Y914" s="204" t="n"/>
      <c r="Z914" s="204" t="n"/>
      <c r="AA914" s="204" t="n"/>
      <c r="AB914" s="204" t="n"/>
      <c r="AC914" s="204" t="n"/>
      <c r="AD914" s="204" t="n"/>
      <c r="AE914" s="204" t="n"/>
      <c r="AF914" s="204" t="n"/>
      <c r="AG914" s="204" t="n"/>
    </row>
    <row r="915" ht="12.75" customHeight="1" s="205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  <c r="S915" s="204" t="n"/>
      <c r="T915" s="204" t="n"/>
      <c r="U915" s="204" t="n"/>
      <c r="V915" s="204" t="n"/>
      <c r="W915" s="204" t="n"/>
      <c r="X915" s="204" t="n"/>
      <c r="Y915" s="204" t="n"/>
      <c r="Z915" s="204" t="n"/>
      <c r="AA915" s="204" t="n"/>
      <c r="AB915" s="204" t="n"/>
      <c r="AC915" s="204" t="n"/>
      <c r="AD915" s="204" t="n"/>
      <c r="AE915" s="204" t="n"/>
      <c r="AF915" s="204" t="n"/>
      <c r="AG915" s="204" t="n"/>
    </row>
    <row r="916" ht="12.75" customHeight="1" s="205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  <c r="S916" s="204" t="n"/>
      <c r="T916" s="204" t="n"/>
      <c r="U916" s="204" t="n"/>
      <c r="V916" s="204" t="n"/>
      <c r="W916" s="204" t="n"/>
      <c r="X916" s="204" t="n"/>
      <c r="Y916" s="204" t="n"/>
      <c r="Z916" s="204" t="n"/>
      <c r="AA916" s="204" t="n"/>
      <c r="AB916" s="204" t="n"/>
      <c r="AC916" s="204" t="n"/>
      <c r="AD916" s="204" t="n"/>
      <c r="AE916" s="204" t="n"/>
      <c r="AF916" s="204" t="n"/>
      <c r="AG916" s="204" t="n"/>
    </row>
    <row r="917" ht="12.75" customHeight="1" s="205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  <c r="S917" s="204" t="n"/>
      <c r="T917" s="204" t="n"/>
      <c r="U917" s="204" t="n"/>
      <c r="V917" s="204" t="n"/>
      <c r="W917" s="204" t="n"/>
      <c r="X917" s="204" t="n"/>
      <c r="Y917" s="204" t="n"/>
      <c r="Z917" s="204" t="n"/>
      <c r="AA917" s="204" t="n"/>
      <c r="AB917" s="204" t="n"/>
      <c r="AC917" s="204" t="n"/>
      <c r="AD917" s="204" t="n"/>
      <c r="AE917" s="204" t="n"/>
      <c r="AF917" s="204" t="n"/>
      <c r="AG917" s="204" t="n"/>
    </row>
    <row r="918" ht="12.75" customHeight="1" s="205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  <c r="S918" s="204" t="n"/>
      <c r="T918" s="204" t="n"/>
      <c r="U918" s="204" t="n"/>
      <c r="V918" s="204" t="n"/>
      <c r="W918" s="204" t="n"/>
      <c r="X918" s="204" t="n"/>
      <c r="Y918" s="204" t="n"/>
      <c r="Z918" s="204" t="n"/>
      <c r="AA918" s="204" t="n"/>
      <c r="AB918" s="204" t="n"/>
      <c r="AC918" s="204" t="n"/>
      <c r="AD918" s="204" t="n"/>
      <c r="AE918" s="204" t="n"/>
      <c r="AF918" s="204" t="n"/>
      <c r="AG918" s="204" t="n"/>
    </row>
    <row r="919" ht="12.75" customHeight="1" s="205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  <c r="S919" s="204" t="n"/>
      <c r="T919" s="204" t="n"/>
      <c r="U919" s="204" t="n"/>
      <c r="V919" s="204" t="n"/>
      <c r="W919" s="204" t="n"/>
      <c r="X919" s="204" t="n"/>
      <c r="Y919" s="204" t="n"/>
      <c r="Z919" s="204" t="n"/>
      <c r="AA919" s="204" t="n"/>
      <c r="AB919" s="204" t="n"/>
      <c r="AC919" s="204" t="n"/>
      <c r="AD919" s="204" t="n"/>
      <c r="AE919" s="204" t="n"/>
      <c r="AF919" s="204" t="n"/>
      <c r="AG919" s="204" t="n"/>
    </row>
    <row r="920" ht="12.75" customHeight="1" s="205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  <c r="S920" s="204" t="n"/>
      <c r="T920" s="204" t="n"/>
      <c r="U920" s="204" t="n"/>
      <c r="V920" s="204" t="n"/>
      <c r="W920" s="204" t="n"/>
      <c r="X920" s="204" t="n"/>
      <c r="Y920" s="204" t="n"/>
      <c r="Z920" s="204" t="n"/>
      <c r="AA920" s="204" t="n"/>
      <c r="AB920" s="204" t="n"/>
      <c r="AC920" s="204" t="n"/>
      <c r="AD920" s="204" t="n"/>
      <c r="AE920" s="204" t="n"/>
      <c r="AF920" s="204" t="n"/>
      <c r="AG920" s="204" t="n"/>
    </row>
    <row r="921" ht="12.75" customHeight="1" s="205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  <c r="S921" s="204" t="n"/>
      <c r="T921" s="204" t="n"/>
      <c r="U921" s="204" t="n"/>
      <c r="V921" s="204" t="n"/>
      <c r="W921" s="204" t="n"/>
      <c r="X921" s="204" t="n"/>
      <c r="Y921" s="204" t="n"/>
      <c r="Z921" s="204" t="n"/>
      <c r="AA921" s="204" t="n"/>
      <c r="AB921" s="204" t="n"/>
      <c r="AC921" s="204" t="n"/>
      <c r="AD921" s="204" t="n"/>
      <c r="AE921" s="204" t="n"/>
      <c r="AF921" s="204" t="n"/>
      <c r="AG921" s="204" t="n"/>
    </row>
    <row r="922" ht="12.75" customHeight="1" s="205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  <c r="S922" s="204" t="n"/>
      <c r="T922" s="204" t="n"/>
      <c r="U922" s="204" t="n"/>
      <c r="V922" s="204" t="n"/>
      <c r="W922" s="204" t="n"/>
      <c r="X922" s="204" t="n"/>
      <c r="Y922" s="204" t="n"/>
      <c r="Z922" s="204" t="n"/>
      <c r="AA922" s="204" t="n"/>
      <c r="AB922" s="204" t="n"/>
      <c r="AC922" s="204" t="n"/>
      <c r="AD922" s="204" t="n"/>
      <c r="AE922" s="204" t="n"/>
      <c r="AF922" s="204" t="n"/>
      <c r="AG922" s="204" t="n"/>
    </row>
    <row r="923" ht="12.75" customHeight="1" s="205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  <c r="S923" s="204" t="n"/>
      <c r="T923" s="204" t="n"/>
      <c r="U923" s="204" t="n"/>
      <c r="V923" s="204" t="n"/>
      <c r="W923" s="204" t="n"/>
      <c r="X923" s="204" t="n"/>
      <c r="Y923" s="204" t="n"/>
      <c r="Z923" s="204" t="n"/>
      <c r="AA923" s="204" t="n"/>
      <c r="AB923" s="204" t="n"/>
      <c r="AC923" s="204" t="n"/>
      <c r="AD923" s="204" t="n"/>
      <c r="AE923" s="204" t="n"/>
      <c r="AF923" s="204" t="n"/>
      <c r="AG923" s="204" t="n"/>
    </row>
    <row r="924" ht="12.75" customHeight="1" s="205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  <c r="S924" s="204" t="n"/>
      <c r="T924" s="204" t="n"/>
      <c r="U924" s="204" t="n"/>
      <c r="V924" s="204" t="n"/>
      <c r="W924" s="204" t="n"/>
      <c r="X924" s="204" t="n"/>
      <c r="Y924" s="204" t="n"/>
      <c r="Z924" s="204" t="n"/>
      <c r="AA924" s="204" t="n"/>
      <c r="AB924" s="204" t="n"/>
      <c r="AC924" s="204" t="n"/>
      <c r="AD924" s="204" t="n"/>
      <c r="AE924" s="204" t="n"/>
      <c r="AF924" s="204" t="n"/>
      <c r="AG924" s="204" t="n"/>
    </row>
    <row r="925" ht="12.75" customHeight="1" s="205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  <c r="S925" s="204" t="n"/>
      <c r="T925" s="204" t="n"/>
      <c r="U925" s="204" t="n"/>
      <c r="V925" s="204" t="n"/>
      <c r="W925" s="204" t="n"/>
      <c r="X925" s="204" t="n"/>
      <c r="Y925" s="204" t="n"/>
      <c r="Z925" s="204" t="n"/>
      <c r="AA925" s="204" t="n"/>
      <c r="AB925" s="204" t="n"/>
      <c r="AC925" s="204" t="n"/>
      <c r="AD925" s="204" t="n"/>
      <c r="AE925" s="204" t="n"/>
      <c r="AF925" s="204" t="n"/>
      <c r="AG925" s="204" t="n"/>
    </row>
    <row r="926" ht="12.75" customHeight="1" s="205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  <c r="S926" s="204" t="n"/>
      <c r="T926" s="204" t="n"/>
      <c r="U926" s="204" t="n"/>
      <c r="V926" s="204" t="n"/>
      <c r="W926" s="204" t="n"/>
      <c r="X926" s="204" t="n"/>
      <c r="Y926" s="204" t="n"/>
      <c r="Z926" s="204" t="n"/>
      <c r="AA926" s="204" t="n"/>
      <c r="AB926" s="204" t="n"/>
      <c r="AC926" s="204" t="n"/>
      <c r="AD926" s="204" t="n"/>
      <c r="AE926" s="204" t="n"/>
      <c r="AF926" s="204" t="n"/>
      <c r="AG926" s="204" t="n"/>
    </row>
    <row r="927" ht="12.75" customHeight="1" s="205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  <c r="S927" s="204" t="n"/>
      <c r="T927" s="204" t="n"/>
      <c r="U927" s="204" t="n"/>
      <c r="V927" s="204" t="n"/>
      <c r="W927" s="204" t="n"/>
      <c r="X927" s="204" t="n"/>
      <c r="Y927" s="204" t="n"/>
      <c r="Z927" s="204" t="n"/>
      <c r="AA927" s="204" t="n"/>
      <c r="AB927" s="204" t="n"/>
      <c r="AC927" s="204" t="n"/>
      <c r="AD927" s="204" t="n"/>
      <c r="AE927" s="204" t="n"/>
      <c r="AF927" s="204" t="n"/>
      <c r="AG927" s="204" t="n"/>
    </row>
    <row r="928" ht="12.75" customHeight="1" s="205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  <c r="S928" s="204" t="n"/>
      <c r="T928" s="204" t="n"/>
      <c r="U928" s="204" t="n"/>
      <c r="V928" s="204" t="n"/>
      <c r="W928" s="204" t="n"/>
      <c r="X928" s="204" t="n"/>
      <c r="Y928" s="204" t="n"/>
      <c r="Z928" s="204" t="n"/>
      <c r="AA928" s="204" t="n"/>
      <c r="AB928" s="204" t="n"/>
      <c r="AC928" s="204" t="n"/>
      <c r="AD928" s="204" t="n"/>
      <c r="AE928" s="204" t="n"/>
      <c r="AF928" s="204" t="n"/>
      <c r="AG928" s="204" t="n"/>
    </row>
    <row r="929" ht="12.75" customHeight="1" s="205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  <c r="S929" s="204" t="n"/>
      <c r="T929" s="204" t="n"/>
      <c r="U929" s="204" t="n"/>
      <c r="V929" s="204" t="n"/>
      <c r="W929" s="204" t="n"/>
      <c r="X929" s="204" t="n"/>
      <c r="Y929" s="204" t="n"/>
      <c r="Z929" s="204" t="n"/>
      <c r="AA929" s="204" t="n"/>
      <c r="AB929" s="204" t="n"/>
      <c r="AC929" s="204" t="n"/>
      <c r="AD929" s="204" t="n"/>
      <c r="AE929" s="204" t="n"/>
      <c r="AF929" s="204" t="n"/>
      <c r="AG929" s="204" t="n"/>
    </row>
    <row r="930" ht="12.75" customHeight="1" s="205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  <c r="S930" s="204" t="n"/>
      <c r="T930" s="204" t="n"/>
      <c r="U930" s="204" t="n"/>
      <c r="V930" s="204" t="n"/>
      <c r="W930" s="204" t="n"/>
      <c r="X930" s="204" t="n"/>
      <c r="Y930" s="204" t="n"/>
      <c r="Z930" s="204" t="n"/>
      <c r="AA930" s="204" t="n"/>
      <c r="AB930" s="204" t="n"/>
      <c r="AC930" s="204" t="n"/>
      <c r="AD930" s="204" t="n"/>
      <c r="AE930" s="204" t="n"/>
      <c r="AF930" s="204" t="n"/>
      <c r="AG930" s="204" t="n"/>
    </row>
    <row r="931" ht="12.75" customHeight="1" s="205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  <c r="S931" s="204" t="n"/>
      <c r="T931" s="204" t="n"/>
      <c r="U931" s="204" t="n"/>
      <c r="V931" s="204" t="n"/>
      <c r="W931" s="204" t="n"/>
      <c r="X931" s="204" t="n"/>
      <c r="Y931" s="204" t="n"/>
      <c r="Z931" s="204" t="n"/>
      <c r="AA931" s="204" t="n"/>
      <c r="AB931" s="204" t="n"/>
      <c r="AC931" s="204" t="n"/>
      <c r="AD931" s="204" t="n"/>
      <c r="AE931" s="204" t="n"/>
      <c r="AF931" s="204" t="n"/>
      <c r="AG931" s="204" t="n"/>
    </row>
    <row r="932" ht="12.75" customHeight="1" s="205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  <c r="S932" s="204" t="n"/>
      <c r="T932" s="204" t="n"/>
      <c r="U932" s="204" t="n"/>
      <c r="V932" s="204" t="n"/>
      <c r="W932" s="204" t="n"/>
      <c r="X932" s="204" t="n"/>
      <c r="Y932" s="204" t="n"/>
      <c r="Z932" s="204" t="n"/>
      <c r="AA932" s="204" t="n"/>
      <c r="AB932" s="204" t="n"/>
      <c r="AC932" s="204" t="n"/>
      <c r="AD932" s="204" t="n"/>
      <c r="AE932" s="204" t="n"/>
      <c r="AF932" s="204" t="n"/>
      <c r="AG932" s="20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5" min="3" max="5"/>
    <col width="13.1328125" customWidth="1" style="205" min="6" max="6"/>
    <col width="22.59765625" customWidth="1" style="205" min="7" max="7"/>
    <col width="18.3984375" customWidth="1" style="205" min="8" max="9"/>
  </cols>
  <sheetData>
    <row r="1" ht="12.75" customHeight="1" s="205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5">
      <c r="B2" s="204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5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5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5">
      <c r="B5" s="60" t="n"/>
      <c r="C5" s="61" t="n"/>
      <c r="D5" s="61" t="n"/>
      <c r="E5" s="62" t="n"/>
      <c r="F5" s="61" t="n"/>
      <c r="G5" s="259" t="n"/>
      <c r="H5" s="61" t="n"/>
      <c r="I5" s="62" t="n"/>
      <c r="J5" s="47" t="n"/>
      <c r="K5" s="47" t="n"/>
      <c r="L5" s="47" t="n"/>
      <c r="M5" s="47" t="n"/>
    </row>
    <row r="6" ht="12.75" customHeight="1" s="205">
      <c r="B6" s="26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1" t="n"/>
      <c r="G6" s="262" t="n"/>
      <c r="H6" s="65" t="n">
        <v>1</v>
      </c>
      <c r="I6" s="263" t="n">
        <v>11</v>
      </c>
      <c r="J6" s="47" t="n"/>
      <c r="K6" s="47" t="n"/>
      <c r="L6" s="47" t="n"/>
      <c r="M6" s="47" t="n"/>
    </row>
    <row r="7" ht="12.75" customHeight="1" s="205">
      <c r="B7" s="26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1" t="n"/>
      <c r="G7" s="262" t="n"/>
      <c r="H7" s="264" t="n"/>
      <c r="I7" s="265" t="n"/>
      <c r="J7" s="47" t="n"/>
      <c r="K7" s="47" t="n"/>
      <c r="L7" s="47" t="n"/>
      <c r="M7" s="47" t="n"/>
    </row>
    <row r="8" ht="12.75" customHeight="1" s="205">
      <c r="B8" s="26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1" t="n"/>
      <c r="G8" s="262" t="n"/>
      <c r="H8" s="264" t="n"/>
      <c r="I8" s="265" t="n"/>
      <c r="J8" s="47" t="n"/>
      <c r="K8" s="47" t="n"/>
      <c r="L8" s="47" t="n"/>
      <c r="M8" s="47" t="n"/>
    </row>
    <row r="9" ht="12.75" customHeight="1" s="205">
      <c r="B9" s="26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1" t="n"/>
      <c r="G9" s="262" t="n"/>
      <c r="H9" s="264" t="n"/>
      <c r="I9" s="265" t="n"/>
      <c r="J9" s="47" t="n"/>
      <c r="K9" s="47" t="n"/>
      <c r="L9" s="47" t="n"/>
      <c r="M9" s="47" t="n"/>
    </row>
    <row r="10" ht="12.75" customHeight="1" s="205">
      <c r="B10" s="26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1" t="n"/>
      <c r="G10" s="262" t="n"/>
      <c r="H10" s="264" t="n"/>
      <c r="I10" s="265" t="n"/>
      <c r="J10" s="47" t="n"/>
      <c r="K10" s="47" t="n"/>
      <c r="L10" s="47" t="n"/>
      <c r="M10" s="47" t="n"/>
    </row>
    <row r="11" ht="12.75" customHeight="1" s="205">
      <c r="B11" s="26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1" t="n"/>
      <c r="G11" s="262" t="n"/>
      <c r="H11" s="264" t="n"/>
      <c r="I11" s="265" t="n"/>
      <c r="J11" s="47" t="n"/>
      <c r="K11" s="47" t="n"/>
      <c r="L11" s="47" t="n"/>
      <c r="M11" s="47" t="n"/>
    </row>
    <row r="12" ht="12.75" customHeight="1" s="205">
      <c r="B12" s="26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1" t="n"/>
      <c r="G12" s="262" t="n"/>
      <c r="H12" s="264" t="n"/>
      <c r="I12" s="265" t="n"/>
      <c r="J12" s="47" t="n"/>
      <c r="K12" s="47" t="n"/>
      <c r="L12" s="47" t="n"/>
      <c r="M12" s="47" t="n"/>
    </row>
    <row r="13" ht="12.75" customHeight="1" s="205">
      <c r="B13" s="26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1" t="n"/>
      <c r="G13" s="262" t="n"/>
      <c r="H13" s="264" t="n"/>
      <c r="I13" s="265" t="n"/>
      <c r="J13" s="47" t="n"/>
      <c r="K13" s="47" t="n"/>
      <c r="L13" s="47" t="n"/>
      <c r="M13" s="47" t="n"/>
    </row>
    <row r="14" ht="12.75" customHeight="1" s="205">
      <c r="B14" s="26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1" t="n"/>
      <c r="G14" s="262" t="n"/>
      <c r="H14" s="264" t="n"/>
      <c r="I14" s="265" t="n"/>
      <c r="J14" s="47" t="n"/>
      <c r="K14" s="47" t="n"/>
      <c r="L14" s="47" t="n"/>
      <c r="M14" s="47" t="n"/>
    </row>
    <row r="15" ht="12.75" customHeight="1" s="205">
      <c r="B15" s="26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1" t="n"/>
      <c r="G15" s="262" t="n"/>
      <c r="H15" s="264" t="n"/>
      <c r="I15" s="265" t="n"/>
      <c r="J15" s="47" t="n"/>
      <c r="K15" s="47" t="n"/>
      <c r="L15" s="47" t="n"/>
      <c r="M15" s="47" t="n"/>
    </row>
    <row r="16" ht="12.75" customHeight="1" s="205">
      <c r="B16" s="26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1" t="n"/>
      <c r="G16" s="262" t="n"/>
      <c r="H16" s="264" t="n"/>
      <c r="I16" s="265" t="n"/>
      <c r="J16" s="47" t="n"/>
      <c r="K16" s="47" t="n"/>
      <c r="L16" s="47" t="n"/>
      <c r="M16" s="47" t="n"/>
    </row>
    <row r="17" ht="12.75" customHeight="1" s="205">
      <c r="B17" s="26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1" t="n"/>
      <c r="G17" s="262" t="n"/>
      <c r="H17" s="264" t="n"/>
      <c r="I17" s="265" t="n"/>
      <c r="J17" s="47" t="n"/>
      <c r="K17" s="47" t="n"/>
      <c r="L17" s="47" t="n"/>
      <c r="M17" s="47" t="n"/>
    </row>
    <row r="18" ht="12.75" customHeight="1" s="205">
      <c r="B18" s="26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1" t="n"/>
      <c r="G18" s="262" t="n"/>
      <c r="H18" s="264" t="n"/>
      <c r="I18" s="265" t="n"/>
      <c r="J18" s="47" t="n"/>
      <c r="K18" s="47" t="n"/>
      <c r="L18" s="47" t="n"/>
      <c r="M18" s="47" t="n"/>
    </row>
    <row r="19" ht="12.75" customHeight="1" s="205">
      <c r="B19" s="26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1" t="n"/>
      <c r="G19" s="262" t="n"/>
      <c r="H19" s="264" t="n"/>
      <c r="I19" s="265" t="n"/>
      <c r="J19" s="47" t="n"/>
      <c r="K19" s="47" t="n"/>
      <c r="L19" s="47" t="n"/>
      <c r="M19" s="47" t="n"/>
    </row>
    <row r="20" ht="12.75" customHeight="1" s="205">
      <c r="B20" s="26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1" t="n"/>
      <c r="G20" s="262" t="n"/>
      <c r="H20" s="264" t="n"/>
      <c r="I20" s="265" t="n"/>
      <c r="J20" s="47" t="n"/>
      <c r="K20" s="47" t="n"/>
      <c r="L20" s="47" t="n"/>
      <c r="M20" s="47" t="n"/>
    </row>
    <row r="21" ht="12.75" customHeight="1" s="205">
      <c r="B21" s="26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1" t="n"/>
      <c r="G21" s="262" t="n"/>
      <c r="H21" s="264" t="n"/>
      <c r="I21" s="265" t="n"/>
      <c r="J21" s="47" t="n"/>
      <c r="K21" s="47" t="n"/>
      <c r="L21" s="47" t="n"/>
      <c r="M21" s="47" t="n"/>
    </row>
    <row r="22" ht="12.75" customHeight="1" s="205">
      <c r="B22" s="26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1" t="n"/>
      <c r="G22" s="262" t="n"/>
      <c r="H22" s="264" t="n"/>
      <c r="I22" s="265" t="n"/>
      <c r="J22" s="47" t="n"/>
      <c r="K22" s="47" t="n"/>
      <c r="L22" s="47" t="n"/>
      <c r="M22" s="47" t="n"/>
    </row>
    <row r="23" ht="12.75" customHeight="1" s="205">
      <c r="B23" s="26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1" t="n"/>
      <c r="G23" s="262" t="n"/>
      <c r="H23" s="264" t="n"/>
      <c r="I23" s="265" t="n"/>
      <c r="J23" s="47" t="n"/>
      <c r="K23" s="47" t="n"/>
      <c r="L23" s="47" t="n"/>
      <c r="M23" s="47" t="n"/>
    </row>
    <row r="24" ht="12.75" customHeight="1" s="205">
      <c r="B24" s="26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1" t="n"/>
      <c r="G24" s="262" t="n"/>
      <c r="H24" s="264" t="n"/>
      <c r="I24" s="265" t="n"/>
      <c r="J24" s="47" t="n"/>
      <c r="K24" s="47" t="n"/>
      <c r="L24" s="47" t="n"/>
      <c r="M24" s="47" t="n"/>
    </row>
    <row r="25" ht="12.75" customHeight="1" s="205">
      <c r="B25" s="26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1" t="n"/>
      <c r="G25" s="262" t="n"/>
      <c r="H25" s="264" t="n"/>
      <c r="I25" s="265" t="n"/>
      <c r="J25" s="47" t="n"/>
      <c r="K25" s="47" t="n"/>
      <c r="L25" s="47" t="n"/>
      <c r="M25" s="47" t="n"/>
    </row>
    <row r="26" ht="12.75" customHeight="1" s="205">
      <c r="B26" s="26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1" t="n"/>
      <c r="G26" s="262" t="n"/>
      <c r="H26" s="264" t="n"/>
      <c r="I26" s="265" t="n"/>
      <c r="J26" s="47" t="n"/>
      <c r="K26" s="47" t="n"/>
      <c r="L26" s="47" t="n"/>
      <c r="M26" s="47" t="n"/>
    </row>
    <row r="27" ht="12.75" customHeight="1" s="205">
      <c r="B27" s="26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1" t="n"/>
      <c r="G27" s="262" t="n"/>
      <c r="H27" s="264" t="n"/>
      <c r="I27" s="265" t="n"/>
      <c r="J27" s="47" t="n"/>
      <c r="K27" s="47" t="n"/>
      <c r="L27" s="47" t="n"/>
      <c r="M27" s="47" t="n"/>
    </row>
    <row r="28" ht="12.75" customHeight="1" s="205">
      <c r="B28" s="26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1" t="n"/>
      <c r="G28" s="262" t="n"/>
      <c r="H28" s="264" t="n"/>
      <c r="I28" s="265" t="n"/>
      <c r="J28" s="47" t="n"/>
      <c r="K28" s="47" t="n"/>
      <c r="L28" s="47" t="n"/>
      <c r="M28" s="47" t="n"/>
    </row>
    <row r="29" ht="12.75" customHeight="1" s="205">
      <c r="B29" s="26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1" t="n"/>
      <c r="G29" s="262" t="n"/>
      <c r="H29" s="264" t="n"/>
      <c r="I29" s="265" t="n"/>
      <c r="J29" s="47" t="n"/>
      <c r="K29" s="47" t="n"/>
      <c r="L29" s="47" t="n"/>
      <c r="M29" s="47" t="n"/>
    </row>
    <row r="30" ht="12.75" customHeight="1" s="205">
      <c r="B30" s="26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1" t="n"/>
      <c r="G30" s="262" t="n"/>
      <c r="H30" s="264" t="n"/>
      <c r="I30" s="265" t="n"/>
      <c r="J30" s="47" t="n"/>
      <c r="K30" s="47" t="n"/>
      <c r="L30" s="47" t="n"/>
      <c r="M30" s="47" t="n"/>
    </row>
    <row r="31" ht="12.75" customHeight="1" s="205">
      <c r="B31" s="26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1" t="n"/>
      <c r="G31" s="262" t="n"/>
      <c r="H31" s="264" t="n"/>
      <c r="I31" s="265" t="n"/>
      <c r="J31" s="47" t="n"/>
      <c r="K31" s="47" t="n"/>
      <c r="L31" s="47" t="n"/>
      <c r="M31" s="47" t="n"/>
    </row>
    <row r="32" ht="12.75" customHeight="1" s="205">
      <c r="B32" s="26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1" t="n"/>
      <c r="G32" s="262" t="n"/>
      <c r="H32" s="264" t="n"/>
      <c r="I32" s="265" t="n"/>
      <c r="J32" s="47" t="n"/>
      <c r="K32" s="47" t="n"/>
      <c r="L32" s="47" t="n"/>
      <c r="M32" s="47" t="n"/>
    </row>
    <row r="33" ht="12.75" customHeight="1" s="205">
      <c r="B33" s="26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1" t="n"/>
      <c r="G33" s="262" t="n"/>
      <c r="H33" s="264" t="n"/>
      <c r="I33" s="265" t="n"/>
      <c r="J33" s="47" t="n"/>
      <c r="K33" s="47" t="n"/>
      <c r="L33" s="47" t="n"/>
      <c r="M33" s="47" t="n"/>
    </row>
    <row r="34" ht="12.75" customHeight="1" s="205">
      <c r="B34" s="26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1" t="n"/>
      <c r="G34" s="262" t="n"/>
      <c r="H34" s="264" t="n"/>
      <c r="I34" s="265" t="n"/>
      <c r="J34" s="47" t="n"/>
      <c r="K34" s="47" t="n"/>
      <c r="L34" s="47" t="n"/>
      <c r="M34" s="47" t="n"/>
    </row>
    <row r="35" ht="12.75" customHeight="1" s="205">
      <c r="B35" s="26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1" t="n"/>
      <c r="G35" s="262" t="n"/>
      <c r="H35" s="264" t="n"/>
      <c r="I35" s="265" t="n"/>
      <c r="J35" s="47" t="n"/>
      <c r="K35" s="47" t="n"/>
      <c r="L35" s="47" t="n"/>
      <c r="M35" s="47" t="n"/>
    </row>
    <row r="36" ht="12.75" customHeight="1" s="205">
      <c r="B36" s="26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1" t="n"/>
      <c r="G36" s="262" t="n"/>
      <c r="H36" s="264" t="n"/>
      <c r="I36" s="265" t="n"/>
      <c r="J36" s="47" t="n"/>
      <c r="K36" s="47" t="n"/>
      <c r="L36" s="47" t="n"/>
      <c r="M36" s="47" t="n"/>
    </row>
    <row r="37" ht="12.75" customHeight="1" s="205">
      <c r="B37" s="26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1" t="n"/>
      <c r="G37" s="262" t="n"/>
      <c r="H37" s="264" t="n"/>
      <c r="I37" s="265" t="n"/>
      <c r="J37" s="47" t="n"/>
      <c r="K37" s="47" t="n"/>
      <c r="L37" s="47" t="n"/>
      <c r="M37" s="47" t="n"/>
    </row>
    <row r="38" ht="12.75" customHeight="1" s="205">
      <c r="B38" s="26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1" t="n"/>
      <c r="G38" s="262" t="n"/>
      <c r="H38" s="264" t="n"/>
      <c r="I38" s="265" t="n"/>
      <c r="J38" s="47" t="n"/>
      <c r="K38" s="47" t="n"/>
      <c r="L38" s="47" t="n"/>
      <c r="M38" s="47" t="n"/>
    </row>
    <row r="39" ht="12.75" customHeight="1" s="205">
      <c r="B39" s="26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1" t="n"/>
      <c r="G39" s="262" t="n"/>
      <c r="H39" s="264" t="n"/>
      <c r="I39" s="265" t="n"/>
      <c r="J39" s="47" t="n"/>
      <c r="K39" s="47" t="n"/>
      <c r="L39" s="47" t="n"/>
      <c r="M39" s="47" t="n"/>
    </row>
    <row r="40" ht="12.75" customHeight="1" s="205">
      <c r="B40" s="26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1" t="n"/>
      <c r="G40" s="262" t="n"/>
      <c r="H40" s="264" t="n"/>
      <c r="I40" s="265" t="n"/>
      <c r="J40" s="47" t="n"/>
      <c r="K40" s="47" t="n"/>
      <c r="L40" s="47" t="n"/>
      <c r="M40" s="47" t="n"/>
    </row>
    <row r="41" ht="12.75" customHeight="1" s="205">
      <c r="B41" s="26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1" t="n"/>
      <c r="G41" s="262" t="n"/>
      <c r="H41" s="264" t="n"/>
      <c r="I41" s="265" t="n"/>
      <c r="J41" s="47" t="n"/>
      <c r="K41" s="47" t="n"/>
      <c r="L41" s="47" t="n"/>
      <c r="M41" s="47" t="n"/>
    </row>
    <row r="42" ht="12.75" customHeight="1" s="205">
      <c r="B42" s="26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1" t="n"/>
      <c r="G42" s="262" t="n"/>
      <c r="H42" s="264" t="n"/>
      <c r="I42" s="265" t="n"/>
      <c r="J42" s="47" t="n"/>
      <c r="K42" s="47" t="n"/>
      <c r="L42" s="47" t="n"/>
      <c r="M42" s="47" t="n"/>
    </row>
    <row r="43" ht="12.75" customHeight="1" s="205">
      <c r="B43" s="26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1" t="n"/>
      <c r="G43" s="262" t="n"/>
      <c r="H43" s="264" t="n"/>
      <c r="I43" s="265" t="n"/>
      <c r="J43" s="47" t="n"/>
      <c r="K43" s="47" t="n"/>
      <c r="L43" s="47" t="n"/>
      <c r="M43" s="47" t="n"/>
    </row>
    <row r="44" ht="12.75" customHeight="1" s="205">
      <c r="B44" s="26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1" t="n"/>
      <c r="G44" s="262" t="n"/>
      <c r="H44" s="264" t="n"/>
      <c r="I44" s="265" t="n"/>
      <c r="J44" s="47" t="n"/>
      <c r="K44" s="47" t="n"/>
      <c r="L44" s="47" t="n"/>
      <c r="M44" s="47" t="n"/>
    </row>
    <row r="45" ht="12.75" customHeight="1" s="205">
      <c r="B45" s="26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1" t="n"/>
      <c r="G45" s="262" t="n"/>
      <c r="H45" s="264" t="n"/>
      <c r="I45" s="265" t="n"/>
      <c r="J45" s="47" t="n"/>
      <c r="K45" s="47" t="n"/>
      <c r="L45" s="47" t="n"/>
      <c r="M45" s="47" t="n"/>
    </row>
    <row r="46" ht="12.75" customHeight="1" s="205">
      <c r="B46" s="26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1" t="n"/>
      <c r="G46" s="262" t="n"/>
      <c r="H46" s="264" t="n"/>
      <c r="I46" s="265" t="n"/>
      <c r="J46" s="47" t="n"/>
      <c r="K46" s="47" t="n"/>
      <c r="L46" s="47" t="n"/>
      <c r="M46" s="47" t="n"/>
    </row>
    <row r="47" ht="12.75" customHeight="1" s="205">
      <c r="B47" s="26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1" t="n"/>
      <c r="G47" s="262" t="n"/>
      <c r="H47" s="264" t="n"/>
      <c r="I47" s="265" t="n"/>
      <c r="J47" s="47" t="n"/>
      <c r="K47" s="47" t="n"/>
      <c r="L47" s="47" t="n"/>
      <c r="M47" s="47" t="n"/>
    </row>
    <row r="48" ht="12.75" customHeight="1" s="205">
      <c r="B48" s="26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1" t="n"/>
      <c r="G48" s="262" t="n"/>
      <c r="H48" s="264" t="n"/>
      <c r="I48" s="265" t="n"/>
      <c r="J48" s="47" t="n"/>
      <c r="K48" s="47" t="n"/>
      <c r="L48" s="47" t="n"/>
      <c r="M48" s="47" t="n"/>
    </row>
    <row r="49" ht="12.75" customHeight="1" s="205">
      <c r="B49" s="26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1" t="n"/>
      <c r="G49" s="262" t="n"/>
      <c r="H49" s="264" t="n"/>
      <c r="I49" s="265" t="n"/>
      <c r="J49" s="47" t="n"/>
      <c r="K49" s="47" t="n"/>
      <c r="L49" s="47" t="n"/>
      <c r="M49" s="47" t="n"/>
    </row>
    <row r="50" ht="12.75" customHeight="1" s="205">
      <c r="B50" s="26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1" t="n"/>
      <c r="G50" s="262" t="n"/>
      <c r="H50" s="264" t="n"/>
      <c r="I50" s="265" t="n"/>
      <c r="J50" s="47" t="n"/>
      <c r="K50" s="47" t="n"/>
      <c r="L50" s="47" t="n"/>
      <c r="M50" s="47" t="n"/>
    </row>
    <row r="51" ht="12.75" customHeight="1" s="205">
      <c r="B51" s="26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1" t="n"/>
      <c r="G51" s="262" t="n"/>
      <c r="H51" s="264" t="n"/>
      <c r="I51" s="265" t="n"/>
      <c r="J51" s="47" t="n"/>
      <c r="K51" s="47" t="n"/>
      <c r="L51" s="47" t="n"/>
      <c r="M51" s="47" t="n"/>
    </row>
    <row r="52" ht="12.75" customHeight="1" s="205">
      <c r="B52" s="26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1" t="n"/>
      <c r="G52" s="262" t="n"/>
      <c r="H52" s="264" t="n"/>
      <c r="I52" s="265" t="n"/>
      <c r="J52" s="47" t="n"/>
      <c r="K52" s="47" t="n"/>
      <c r="L52" s="47" t="n"/>
      <c r="M52" s="47" t="n"/>
    </row>
    <row r="53" ht="12.75" customHeight="1" s="205">
      <c r="B53" s="26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1" t="n"/>
      <c r="G53" s="262" t="n"/>
      <c r="H53" s="264" t="n"/>
      <c r="I53" s="265" t="n"/>
      <c r="J53" s="47" t="n"/>
      <c r="K53" s="47" t="n"/>
      <c r="L53" s="47" t="n"/>
      <c r="M53" s="47" t="n"/>
    </row>
    <row r="54" ht="12.75" customHeight="1" s="205">
      <c r="B54" s="26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1" t="n"/>
      <c r="G54" s="262" t="n"/>
      <c r="H54" s="264" t="n"/>
      <c r="I54" s="265" t="n"/>
      <c r="J54" s="47" t="n"/>
      <c r="K54" s="47" t="n"/>
      <c r="L54" s="47" t="n"/>
      <c r="M54" s="47" t="n"/>
    </row>
    <row r="55" ht="12.75" customHeight="1" s="205">
      <c r="B55" s="26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1" t="n"/>
      <c r="G55" s="262" t="n"/>
      <c r="H55" s="264" t="n"/>
      <c r="I55" s="265" t="n"/>
      <c r="J55" s="47" t="n"/>
      <c r="K55" s="47" t="n"/>
      <c r="L55" s="47" t="n"/>
      <c r="M55" s="47" t="n"/>
    </row>
    <row r="56" ht="12.75" customHeight="1" s="205">
      <c r="B56" s="26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1" t="n"/>
      <c r="G56" s="262" t="n"/>
      <c r="H56" s="264" t="n"/>
      <c r="I56" s="265" t="n"/>
      <c r="J56" s="47" t="n"/>
      <c r="K56" s="47" t="n"/>
      <c r="L56" s="47" t="n"/>
      <c r="M56" s="47" t="n"/>
    </row>
    <row r="57" ht="12.75" customHeight="1" s="205">
      <c r="B57" s="26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1" t="n"/>
      <c r="G57" s="262" t="n"/>
      <c r="H57" s="264" t="n"/>
      <c r="I57" s="265" t="n"/>
      <c r="J57" s="47" t="n"/>
      <c r="K57" s="47" t="n"/>
      <c r="L57" s="47" t="n"/>
      <c r="M57" s="47" t="n"/>
    </row>
    <row r="58" ht="12.75" customHeight="1" s="205">
      <c r="B58" s="26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1" t="n"/>
      <c r="G58" s="262" t="n"/>
      <c r="H58" s="264" t="n"/>
      <c r="I58" s="265" t="n"/>
      <c r="J58" s="47" t="n"/>
      <c r="K58" s="47" t="n"/>
      <c r="L58" s="47" t="n"/>
      <c r="M58" s="47" t="n"/>
    </row>
    <row r="59" ht="12.75" customHeight="1" s="205">
      <c r="B59" s="26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1" t="n"/>
      <c r="G59" s="262" t="n"/>
      <c r="H59" s="264" t="n"/>
      <c r="I59" s="265" t="n"/>
      <c r="J59" s="47" t="n"/>
      <c r="K59" s="47" t="n"/>
      <c r="L59" s="47" t="n"/>
      <c r="M59" s="47" t="n"/>
    </row>
    <row r="60" ht="12.75" customHeight="1" s="205">
      <c r="B60" s="26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1" t="n"/>
      <c r="G60" s="262" t="n"/>
      <c r="H60" s="264" t="n"/>
      <c r="I60" s="265" t="n"/>
      <c r="J60" s="47" t="n"/>
      <c r="K60" s="47" t="n"/>
      <c r="L60" s="47" t="n"/>
      <c r="M60" s="47" t="n"/>
    </row>
    <row r="61" ht="12.75" customHeight="1" s="205">
      <c r="B61" s="26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1" t="n"/>
      <c r="G61" s="262" t="n"/>
      <c r="H61" s="264" t="n"/>
      <c r="I61" s="265" t="n"/>
      <c r="J61" s="47" t="n"/>
      <c r="K61" s="47" t="n"/>
      <c r="L61" s="47" t="n"/>
      <c r="M61" s="47" t="n"/>
    </row>
    <row r="62" ht="12.75" customHeight="1" s="205">
      <c r="B62" s="26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1" t="n"/>
      <c r="G62" s="262" t="n"/>
      <c r="H62" s="264" t="n"/>
      <c r="I62" s="265" t="n"/>
      <c r="J62" s="47" t="n"/>
      <c r="K62" s="47" t="n"/>
      <c r="L62" s="47" t="n"/>
      <c r="M62" s="47" t="n"/>
    </row>
    <row r="63" ht="12.75" customHeight="1" s="205">
      <c r="B63" s="26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1" t="n"/>
      <c r="G63" s="262" t="n"/>
      <c r="H63" s="264" t="n"/>
      <c r="I63" s="265" t="n"/>
      <c r="J63" s="47" t="n"/>
      <c r="K63" s="47" t="n"/>
      <c r="L63" s="47" t="n"/>
      <c r="M63" s="47" t="n"/>
    </row>
    <row r="64" ht="12.75" customHeight="1" s="205">
      <c r="B64" s="26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1" t="n"/>
      <c r="G64" s="262" t="n"/>
      <c r="H64" s="264" t="n"/>
      <c r="I64" s="265" t="n"/>
      <c r="J64" s="47" t="n"/>
      <c r="K64" s="47" t="n"/>
      <c r="L64" s="47" t="n"/>
      <c r="M64" s="47" t="n"/>
    </row>
    <row r="65" ht="12.75" customHeight="1" s="205">
      <c r="B65" s="26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1" t="n"/>
      <c r="G65" s="262" t="n"/>
      <c r="H65" s="264" t="n"/>
      <c r="I65" s="265" t="n"/>
      <c r="J65" s="47" t="n"/>
      <c r="K65" s="47" t="n"/>
      <c r="L65" s="47" t="n"/>
      <c r="M65" s="47" t="n"/>
    </row>
    <row r="66" ht="12.75" customHeight="1" s="205">
      <c r="B66" s="26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1" t="n"/>
      <c r="G66" s="262" t="n"/>
      <c r="H66" s="264" t="n"/>
      <c r="I66" s="265" t="n"/>
      <c r="J66" s="47" t="n"/>
      <c r="K66" s="47" t="n"/>
      <c r="L66" s="47" t="n"/>
      <c r="M66" s="47" t="n"/>
    </row>
    <row r="67" ht="12.75" customHeight="1" s="205">
      <c r="B67" s="26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1" t="n"/>
      <c r="G67" s="262" t="n"/>
      <c r="H67" s="264" t="n"/>
      <c r="I67" s="265" t="n"/>
      <c r="J67" s="47" t="n"/>
      <c r="K67" s="47" t="n"/>
      <c r="L67" s="47" t="n"/>
      <c r="M67" s="47" t="n"/>
    </row>
    <row r="68" ht="12.75" customHeight="1" s="205">
      <c r="B68" s="26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1" t="n"/>
      <c r="G68" s="262" t="n"/>
      <c r="H68" s="264" t="n"/>
      <c r="I68" s="265" t="n"/>
      <c r="J68" s="47" t="n"/>
      <c r="K68" s="47" t="n"/>
      <c r="L68" s="47" t="n"/>
      <c r="M68" s="47" t="n"/>
    </row>
    <row r="69" ht="12.75" customHeight="1" s="205">
      <c r="B69" s="26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1" t="n"/>
      <c r="G69" s="262" t="n"/>
      <c r="H69" s="264" t="n"/>
      <c r="I69" s="265" t="n"/>
      <c r="J69" s="47" t="n"/>
      <c r="K69" s="47" t="n"/>
      <c r="L69" s="47" t="n"/>
      <c r="M69" s="47" t="n"/>
    </row>
    <row r="70" ht="12.75" customHeight="1" s="205">
      <c r="B70" s="26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1" t="n"/>
      <c r="G70" s="262" t="n"/>
      <c r="H70" s="264" t="n"/>
      <c r="I70" s="265" t="n"/>
      <c r="J70" s="47" t="n"/>
      <c r="K70" s="47" t="n"/>
      <c r="L70" s="47" t="n"/>
      <c r="M70" s="47" t="n"/>
    </row>
    <row r="71" ht="12.75" customHeight="1" s="205">
      <c r="B71" s="26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1" t="n"/>
      <c r="G71" s="262" t="n"/>
      <c r="H71" s="264" t="n"/>
      <c r="I71" s="265" t="n"/>
      <c r="J71" s="47" t="n"/>
      <c r="K71" s="47" t="n"/>
      <c r="L71" s="47" t="n"/>
      <c r="M71" s="47" t="n"/>
    </row>
    <row r="72" ht="12.75" customHeight="1" s="205">
      <c r="B72" s="26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1" t="n"/>
      <c r="G72" s="262" t="n"/>
      <c r="H72" s="264" t="n"/>
      <c r="I72" s="265" t="n"/>
      <c r="J72" s="47" t="n"/>
      <c r="K72" s="47" t="n"/>
      <c r="L72" s="47" t="n"/>
      <c r="M72" s="47" t="n"/>
    </row>
    <row r="73" ht="12.75" customHeight="1" s="205">
      <c r="B73" s="26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1" t="n"/>
      <c r="G73" s="262" t="n"/>
      <c r="H73" s="264" t="n"/>
      <c r="I73" s="265" t="n"/>
      <c r="J73" s="47" t="n"/>
      <c r="K73" s="47" t="n"/>
      <c r="L73" s="47" t="n"/>
      <c r="M73" s="47" t="n"/>
    </row>
    <row r="74" ht="12.75" customHeight="1" s="205">
      <c r="B74" s="26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1" t="n"/>
      <c r="G74" s="262" t="n"/>
      <c r="H74" s="264" t="n"/>
      <c r="I74" s="265" t="n"/>
      <c r="J74" s="47" t="n"/>
      <c r="K74" s="47" t="n"/>
      <c r="L74" s="47" t="n"/>
      <c r="M74" s="47" t="n"/>
    </row>
    <row r="75" ht="12.75" customHeight="1" s="205">
      <c r="B75" s="26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1" t="n"/>
      <c r="G75" s="262" t="n"/>
      <c r="H75" s="264" t="n"/>
      <c r="I75" s="265" t="n"/>
      <c r="J75" s="47" t="n"/>
      <c r="K75" s="47" t="n"/>
      <c r="L75" s="47" t="n"/>
      <c r="M75" s="47" t="n"/>
    </row>
    <row r="76" ht="12.75" customHeight="1" s="205">
      <c r="B76" s="26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1" t="n"/>
      <c r="G76" s="262" t="n"/>
      <c r="H76" s="264" t="n"/>
      <c r="I76" s="265" t="n"/>
      <c r="J76" s="47" t="n"/>
      <c r="K76" s="47" t="n"/>
      <c r="L76" s="47" t="n"/>
      <c r="M76" s="47" t="n"/>
    </row>
    <row r="77" ht="12.75" customHeight="1" s="205">
      <c r="B77" s="26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1" t="n"/>
      <c r="G77" s="262" t="n"/>
      <c r="H77" s="264" t="n"/>
      <c r="I77" s="265" t="n"/>
      <c r="J77" s="47" t="n"/>
      <c r="K77" s="47" t="n"/>
      <c r="L77" s="47" t="n"/>
      <c r="M77" s="47" t="n"/>
    </row>
    <row r="78" ht="12.75" customHeight="1" s="205">
      <c r="B78" s="26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1" t="n"/>
      <c r="G78" s="262" t="n"/>
      <c r="H78" s="264" t="n"/>
      <c r="I78" s="265" t="n"/>
      <c r="J78" s="47" t="n"/>
      <c r="K78" s="47" t="n"/>
      <c r="L78" s="47" t="n"/>
      <c r="M78" s="47" t="n"/>
    </row>
    <row r="79" ht="12.75" customHeight="1" s="205">
      <c r="B79" s="26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1" t="n"/>
      <c r="G79" s="262" t="n"/>
      <c r="H79" s="264" t="n"/>
      <c r="I79" s="265" t="n"/>
      <c r="J79" s="47" t="n"/>
      <c r="K79" s="47" t="n"/>
      <c r="L79" s="47" t="n"/>
      <c r="M79" s="47" t="n"/>
    </row>
    <row r="80" ht="12.75" customHeight="1" s="205">
      <c r="B80" s="26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1" t="n"/>
      <c r="G80" s="262" t="n"/>
      <c r="H80" s="264" t="n"/>
      <c r="I80" s="265" t="n"/>
      <c r="J80" s="47" t="n"/>
      <c r="K80" s="47" t="n"/>
      <c r="L80" s="47" t="n"/>
      <c r="M80" s="47" t="n"/>
    </row>
    <row r="81" ht="12.75" customHeight="1" s="205">
      <c r="B81" s="26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1" t="n"/>
      <c r="G81" s="262" t="n"/>
      <c r="H81" s="264" t="n"/>
      <c r="I81" s="265" t="n"/>
      <c r="J81" s="47" t="n"/>
      <c r="K81" s="47" t="n"/>
      <c r="L81" s="47" t="n"/>
      <c r="M81" s="47" t="n"/>
    </row>
    <row r="82" ht="12.75" customHeight="1" s="205">
      <c r="B82" s="26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1" t="n"/>
      <c r="G82" s="262" t="n"/>
      <c r="H82" s="264" t="n"/>
      <c r="I82" s="265" t="n"/>
      <c r="J82" s="47" t="n"/>
      <c r="K82" s="47" t="n"/>
      <c r="L82" s="47" t="n"/>
      <c r="M82" s="47" t="n"/>
    </row>
    <row r="83" ht="12.75" customHeight="1" s="205">
      <c r="B83" s="26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1" t="n"/>
      <c r="G83" s="262" t="n"/>
      <c r="H83" s="264" t="n"/>
      <c r="I83" s="265" t="n"/>
      <c r="J83" s="47" t="n"/>
      <c r="K83" s="47" t="n"/>
      <c r="L83" s="47" t="n"/>
      <c r="M83" s="47" t="n"/>
    </row>
    <row r="84" ht="12.75" customHeight="1" s="205">
      <c r="B84" s="26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1" t="n"/>
      <c r="G84" s="262" t="n"/>
      <c r="H84" s="264" t="n"/>
      <c r="I84" s="265" t="n"/>
      <c r="J84" s="47" t="n"/>
      <c r="K84" s="47" t="n"/>
      <c r="L84" s="47" t="n"/>
      <c r="M84" s="47" t="n"/>
    </row>
    <row r="85" ht="12.75" customHeight="1" s="205">
      <c r="B85" s="26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1" t="n"/>
      <c r="G85" s="262" t="n"/>
      <c r="H85" s="264" t="n"/>
      <c r="I85" s="265" t="n"/>
      <c r="J85" s="47" t="n"/>
      <c r="K85" s="47" t="n"/>
      <c r="L85" s="47" t="n"/>
      <c r="M85" s="47" t="n"/>
    </row>
    <row r="86" ht="12.75" customHeight="1" s="205">
      <c r="B86" s="26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1" t="n"/>
      <c r="G86" s="262" t="n"/>
      <c r="H86" s="264" t="n"/>
      <c r="I86" s="265" t="n"/>
      <c r="J86" s="47" t="n"/>
      <c r="K86" s="47" t="n"/>
      <c r="L86" s="47" t="n"/>
      <c r="M86" s="47" t="n"/>
    </row>
    <row r="87" ht="12.75" customHeight="1" s="205">
      <c r="B87" s="26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1" t="n"/>
      <c r="G87" s="262" t="n"/>
      <c r="H87" s="264" t="n"/>
      <c r="I87" s="265" t="n"/>
      <c r="J87" s="47" t="n"/>
      <c r="K87" s="47" t="n"/>
      <c r="L87" s="47" t="n"/>
      <c r="M87" s="47" t="n"/>
    </row>
    <row r="88" ht="12.75" customHeight="1" s="205">
      <c r="B88" s="26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1" t="n"/>
      <c r="G88" s="262" t="n"/>
      <c r="H88" s="264" t="n"/>
      <c r="I88" s="265" t="n"/>
      <c r="J88" s="47" t="n"/>
      <c r="K88" s="47" t="n"/>
      <c r="L88" s="47" t="n"/>
      <c r="M88" s="47" t="n"/>
    </row>
    <row r="89" ht="12.75" customHeight="1" s="205">
      <c r="B89" s="26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1" t="n"/>
      <c r="G89" s="262" t="n"/>
      <c r="H89" s="264" t="n"/>
      <c r="I89" s="265" t="n"/>
      <c r="J89" s="47" t="n"/>
      <c r="K89" s="47" t="n"/>
      <c r="L89" s="47" t="n"/>
      <c r="M89" s="47" t="n"/>
    </row>
    <row r="90" ht="12.75" customHeight="1" s="205">
      <c r="B90" s="26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1" t="n"/>
      <c r="G90" s="262" t="n"/>
      <c r="H90" s="264" t="n"/>
      <c r="I90" s="265" t="n"/>
      <c r="J90" s="47" t="n"/>
      <c r="K90" s="47" t="n"/>
      <c r="L90" s="47" t="n"/>
      <c r="M90" s="47" t="n"/>
    </row>
    <row r="91" ht="12.75" customHeight="1" s="205">
      <c r="B91" s="26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1" t="n"/>
      <c r="G91" s="262" t="n"/>
      <c r="H91" s="264" t="n"/>
      <c r="I91" s="265" t="n"/>
      <c r="J91" s="47" t="n"/>
      <c r="K91" s="47" t="n"/>
      <c r="L91" s="47" t="n"/>
      <c r="M91" s="47" t="n"/>
    </row>
    <row r="92" ht="12.75" customHeight="1" s="205">
      <c r="B92" s="26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1" t="n"/>
      <c r="G92" s="262" t="n"/>
      <c r="H92" s="264" t="n"/>
      <c r="I92" s="265" t="n"/>
      <c r="J92" s="47" t="n"/>
      <c r="K92" s="47" t="n"/>
      <c r="L92" s="47" t="n"/>
      <c r="M92" s="47" t="n"/>
    </row>
    <row r="93" ht="12.75" customHeight="1" s="205">
      <c r="B93" s="26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1" t="n"/>
      <c r="G93" s="262" t="n"/>
      <c r="H93" s="264" t="n"/>
      <c r="I93" s="265" t="n"/>
      <c r="J93" s="47" t="n"/>
      <c r="K93" s="47" t="n"/>
      <c r="L93" s="47" t="n"/>
      <c r="M93" s="47" t="n"/>
    </row>
    <row r="94" ht="12.75" customHeight="1" s="205">
      <c r="B94" s="26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1" t="n"/>
      <c r="G94" s="262" t="n"/>
      <c r="H94" s="264" t="n"/>
      <c r="I94" s="265" t="n"/>
      <c r="J94" s="47" t="n"/>
      <c r="K94" s="47" t="n"/>
      <c r="L94" s="47" t="n"/>
      <c r="M94" s="47" t="n"/>
    </row>
    <row r="95" ht="12.75" customHeight="1" s="205">
      <c r="B95" s="26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1" t="n"/>
      <c r="G95" s="262" t="n"/>
      <c r="H95" s="264" t="n"/>
      <c r="I95" s="265" t="n"/>
      <c r="J95" s="47" t="n"/>
      <c r="K95" s="47" t="n"/>
      <c r="L95" s="47" t="n"/>
      <c r="M95" s="47" t="n"/>
    </row>
    <row r="96" ht="12.75" customHeight="1" s="205">
      <c r="B96" s="26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1" t="n"/>
      <c r="G96" s="262" t="n"/>
      <c r="H96" s="264" t="n"/>
      <c r="I96" s="265" t="n"/>
      <c r="J96" s="47" t="n"/>
      <c r="K96" s="47" t="n"/>
      <c r="L96" s="47" t="n"/>
      <c r="M96" s="47" t="n"/>
    </row>
    <row r="97" ht="12.75" customHeight="1" s="205">
      <c r="B97" s="26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1" t="n"/>
      <c r="G97" s="262" t="n"/>
      <c r="H97" s="264" t="n"/>
      <c r="I97" s="265" t="n"/>
      <c r="J97" s="47" t="n"/>
      <c r="K97" s="47" t="n"/>
      <c r="L97" s="47" t="n"/>
      <c r="M97" s="47" t="n"/>
    </row>
    <row r="98" ht="12.75" customHeight="1" s="205">
      <c r="B98" s="26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1" t="n"/>
      <c r="G98" s="262" t="n"/>
      <c r="H98" s="264" t="n"/>
      <c r="I98" s="265" t="n"/>
      <c r="J98" s="47" t="n"/>
      <c r="K98" s="47" t="n"/>
      <c r="L98" s="47" t="n"/>
      <c r="M98" s="47" t="n"/>
    </row>
    <row r="99" ht="12.75" customHeight="1" s="205">
      <c r="B99" s="26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1" t="n"/>
      <c r="G99" s="262" t="n"/>
      <c r="H99" s="264" t="n"/>
      <c r="I99" s="265" t="n"/>
      <c r="J99" s="47" t="n"/>
      <c r="K99" s="47" t="n"/>
      <c r="L99" s="47" t="n"/>
      <c r="M99" s="47" t="n"/>
    </row>
    <row r="100" ht="12.75" customHeight="1" s="205">
      <c r="B100" s="26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1" t="n"/>
      <c r="G100" s="262" t="n"/>
      <c r="H100" s="264" t="n"/>
      <c r="I100" s="265" t="n"/>
      <c r="J100" s="47" t="n"/>
      <c r="K100" s="47" t="n"/>
      <c r="L100" s="47" t="n"/>
      <c r="M100" s="47" t="n"/>
    </row>
    <row r="101" ht="12.75" customHeight="1" s="205">
      <c r="B101" s="26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1" t="n"/>
      <c r="G101" s="262" t="n"/>
      <c r="H101" s="264" t="n"/>
      <c r="I101" s="265" t="n"/>
      <c r="J101" s="47" t="n"/>
      <c r="K101" s="47" t="n"/>
      <c r="L101" s="47" t="n"/>
      <c r="M101" s="47" t="n"/>
    </row>
    <row r="102" ht="12.75" customHeight="1" s="205">
      <c r="B102" s="26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1" t="n"/>
      <c r="G102" s="262" t="n"/>
      <c r="H102" s="264" t="n"/>
      <c r="I102" s="265" t="n"/>
      <c r="J102" s="47" t="n"/>
      <c r="K102" s="47" t="n"/>
      <c r="L102" s="47" t="n"/>
      <c r="M102" s="47" t="n"/>
    </row>
    <row r="103" ht="12.75" customHeight="1" s="205">
      <c r="B103" s="26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1" t="n"/>
      <c r="G103" s="262" t="n"/>
      <c r="H103" s="264" t="n"/>
      <c r="I103" s="265" t="n"/>
      <c r="J103" s="47" t="n"/>
      <c r="K103" s="47" t="n"/>
      <c r="L103" s="47" t="n"/>
      <c r="M103" s="47" t="n"/>
    </row>
    <row r="104" ht="12.75" customHeight="1" s="205">
      <c r="B104" s="26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1" t="n"/>
      <c r="G104" s="262" t="n"/>
      <c r="H104" s="264" t="n"/>
      <c r="I104" s="265" t="n"/>
      <c r="J104" s="47" t="n"/>
      <c r="K104" s="47" t="n"/>
      <c r="L104" s="47" t="n"/>
      <c r="M104" s="47" t="n"/>
    </row>
    <row r="105" ht="12.75" customHeight="1" s="205">
      <c r="B105" s="26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1" t="n"/>
      <c r="G105" s="262" t="n"/>
      <c r="H105" s="264" t="n"/>
      <c r="I105" s="265" t="n"/>
      <c r="J105" s="47" t="n"/>
      <c r="K105" s="47" t="n"/>
      <c r="L105" s="47" t="n"/>
      <c r="M105" s="47" t="n"/>
    </row>
    <row r="106" ht="12.75" customHeight="1" s="205">
      <c r="B106" s="26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1" t="n"/>
      <c r="G106" s="262" t="n"/>
      <c r="H106" s="264" t="n"/>
      <c r="I106" s="265" t="n"/>
      <c r="J106" s="47" t="n"/>
      <c r="K106" s="47" t="n"/>
      <c r="L106" s="47" t="n"/>
      <c r="M106" s="47" t="n"/>
    </row>
    <row r="107" ht="12.75" customHeight="1" s="205">
      <c r="B107" s="26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1" t="n"/>
      <c r="G107" s="262" t="n"/>
      <c r="H107" s="264" t="n"/>
      <c r="I107" s="265" t="n"/>
      <c r="J107" s="47" t="n"/>
      <c r="K107" s="47" t="n"/>
      <c r="L107" s="47" t="n"/>
      <c r="M107" s="47" t="n"/>
    </row>
    <row r="108" ht="12.75" customHeight="1" s="205">
      <c r="B108" s="26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1" t="n"/>
      <c r="G108" s="262" t="n"/>
      <c r="H108" s="264" t="n"/>
      <c r="I108" s="265" t="n"/>
      <c r="J108" s="47" t="n"/>
      <c r="K108" s="47" t="n"/>
      <c r="L108" s="47" t="n"/>
      <c r="M108" s="47" t="n"/>
    </row>
    <row r="109" ht="12.75" customHeight="1" s="205">
      <c r="B109" s="26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1" t="n"/>
      <c r="G109" s="262" t="n"/>
      <c r="H109" s="264" t="n"/>
      <c r="I109" s="265" t="n"/>
      <c r="J109" s="47" t="n"/>
      <c r="K109" s="47" t="n"/>
      <c r="L109" s="47" t="n"/>
      <c r="M109" s="47" t="n"/>
    </row>
    <row r="110" ht="12.75" customHeight="1" s="205">
      <c r="B110" s="26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1" t="n"/>
      <c r="G110" s="262" t="n"/>
      <c r="H110" s="264" t="n"/>
      <c r="I110" s="265" t="n"/>
      <c r="J110" s="47" t="n"/>
      <c r="K110" s="47" t="n"/>
      <c r="L110" s="47" t="n"/>
      <c r="M110" s="47" t="n"/>
    </row>
    <row r="111" ht="12.75" customHeight="1" s="205">
      <c r="B111" s="26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1" t="n"/>
      <c r="G111" s="262" t="n"/>
      <c r="H111" s="264" t="n"/>
      <c r="I111" s="265" t="n"/>
      <c r="J111" s="47" t="n"/>
      <c r="K111" s="47" t="n"/>
      <c r="L111" s="47" t="n"/>
      <c r="M111" s="47" t="n"/>
    </row>
    <row r="112" ht="12.75" customHeight="1" s="205">
      <c r="B112" s="26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1" t="n"/>
      <c r="G112" s="262" t="n"/>
      <c r="H112" s="264" t="n"/>
      <c r="I112" s="265" t="n"/>
      <c r="J112" s="47" t="n"/>
      <c r="K112" s="47" t="n"/>
      <c r="L112" s="47" t="n"/>
      <c r="M112" s="47" t="n"/>
    </row>
    <row r="113" ht="12.75" customHeight="1" s="205">
      <c r="B113" s="26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1" t="n"/>
      <c r="G113" s="262" t="n"/>
      <c r="H113" s="264" t="n"/>
      <c r="I113" s="265" t="n"/>
      <c r="J113" s="47" t="n"/>
      <c r="K113" s="47" t="n"/>
      <c r="L113" s="47" t="n"/>
      <c r="M113" s="47" t="n"/>
    </row>
    <row r="114" ht="12.75" customHeight="1" s="205">
      <c r="B114" s="26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1" t="n"/>
      <c r="G114" s="262" t="n"/>
      <c r="H114" s="264" t="n"/>
      <c r="I114" s="265" t="n"/>
      <c r="J114" s="47" t="n"/>
      <c r="K114" s="47" t="n"/>
      <c r="L114" s="47" t="n"/>
      <c r="M114" s="47" t="n"/>
    </row>
    <row r="115" ht="12.75" customHeight="1" s="205">
      <c r="B115" s="26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1" t="n"/>
      <c r="G115" s="262" t="n"/>
      <c r="H115" s="264" t="n"/>
      <c r="I115" s="265" t="n"/>
      <c r="J115" s="47" t="n"/>
      <c r="K115" s="47" t="n"/>
      <c r="L115" s="47" t="n"/>
      <c r="M115" s="47" t="n"/>
    </row>
    <row r="116" ht="12.75" customHeight="1" s="205">
      <c r="B116" s="26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1" t="n"/>
      <c r="G116" s="262" t="n"/>
      <c r="H116" s="264" t="n"/>
      <c r="I116" s="265" t="n"/>
      <c r="J116" s="47" t="n"/>
      <c r="K116" s="47" t="n"/>
      <c r="L116" s="47" t="n"/>
      <c r="M116" s="47" t="n"/>
    </row>
    <row r="117" ht="12.75" customHeight="1" s="205">
      <c r="B117" s="26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1" t="n"/>
      <c r="G117" s="262" t="n"/>
      <c r="H117" s="264" t="n"/>
      <c r="I117" s="265" t="n"/>
      <c r="J117" s="47" t="n"/>
      <c r="K117" s="47" t="n"/>
      <c r="L117" s="47" t="n"/>
      <c r="M117" s="47" t="n"/>
    </row>
    <row r="118" ht="12.75" customHeight="1" s="205">
      <c r="B118" s="26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1" t="n"/>
      <c r="G118" s="262" t="n"/>
      <c r="H118" s="264" t="n"/>
      <c r="I118" s="265" t="n"/>
      <c r="J118" s="47" t="n"/>
      <c r="K118" s="47" t="n"/>
      <c r="L118" s="47" t="n"/>
      <c r="M118" s="47" t="n"/>
    </row>
    <row r="119" ht="12.75" customHeight="1" s="205">
      <c r="B119" s="26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1" t="n"/>
      <c r="G119" s="262" t="n"/>
      <c r="H119" s="264" t="n"/>
      <c r="I119" s="265" t="n"/>
      <c r="J119" s="47" t="n"/>
      <c r="K119" s="47" t="n"/>
      <c r="L119" s="47" t="n"/>
      <c r="M119" s="47" t="n"/>
    </row>
    <row r="120" ht="12.75" customHeight="1" s="205">
      <c r="B120" s="26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1" t="n"/>
      <c r="G120" s="262" t="n"/>
      <c r="H120" s="264" t="n"/>
      <c r="I120" s="265" t="n"/>
      <c r="J120" s="47" t="n"/>
      <c r="K120" s="47" t="n"/>
      <c r="L120" s="47" t="n"/>
      <c r="M120" s="47" t="n"/>
    </row>
    <row r="121" ht="12.75" customHeight="1" s="205">
      <c r="B121" s="26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1" t="n"/>
      <c r="G121" s="262" t="n"/>
      <c r="H121" s="264" t="n"/>
      <c r="I121" s="265" t="n"/>
      <c r="J121" s="47" t="n"/>
      <c r="K121" s="47" t="n"/>
      <c r="L121" s="47" t="n"/>
      <c r="M121" s="47" t="n"/>
    </row>
    <row r="122" ht="12.75" customHeight="1" s="205">
      <c r="B122" s="26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1" t="n"/>
      <c r="G122" s="262" t="n"/>
      <c r="H122" s="264" t="n"/>
      <c r="I122" s="265" t="n"/>
      <c r="J122" s="47" t="n"/>
      <c r="K122" s="47" t="n"/>
      <c r="L122" s="47" t="n"/>
      <c r="M122" s="47" t="n"/>
    </row>
    <row r="123" ht="12.75" customHeight="1" s="205">
      <c r="B123" s="26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1" t="n"/>
      <c r="G123" s="262" t="n"/>
      <c r="H123" s="264" t="n"/>
      <c r="I123" s="265" t="n"/>
      <c r="J123" s="47" t="n"/>
      <c r="K123" s="47" t="n"/>
      <c r="L123" s="47" t="n"/>
      <c r="M123" s="47" t="n"/>
    </row>
    <row r="124" ht="12.75" customHeight="1" s="205">
      <c r="B124" s="26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1" t="n"/>
      <c r="G124" s="262" t="n"/>
      <c r="H124" s="264" t="n"/>
      <c r="I124" s="265" t="n"/>
      <c r="J124" s="47" t="n"/>
      <c r="K124" s="47" t="n"/>
      <c r="L124" s="47" t="n"/>
      <c r="M124" s="47" t="n"/>
    </row>
    <row r="125" ht="12.75" customHeight="1" s="205">
      <c r="B125" s="26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1" t="n"/>
      <c r="G125" s="262" t="n"/>
      <c r="H125" s="264" t="n"/>
      <c r="I125" s="265" t="n"/>
      <c r="J125" s="47" t="n"/>
      <c r="K125" s="47" t="n"/>
      <c r="L125" s="47" t="n"/>
      <c r="M125" s="47" t="n"/>
    </row>
    <row r="126" ht="12.75" customHeight="1" s="205">
      <c r="B126" s="26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1" t="n"/>
      <c r="G126" s="262" t="n"/>
      <c r="H126" s="264" t="n"/>
      <c r="I126" s="265" t="n"/>
      <c r="J126" s="47" t="n"/>
      <c r="K126" s="47" t="n"/>
      <c r="L126" s="47" t="n"/>
      <c r="M126" s="47" t="n"/>
    </row>
    <row r="127" ht="12.75" customHeight="1" s="205">
      <c r="B127" s="26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1" t="n"/>
      <c r="G127" s="262" t="n"/>
      <c r="H127" s="264" t="n"/>
      <c r="I127" s="265" t="n"/>
      <c r="J127" s="47" t="n"/>
      <c r="K127" s="47" t="n"/>
      <c r="L127" s="47" t="n"/>
      <c r="M127" s="47" t="n"/>
    </row>
    <row r="128" ht="12.75" customHeight="1" s="205">
      <c r="B128" s="26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1" t="n"/>
      <c r="G128" s="262" t="n"/>
      <c r="H128" s="264" t="n"/>
      <c r="I128" s="265" t="n"/>
      <c r="J128" s="47" t="n"/>
      <c r="K128" s="47" t="n"/>
      <c r="L128" s="47" t="n"/>
      <c r="M128" s="47" t="n"/>
    </row>
    <row r="129" ht="12.75" customHeight="1" s="205">
      <c r="B129" s="26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1" t="n"/>
      <c r="G129" s="262" t="n"/>
      <c r="H129" s="264" t="n"/>
      <c r="I129" s="265" t="n"/>
      <c r="J129" s="47" t="n"/>
      <c r="K129" s="47" t="n"/>
      <c r="L129" s="47" t="n"/>
      <c r="M129" s="47" t="n"/>
    </row>
    <row r="130" ht="12.75" customHeight="1" s="205">
      <c r="B130" s="26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1" t="n"/>
      <c r="G130" s="262" t="n"/>
      <c r="H130" s="264" t="n"/>
      <c r="I130" s="265" t="n"/>
      <c r="J130" s="47" t="n"/>
      <c r="K130" s="47" t="n"/>
      <c r="L130" s="47" t="n"/>
      <c r="M130" s="47" t="n"/>
    </row>
    <row r="131" ht="12.75" customHeight="1" s="205">
      <c r="B131" s="26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1" t="n"/>
      <c r="G131" s="262" t="n"/>
      <c r="H131" s="264" t="n"/>
      <c r="I131" s="265" t="n"/>
      <c r="J131" s="47" t="n"/>
      <c r="K131" s="47" t="n"/>
      <c r="L131" s="47" t="n"/>
      <c r="M131" s="47" t="n"/>
    </row>
    <row r="132" ht="12.75" customHeight="1" s="205">
      <c r="B132" s="26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1" t="n"/>
      <c r="G132" s="262" t="n"/>
      <c r="H132" s="264" t="n"/>
      <c r="I132" s="265" t="n"/>
      <c r="J132" s="47" t="n"/>
      <c r="K132" s="47" t="n"/>
      <c r="L132" s="47" t="n"/>
      <c r="M132" s="47" t="n"/>
    </row>
    <row r="133" ht="12.75" customHeight="1" s="205">
      <c r="B133" s="26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1" t="n"/>
      <c r="G133" s="262" t="n"/>
      <c r="H133" s="264" t="n"/>
      <c r="I133" s="265" t="n"/>
      <c r="J133" s="47" t="n"/>
      <c r="K133" s="47" t="n"/>
      <c r="L133" s="47" t="n"/>
      <c r="M133" s="47" t="n"/>
    </row>
    <row r="134" ht="12.75" customHeight="1" s="205">
      <c r="B134" s="26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1" t="n"/>
      <c r="G134" s="262" t="n"/>
      <c r="H134" s="264" t="n"/>
      <c r="I134" s="265" t="n"/>
      <c r="J134" s="47" t="n"/>
      <c r="K134" s="47" t="n"/>
      <c r="L134" s="47" t="n"/>
      <c r="M134" s="47" t="n"/>
    </row>
    <row r="135" ht="12.75" customHeight="1" s="205">
      <c r="B135" s="26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1" t="n"/>
      <c r="G135" s="262" t="n"/>
      <c r="H135" s="264" t="n"/>
      <c r="I135" s="265" t="n"/>
      <c r="J135" s="47" t="n"/>
      <c r="K135" s="47" t="n"/>
      <c r="L135" s="47" t="n"/>
      <c r="M135" s="47" t="n"/>
    </row>
    <row r="136" ht="12.75" customHeight="1" s="205">
      <c r="B136" s="26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1" t="n"/>
      <c r="G136" s="262" t="n"/>
      <c r="H136" s="264" t="n"/>
      <c r="I136" s="265" t="n"/>
      <c r="J136" s="47" t="n"/>
      <c r="K136" s="47" t="n"/>
      <c r="L136" s="47" t="n"/>
      <c r="M136" s="47" t="n"/>
    </row>
    <row r="137" ht="12.75" customHeight="1" s="205">
      <c r="B137" s="26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1" t="n"/>
      <c r="G137" s="262" t="n"/>
      <c r="H137" s="264" t="n"/>
      <c r="I137" s="265" t="n"/>
      <c r="J137" s="47" t="n"/>
      <c r="K137" s="47" t="n"/>
      <c r="L137" s="47" t="n"/>
      <c r="M137" s="47" t="n"/>
    </row>
    <row r="138" ht="12.75" customHeight="1" s="205">
      <c r="B138" s="26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1" t="n"/>
      <c r="G138" s="262" t="n"/>
      <c r="H138" s="264" t="n"/>
      <c r="I138" s="265" t="n"/>
      <c r="J138" s="47" t="n"/>
      <c r="K138" s="47" t="n"/>
      <c r="L138" s="47" t="n"/>
      <c r="M138" s="47" t="n"/>
    </row>
    <row r="139" ht="12.75" customHeight="1" s="205">
      <c r="B139" s="26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1" t="n"/>
      <c r="G139" s="262" t="n"/>
      <c r="H139" s="264" t="n"/>
      <c r="I139" s="265" t="n"/>
      <c r="J139" s="47" t="n"/>
      <c r="K139" s="47" t="n"/>
      <c r="L139" s="47" t="n"/>
      <c r="M139" s="47" t="n"/>
    </row>
    <row r="140" ht="12.75" customHeight="1" s="205">
      <c r="B140" s="26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1" t="n"/>
      <c r="G140" s="262" t="n"/>
      <c r="H140" s="264" t="n"/>
      <c r="I140" s="265" t="n"/>
      <c r="J140" s="47" t="n"/>
      <c r="K140" s="47" t="n"/>
      <c r="L140" s="47" t="n"/>
      <c r="M140" s="47" t="n"/>
    </row>
    <row r="141" ht="12.75" customHeight="1" s="205">
      <c r="B141" s="26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1" t="n"/>
      <c r="G141" s="262" t="n"/>
      <c r="H141" s="264" t="n"/>
      <c r="I141" s="265" t="n"/>
      <c r="J141" s="47" t="n"/>
      <c r="K141" s="47" t="n"/>
      <c r="L141" s="47" t="n"/>
      <c r="M141" s="47" t="n"/>
    </row>
    <row r="142" ht="12.75" customHeight="1" s="205">
      <c r="B142" s="26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1" t="n"/>
      <c r="G142" s="262" t="n"/>
      <c r="H142" s="264" t="n"/>
      <c r="I142" s="265" t="n"/>
      <c r="J142" s="47" t="n"/>
      <c r="K142" s="47" t="n"/>
      <c r="L142" s="47" t="n"/>
      <c r="M142" s="47" t="n"/>
    </row>
    <row r="143" ht="12.75" customHeight="1" s="205">
      <c r="B143" s="26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1" t="n"/>
      <c r="G143" s="262" t="n"/>
      <c r="H143" s="264" t="n"/>
      <c r="I143" s="265" t="n"/>
      <c r="J143" s="47" t="n"/>
      <c r="K143" s="47" t="n"/>
      <c r="L143" s="47" t="n"/>
      <c r="M143" s="47" t="n"/>
    </row>
    <row r="144" ht="12.75" customHeight="1" s="205">
      <c r="B144" s="26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1" t="n"/>
      <c r="G144" s="262" t="n"/>
      <c r="H144" s="264" t="n"/>
      <c r="I144" s="265" t="n"/>
      <c r="J144" s="47" t="n"/>
      <c r="K144" s="47" t="n"/>
      <c r="L144" s="47" t="n"/>
      <c r="M144" s="47" t="n"/>
    </row>
    <row r="145" ht="12.75" customHeight="1" s="205">
      <c r="B145" s="26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1" t="n"/>
      <c r="G145" s="262" t="n"/>
      <c r="H145" s="264" t="n"/>
      <c r="I145" s="265" t="n"/>
      <c r="J145" s="47" t="n"/>
      <c r="K145" s="47" t="n"/>
      <c r="L145" s="47" t="n"/>
      <c r="M145" s="47" t="n"/>
    </row>
    <row r="146" ht="12.75" customHeight="1" s="205">
      <c r="B146" s="26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1" t="n"/>
      <c r="G146" s="262" t="n"/>
      <c r="H146" s="264" t="n"/>
      <c r="I146" s="265" t="n"/>
      <c r="J146" s="47" t="n"/>
      <c r="K146" s="47" t="n"/>
      <c r="L146" s="47" t="n"/>
      <c r="M146" s="47" t="n"/>
    </row>
    <row r="147" ht="12.75" customHeight="1" s="205">
      <c r="B147" s="26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1" t="n"/>
      <c r="G147" s="262" t="n"/>
      <c r="H147" s="264" t="n"/>
      <c r="I147" s="265" t="n"/>
      <c r="J147" s="47" t="n"/>
      <c r="K147" s="47" t="n"/>
      <c r="L147" s="47" t="n"/>
      <c r="M147" s="47" t="n"/>
    </row>
    <row r="148" ht="12.75" customHeight="1" s="205">
      <c r="B148" s="26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1" t="n"/>
      <c r="G148" s="262" t="n"/>
      <c r="H148" s="264" t="n"/>
      <c r="I148" s="265" t="n"/>
      <c r="J148" s="47" t="n"/>
      <c r="K148" s="47" t="n"/>
      <c r="L148" s="47" t="n"/>
      <c r="M148" s="47" t="n"/>
    </row>
    <row r="149" ht="12.75" customHeight="1" s="205">
      <c r="B149" s="26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1" t="n"/>
      <c r="G149" s="262" t="n"/>
      <c r="H149" s="264" t="n"/>
      <c r="I149" s="265" t="n"/>
      <c r="J149" s="47" t="n"/>
      <c r="K149" s="47" t="n"/>
      <c r="L149" s="47" t="n"/>
      <c r="M149" s="47" t="n"/>
    </row>
    <row r="150" ht="12.75" customHeight="1" s="205">
      <c r="B150" s="26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1" t="n"/>
      <c r="G150" s="262" t="n"/>
      <c r="H150" s="264" t="n"/>
      <c r="I150" s="265" t="n"/>
      <c r="J150" s="47" t="n"/>
      <c r="K150" s="47" t="n"/>
      <c r="L150" s="47" t="n"/>
      <c r="M150" s="47" t="n"/>
    </row>
    <row r="151" ht="12.75" customHeight="1" s="205">
      <c r="B151" s="26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1" t="n"/>
      <c r="G151" s="262" t="n"/>
      <c r="H151" s="264" t="n"/>
      <c r="I151" s="265" t="n"/>
      <c r="J151" s="47" t="n"/>
      <c r="K151" s="47" t="n"/>
      <c r="L151" s="47" t="n"/>
      <c r="M151" s="47" t="n"/>
    </row>
    <row r="152" ht="12.75" customHeight="1" s="205">
      <c r="B152" s="26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1" t="n"/>
      <c r="G152" s="262" t="n"/>
      <c r="H152" s="264" t="n"/>
      <c r="I152" s="265" t="n"/>
      <c r="J152" s="47" t="n"/>
      <c r="K152" s="47" t="n"/>
      <c r="L152" s="47" t="n"/>
      <c r="M152" s="47" t="n"/>
    </row>
    <row r="153" ht="12.75" customHeight="1" s="205">
      <c r="B153" s="26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1" t="n"/>
      <c r="G153" s="262" t="n"/>
      <c r="H153" s="264" t="n"/>
      <c r="I153" s="265" t="n"/>
      <c r="J153" s="47" t="n"/>
      <c r="K153" s="47" t="n"/>
      <c r="L153" s="47" t="n"/>
      <c r="M153" s="47" t="n"/>
    </row>
    <row r="154" ht="12.75" customHeight="1" s="205">
      <c r="B154" s="26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1" t="n"/>
      <c r="G154" s="262" t="n"/>
      <c r="H154" s="264" t="n"/>
      <c r="I154" s="265" t="n"/>
      <c r="J154" s="47" t="n"/>
      <c r="K154" s="47" t="n"/>
      <c r="L154" s="47" t="n"/>
      <c r="M154" s="47" t="n"/>
    </row>
    <row r="155" ht="12.75" customHeight="1" s="205">
      <c r="B155" s="26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1" t="n"/>
      <c r="G155" s="262" t="n"/>
      <c r="H155" s="264" t="n"/>
      <c r="I155" s="265" t="n"/>
      <c r="J155" s="47" t="n"/>
      <c r="K155" s="47" t="n"/>
      <c r="L155" s="47" t="n"/>
      <c r="M155" s="47" t="n"/>
    </row>
    <row r="156" ht="12.75" customHeight="1" s="205">
      <c r="B156" s="26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1" t="n"/>
      <c r="G156" s="262" t="n"/>
      <c r="H156" s="264" t="n"/>
      <c r="I156" s="265" t="n"/>
      <c r="J156" s="47" t="n"/>
      <c r="K156" s="47" t="n"/>
      <c r="L156" s="47" t="n"/>
      <c r="M156" s="47" t="n"/>
    </row>
    <row r="157" ht="12.75" customHeight="1" s="205">
      <c r="B157" s="26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1" t="n"/>
      <c r="G157" s="262" t="n"/>
      <c r="H157" s="264" t="n"/>
      <c r="I157" s="265" t="n"/>
      <c r="J157" s="47" t="n"/>
      <c r="K157" s="47" t="n"/>
      <c r="L157" s="47" t="n"/>
      <c r="M157" s="47" t="n"/>
    </row>
    <row r="158" ht="12.75" customHeight="1" s="205">
      <c r="B158" s="26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1" t="n"/>
      <c r="G158" s="262" t="n"/>
      <c r="H158" s="264" t="n"/>
      <c r="I158" s="265" t="n"/>
      <c r="J158" s="47" t="n"/>
      <c r="K158" s="47" t="n"/>
      <c r="L158" s="47" t="n"/>
      <c r="M158" s="47" t="n"/>
    </row>
    <row r="159" ht="12.75" customHeight="1" s="205">
      <c r="B159" s="26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1" t="n"/>
      <c r="G159" s="262" t="n"/>
      <c r="H159" s="264" t="n"/>
      <c r="I159" s="265" t="n"/>
      <c r="J159" s="47" t="n"/>
      <c r="K159" s="47" t="n"/>
      <c r="L159" s="47" t="n"/>
      <c r="M159" s="47" t="n"/>
    </row>
    <row r="160" ht="12.75" customHeight="1" s="205">
      <c r="B160" s="26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1" t="n"/>
      <c r="G160" s="262" t="n"/>
      <c r="H160" s="264" t="n"/>
      <c r="I160" s="265" t="n"/>
      <c r="J160" s="47" t="n"/>
      <c r="K160" s="47" t="n"/>
      <c r="L160" s="47" t="n"/>
      <c r="M160" s="47" t="n"/>
    </row>
    <row r="161" ht="12.75" customHeight="1" s="205">
      <c r="B161" s="26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1" t="n"/>
      <c r="G161" s="262" t="n"/>
      <c r="H161" s="264" t="n"/>
      <c r="I161" s="265" t="n"/>
      <c r="J161" s="47" t="n"/>
      <c r="K161" s="47" t="n"/>
      <c r="L161" s="47" t="n"/>
      <c r="M161" s="47" t="n"/>
    </row>
    <row r="162" ht="12.75" customHeight="1" s="205">
      <c r="B162" s="26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1" t="n"/>
      <c r="G162" s="262" t="n"/>
      <c r="H162" s="264" t="n"/>
      <c r="I162" s="265" t="n"/>
      <c r="J162" s="47" t="n"/>
      <c r="K162" s="47" t="n"/>
      <c r="L162" s="47" t="n"/>
      <c r="M162" s="47" t="n"/>
    </row>
    <row r="163" ht="12.75" customHeight="1" s="205">
      <c r="B163" s="26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1" t="n"/>
      <c r="G163" s="262" t="n"/>
      <c r="H163" s="264" t="n"/>
      <c r="I163" s="265" t="n"/>
      <c r="J163" s="47" t="n"/>
      <c r="K163" s="47" t="n"/>
      <c r="L163" s="47" t="n"/>
      <c r="M163" s="47" t="n"/>
    </row>
    <row r="164" ht="12.75" customHeight="1" s="205">
      <c r="B164" s="26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1" t="n"/>
      <c r="G164" s="262" t="n"/>
      <c r="H164" s="264" t="n"/>
      <c r="I164" s="265" t="n"/>
      <c r="J164" s="47" t="n"/>
      <c r="K164" s="47" t="n"/>
      <c r="L164" s="47" t="n"/>
      <c r="M164" s="47" t="n"/>
    </row>
    <row r="165" ht="12.75" customHeight="1" s="205">
      <c r="B165" s="26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1" t="n"/>
      <c r="G165" s="262" t="n"/>
      <c r="H165" s="264" t="n"/>
      <c r="I165" s="265" t="n"/>
      <c r="J165" s="47" t="n"/>
      <c r="K165" s="47" t="n"/>
      <c r="L165" s="47" t="n"/>
      <c r="M165" s="47" t="n"/>
    </row>
    <row r="166" ht="12.75" customHeight="1" s="205">
      <c r="B166" s="26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1" t="n"/>
      <c r="G166" s="262" t="n"/>
      <c r="H166" s="264" t="n"/>
      <c r="I166" s="265" t="n"/>
      <c r="J166" s="47" t="n"/>
      <c r="K166" s="47" t="n"/>
      <c r="L166" s="47" t="n"/>
      <c r="M166" s="47" t="n"/>
    </row>
    <row r="167" ht="12.75" customHeight="1" s="205">
      <c r="B167" s="26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1" t="n"/>
      <c r="G167" s="262" t="n"/>
      <c r="H167" s="264" t="n"/>
      <c r="I167" s="265" t="n"/>
      <c r="J167" s="47" t="n"/>
      <c r="K167" s="47" t="n"/>
      <c r="L167" s="47" t="n"/>
      <c r="M167" s="47" t="n"/>
    </row>
    <row r="168" ht="12.75" customHeight="1" s="205">
      <c r="B168" s="26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1" t="n"/>
      <c r="G168" s="262" t="n"/>
      <c r="H168" s="264" t="n"/>
      <c r="I168" s="265" t="n"/>
      <c r="J168" s="47" t="n"/>
      <c r="K168" s="47" t="n"/>
      <c r="L168" s="47" t="n"/>
      <c r="M168" s="47" t="n"/>
    </row>
    <row r="169" ht="12.75" customHeight="1" s="205">
      <c r="B169" s="26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1" t="n"/>
      <c r="G169" s="262" t="n"/>
      <c r="H169" s="264" t="n"/>
      <c r="I169" s="265" t="n"/>
      <c r="J169" s="47" t="n"/>
      <c r="K169" s="47" t="n"/>
      <c r="L169" s="47" t="n"/>
      <c r="M169" s="47" t="n"/>
    </row>
    <row r="170" ht="12.75" customHeight="1" s="205">
      <c r="B170" s="26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1" t="n"/>
      <c r="G170" s="262" t="n"/>
      <c r="H170" s="264" t="n"/>
      <c r="I170" s="265" t="n"/>
      <c r="J170" s="47" t="n"/>
      <c r="K170" s="47" t="n"/>
      <c r="L170" s="47" t="n"/>
      <c r="M170" s="47" t="n"/>
    </row>
    <row r="171" ht="12.75" customHeight="1" s="205">
      <c r="B171" s="26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1" t="n"/>
      <c r="G171" s="262" t="n"/>
      <c r="H171" s="264" t="n"/>
      <c r="I171" s="265" t="n"/>
      <c r="J171" s="47" t="n"/>
      <c r="K171" s="47" t="n"/>
      <c r="L171" s="47" t="n"/>
      <c r="M171" s="47" t="n"/>
    </row>
    <row r="172" ht="12.75" customHeight="1" s="205">
      <c r="B172" s="26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1" t="n"/>
      <c r="G172" s="262" t="n"/>
      <c r="H172" s="264" t="n"/>
      <c r="I172" s="265" t="n"/>
      <c r="J172" s="47" t="n"/>
      <c r="K172" s="47" t="n"/>
      <c r="L172" s="47" t="n"/>
      <c r="M172" s="47" t="n"/>
    </row>
    <row r="173" ht="12.75" customHeight="1" s="205">
      <c r="B173" s="26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1" t="n"/>
      <c r="G173" s="262" t="n"/>
      <c r="H173" s="264" t="n"/>
      <c r="I173" s="265" t="n"/>
      <c r="J173" s="47" t="n"/>
      <c r="K173" s="47" t="n"/>
      <c r="L173" s="47" t="n"/>
      <c r="M173" s="47" t="n"/>
    </row>
    <row r="174" ht="12.75" customHeight="1" s="205">
      <c r="B174" s="26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1" t="n"/>
      <c r="G174" s="262" t="n"/>
      <c r="H174" s="264" t="n"/>
      <c r="I174" s="265" t="n"/>
      <c r="J174" s="47" t="n"/>
      <c r="K174" s="47" t="n"/>
      <c r="L174" s="47" t="n"/>
      <c r="M174" s="47" t="n"/>
    </row>
    <row r="175" ht="12.75" customHeight="1" s="205">
      <c r="B175" s="26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1" t="n"/>
      <c r="G175" s="262" t="n"/>
      <c r="H175" s="264" t="n"/>
      <c r="I175" s="265" t="n"/>
      <c r="J175" s="47" t="n"/>
      <c r="K175" s="47" t="n"/>
      <c r="L175" s="47" t="n"/>
      <c r="M175" s="47" t="n"/>
    </row>
    <row r="176" ht="12.75" customHeight="1" s="205">
      <c r="B176" s="26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1" t="n"/>
      <c r="G176" s="262" t="n"/>
      <c r="H176" s="264" t="n"/>
      <c r="I176" s="265" t="n"/>
      <c r="J176" s="47" t="n"/>
      <c r="K176" s="47" t="n"/>
      <c r="L176" s="47" t="n"/>
      <c r="M176" s="47" t="n"/>
    </row>
    <row r="177" ht="12.75" customHeight="1" s="205">
      <c r="B177" s="26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1" t="n"/>
      <c r="G177" s="262" t="n"/>
      <c r="H177" s="264" t="n"/>
      <c r="I177" s="265" t="n"/>
      <c r="J177" s="47" t="n"/>
      <c r="K177" s="47" t="n"/>
      <c r="L177" s="47" t="n"/>
      <c r="M177" s="47" t="n"/>
    </row>
    <row r="178" ht="12.75" customHeight="1" s="205">
      <c r="B178" s="26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1" t="n"/>
      <c r="G178" s="262" t="n"/>
      <c r="H178" s="264" t="n"/>
      <c r="I178" s="265" t="n"/>
      <c r="J178" s="47" t="n"/>
      <c r="K178" s="47" t="n"/>
      <c r="L178" s="47" t="n"/>
      <c r="M178" s="47" t="n"/>
    </row>
    <row r="179" ht="12.75" customHeight="1" s="205">
      <c r="B179" s="26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1" t="n"/>
      <c r="G179" s="262" t="n"/>
      <c r="H179" s="264" t="n"/>
      <c r="I179" s="265" t="n"/>
      <c r="J179" s="47" t="n"/>
      <c r="K179" s="47" t="n"/>
      <c r="L179" s="47" t="n"/>
      <c r="M179" s="47" t="n"/>
    </row>
    <row r="180" ht="12.75" customHeight="1" s="205">
      <c r="B180" s="26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1" t="n"/>
      <c r="G180" s="262" t="n"/>
      <c r="H180" s="264" t="n"/>
      <c r="I180" s="265" t="n"/>
      <c r="J180" s="47" t="n"/>
      <c r="K180" s="47" t="n"/>
      <c r="L180" s="47" t="n"/>
      <c r="M180" s="47" t="n"/>
    </row>
    <row r="181" ht="12.75" customHeight="1" s="205">
      <c r="B181" s="26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1" t="n"/>
      <c r="G181" s="262" t="n"/>
      <c r="H181" s="264" t="n"/>
      <c r="I181" s="265" t="n"/>
      <c r="J181" s="47" t="n"/>
      <c r="K181" s="47" t="n"/>
      <c r="L181" s="47" t="n"/>
      <c r="M181" s="47" t="n"/>
    </row>
    <row r="182" ht="12.75" customHeight="1" s="205">
      <c r="B182" s="26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1" t="n"/>
      <c r="G182" s="262" t="n"/>
      <c r="H182" s="264" t="n"/>
      <c r="I182" s="265" t="n"/>
      <c r="J182" s="47" t="n"/>
      <c r="K182" s="47" t="n"/>
      <c r="L182" s="47" t="n"/>
      <c r="M182" s="47" t="n"/>
    </row>
    <row r="183" ht="12.75" customHeight="1" s="205">
      <c r="B183" s="26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1" t="n"/>
      <c r="G183" s="262" t="n"/>
      <c r="H183" s="264" t="n"/>
      <c r="I183" s="265" t="n"/>
      <c r="J183" s="47" t="n"/>
      <c r="K183" s="47" t="n"/>
      <c r="L183" s="47" t="n"/>
      <c r="M183" s="47" t="n"/>
    </row>
    <row r="184" ht="12.75" customHeight="1" s="205">
      <c r="B184" s="26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1" t="n"/>
      <c r="G184" s="262" t="n"/>
      <c r="H184" s="264" t="n"/>
      <c r="I184" s="265" t="n"/>
      <c r="J184" s="47" t="n"/>
      <c r="K184" s="47" t="n"/>
      <c r="L184" s="47" t="n"/>
      <c r="M184" s="47" t="n"/>
    </row>
    <row r="185" ht="12.75" customHeight="1" s="205">
      <c r="B185" s="26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1" t="n"/>
      <c r="G185" s="262" t="n"/>
      <c r="H185" s="264" t="n"/>
      <c r="I185" s="265" t="n"/>
      <c r="J185" s="47" t="n"/>
      <c r="K185" s="47" t="n"/>
      <c r="L185" s="47" t="n"/>
      <c r="M185" s="47" t="n"/>
    </row>
    <row r="186" ht="12.75" customHeight="1" s="205">
      <c r="B186" s="26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1" t="n"/>
      <c r="G186" s="262" t="n"/>
      <c r="H186" s="264" t="n"/>
      <c r="I186" s="265" t="n"/>
      <c r="J186" s="47" t="n"/>
      <c r="K186" s="47" t="n"/>
      <c r="L186" s="47" t="n"/>
      <c r="M186" s="47" t="n"/>
    </row>
    <row r="187" ht="12.75" customHeight="1" s="205">
      <c r="B187" s="26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1" t="n"/>
      <c r="G187" s="262" t="n"/>
      <c r="H187" s="264" t="n"/>
      <c r="I187" s="265" t="n"/>
      <c r="J187" s="47" t="n"/>
      <c r="K187" s="47" t="n"/>
      <c r="L187" s="47" t="n"/>
      <c r="M187" s="47" t="n"/>
    </row>
    <row r="188" ht="12.75" customHeight="1" s="205">
      <c r="B188" s="26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1" t="n"/>
      <c r="G188" s="262" t="n"/>
      <c r="H188" s="264" t="n"/>
      <c r="I188" s="265" t="n"/>
      <c r="J188" s="47" t="n"/>
      <c r="K188" s="47" t="n"/>
      <c r="L188" s="47" t="n"/>
      <c r="M188" s="47" t="n"/>
    </row>
    <row r="189" ht="12.75" customHeight="1" s="205">
      <c r="B189" s="26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1" t="n"/>
      <c r="G189" s="262" t="n"/>
      <c r="H189" s="264" t="n"/>
      <c r="I189" s="265" t="n"/>
      <c r="J189" s="47" t="n"/>
      <c r="K189" s="47" t="n"/>
      <c r="L189" s="47" t="n"/>
      <c r="M189" s="47" t="n"/>
    </row>
    <row r="190" ht="12.75" customHeight="1" s="205">
      <c r="B190" s="26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1" t="n"/>
      <c r="G190" s="262" t="n"/>
      <c r="H190" s="264" t="n"/>
      <c r="I190" s="265" t="n"/>
      <c r="J190" s="47" t="n"/>
      <c r="K190" s="47" t="n"/>
      <c r="L190" s="47" t="n"/>
      <c r="M190" s="47" t="n"/>
    </row>
    <row r="191" ht="12.75" customHeight="1" s="205">
      <c r="B191" s="26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1" t="n"/>
      <c r="G191" s="262" t="n"/>
      <c r="H191" s="264" t="n"/>
      <c r="I191" s="265" t="n"/>
      <c r="J191" s="47" t="n"/>
      <c r="K191" s="47" t="n"/>
      <c r="L191" s="47" t="n"/>
      <c r="M191" s="47" t="n"/>
    </row>
    <row r="192" ht="12.75" customHeight="1" s="205">
      <c r="B192" s="26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1" t="n"/>
      <c r="G192" s="262" t="n"/>
      <c r="H192" s="264" t="n"/>
      <c r="I192" s="265" t="n"/>
      <c r="J192" s="47" t="n"/>
      <c r="K192" s="47" t="n"/>
      <c r="L192" s="47" t="n"/>
      <c r="M192" s="47" t="n"/>
    </row>
    <row r="193" ht="12.75" customHeight="1" s="205">
      <c r="B193" s="26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1" t="n"/>
      <c r="G193" s="262" t="n"/>
      <c r="H193" s="264" t="n"/>
      <c r="I193" s="265" t="n"/>
      <c r="J193" s="47" t="n"/>
      <c r="K193" s="47" t="n"/>
      <c r="L193" s="47" t="n"/>
      <c r="M193" s="47" t="n"/>
    </row>
    <row r="194" ht="12.75" customHeight="1" s="205">
      <c r="B194" s="26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1" t="n"/>
      <c r="G194" s="262" t="n"/>
      <c r="H194" s="264" t="n"/>
      <c r="I194" s="265" t="n"/>
      <c r="J194" s="47" t="n"/>
      <c r="K194" s="47" t="n"/>
      <c r="L194" s="47" t="n"/>
      <c r="M194" s="47" t="n"/>
    </row>
    <row r="195" ht="12.75" customHeight="1" s="205">
      <c r="B195" s="26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1" t="n"/>
      <c r="G195" s="262" t="n"/>
      <c r="H195" s="264" t="n"/>
      <c r="I195" s="265" t="n"/>
      <c r="J195" s="47" t="n"/>
      <c r="K195" s="47" t="n"/>
      <c r="L195" s="47" t="n"/>
      <c r="M195" s="47" t="n"/>
    </row>
    <row r="196" ht="12.75" customHeight="1" s="205">
      <c r="B196" s="26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1" t="n"/>
      <c r="G196" s="262" t="n"/>
      <c r="H196" s="264" t="n"/>
      <c r="I196" s="265" t="n"/>
      <c r="J196" s="47" t="n"/>
      <c r="K196" s="47" t="n"/>
      <c r="L196" s="47" t="n"/>
      <c r="M196" s="47" t="n"/>
    </row>
    <row r="197" ht="12.75" customHeight="1" s="205">
      <c r="B197" s="26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1" t="n"/>
      <c r="G197" s="262" t="n"/>
      <c r="H197" s="264" t="n"/>
      <c r="I197" s="265" t="n"/>
      <c r="J197" s="47" t="n"/>
      <c r="K197" s="47" t="n"/>
      <c r="L197" s="47" t="n"/>
      <c r="M197" s="47" t="n"/>
    </row>
    <row r="198" ht="12.75" customHeight="1" s="205">
      <c r="B198" s="26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1" t="n"/>
      <c r="G198" s="262" t="n"/>
      <c r="H198" s="264" t="n"/>
      <c r="I198" s="265" t="n"/>
      <c r="J198" s="47" t="n"/>
      <c r="K198" s="47" t="n"/>
      <c r="L198" s="47" t="n"/>
      <c r="M198" s="47" t="n"/>
    </row>
    <row r="199" ht="12.75" customHeight="1" s="205">
      <c r="B199" s="26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1" t="n"/>
      <c r="G199" s="262" t="n"/>
      <c r="H199" s="264" t="n"/>
      <c r="I199" s="265" t="n"/>
      <c r="J199" s="47" t="n"/>
      <c r="K199" s="47" t="n"/>
      <c r="L199" s="47" t="n"/>
      <c r="M199" s="47" t="n"/>
    </row>
    <row r="200" ht="12.75" customHeight="1" s="205">
      <c r="B200" s="26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1" t="n"/>
      <c r="G200" s="262" t="n"/>
      <c r="H200" s="264" t="n"/>
      <c r="I200" s="265" t="n"/>
      <c r="J200" s="47" t="n"/>
      <c r="K200" s="47" t="n"/>
      <c r="L200" s="47" t="n"/>
      <c r="M200" s="47" t="n"/>
    </row>
    <row r="201" ht="12.75" customHeight="1" s="205">
      <c r="B201" s="26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1" t="n"/>
      <c r="G201" s="262" t="n"/>
      <c r="H201" s="264" t="n"/>
      <c r="I201" s="265" t="n"/>
      <c r="J201" s="47" t="n"/>
      <c r="K201" s="47" t="n"/>
      <c r="L201" s="47" t="n"/>
      <c r="M201" s="47" t="n"/>
    </row>
    <row r="202" ht="12.75" customHeight="1" s="205">
      <c r="B202" s="26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1" t="n"/>
      <c r="G202" s="262" t="n"/>
      <c r="H202" s="264" t="n"/>
      <c r="I202" s="265" t="n"/>
      <c r="J202" s="47" t="n"/>
      <c r="K202" s="47" t="n"/>
      <c r="L202" s="47" t="n"/>
      <c r="M202" s="47" t="n"/>
    </row>
    <row r="203" ht="12.75" customHeight="1" s="205">
      <c r="B203" s="26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1" t="n"/>
      <c r="G203" s="262" t="n"/>
      <c r="H203" s="264" t="n"/>
      <c r="I203" s="265" t="n"/>
      <c r="J203" s="47" t="n"/>
      <c r="K203" s="47" t="n"/>
      <c r="L203" s="47" t="n"/>
      <c r="M203" s="47" t="n"/>
    </row>
    <row r="204" ht="12.75" customHeight="1" s="205">
      <c r="B204" s="26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1" t="n"/>
      <c r="G204" s="262" t="n"/>
      <c r="H204" s="264" t="n"/>
      <c r="I204" s="265" t="n"/>
      <c r="J204" s="47" t="n"/>
      <c r="K204" s="47" t="n"/>
      <c r="L204" s="47" t="n"/>
      <c r="M204" s="47" t="n"/>
    </row>
    <row r="205" ht="12.75" customHeight="1" s="205">
      <c r="B205" s="26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1" t="n"/>
      <c r="G205" s="262" t="n"/>
      <c r="H205" s="264" t="n"/>
      <c r="I205" s="265" t="n"/>
      <c r="J205" s="47" t="n"/>
      <c r="K205" s="47" t="n"/>
      <c r="L205" s="47" t="n"/>
      <c r="M205" s="47" t="n"/>
    </row>
    <row r="206" ht="12.75" customHeight="1" s="205">
      <c r="B206" s="26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1" t="n"/>
      <c r="G206" s="262" t="n"/>
      <c r="H206" s="264" t="n"/>
      <c r="I206" s="265" t="n"/>
      <c r="J206" s="47" t="n"/>
      <c r="K206" s="47" t="n"/>
      <c r="L206" s="47" t="n"/>
      <c r="M206" s="47" t="n"/>
    </row>
    <row r="207" ht="12.75" customHeight="1" s="205">
      <c r="B207" s="26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1" t="n"/>
      <c r="G207" s="262" t="n"/>
      <c r="H207" s="264" t="n"/>
      <c r="I207" s="265" t="n"/>
      <c r="J207" s="47" t="n"/>
      <c r="K207" s="47" t="n"/>
      <c r="L207" s="47" t="n"/>
      <c r="M207" s="47" t="n"/>
    </row>
    <row r="208" ht="12.75" customHeight="1" s="205">
      <c r="B208" s="26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1" t="n"/>
      <c r="G208" s="262" t="n"/>
      <c r="H208" s="264" t="n"/>
      <c r="I208" s="265" t="n"/>
      <c r="J208" s="47" t="n"/>
      <c r="K208" s="47" t="n"/>
      <c r="L208" s="47" t="n"/>
      <c r="M208" s="47" t="n"/>
    </row>
    <row r="209" ht="12.75" customHeight="1" s="205">
      <c r="B209" s="26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1" t="n"/>
      <c r="G209" s="262" t="n"/>
      <c r="H209" s="264" t="n"/>
      <c r="I209" s="265" t="n"/>
      <c r="J209" s="47" t="n"/>
      <c r="K209" s="47" t="n"/>
      <c r="L209" s="47" t="n"/>
      <c r="M209" s="47" t="n"/>
    </row>
    <row r="210" ht="12.75" customHeight="1" s="205">
      <c r="B210" s="26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1" t="n"/>
      <c r="G210" s="262" t="n"/>
      <c r="H210" s="264" t="n"/>
      <c r="I210" s="265" t="n"/>
      <c r="J210" s="47" t="n"/>
      <c r="K210" s="47" t="n"/>
      <c r="L210" s="47" t="n"/>
      <c r="M210" s="47" t="n"/>
    </row>
    <row r="211" ht="12.75" customHeight="1" s="205">
      <c r="B211" s="26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1" t="n"/>
      <c r="G211" s="262" t="n"/>
      <c r="H211" s="264" t="n"/>
      <c r="I211" s="265" t="n"/>
      <c r="J211" s="47" t="n"/>
      <c r="K211" s="47" t="n"/>
      <c r="L211" s="47" t="n"/>
      <c r="M211" s="47" t="n"/>
    </row>
    <row r="212" ht="12.75" customHeight="1" s="205">
      <c r="B212" s="26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1" t="n"/>
      <c r="G212" s="262" t="n"/>
      <c r="H212" s="264" t="n"/>
      <c r="I212" s="265" t="n"/>
      <c r="J212" s="47" t="n"/>
      <c r="K212" s="47" t="n"/>
      <c r="L212" s="47" t="n"/>
      <c r="M212" s="47" t="n"/>
    </row>
    <row r="213" ht="12.75" customHeight="1" s="205">
      <c r="B213" s="26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1" t="n"/>
      <c r="G213" s="262" t="n"/>
      <c r="H213" s="264" t="n"/>
      <c r="I213" s="265" t="n"/>
      <c r="J213" s="47" t="n"/>
      <c r="K213" s="47" t="n"/>
      <c r="L213" s="47" t="n"/>
      <c r="M213" s="47" t="n"/>
    </row>
    <row r="214" ht="12.75" customHeight="1" s="205">
      <c r="B214" s="26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1" t="n"/>
      <c r="G214" s="262" t="n"/>
      <c r="H214" s="264" t="n"/>
      <c r="I214" s="265" t="n"/>
      <c r="J214" s="47" t="n"/>
      <c r="K214" s="47" t="n"/>
      <c r="L214" s="47" t="n"/>
      <c r="M214" s="47" t="n"/>
    </row>
    <row r="215" ht="12.75" customHeight="1" s="205">
      <c r="B215" s="26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1" t="n"/>
      <c r="G215" s="262" t="n"/>
      <c r="H215" s="264" t="n"/>
      <c r="I215" s="265" t="n"/>
      <c r="J215" s="47" t="n"/>
      <c r="K215" s="47" t="n"/>
      <c r="L215" s="47" t="n"/>
      <c r="M215" s="47" t="n"/>
    </row>
    <row r="216" ht="12.75" customHeight="1" s="205">
      <c r="B216" s="26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1" t="n"/>
      <c r="G216" s="262" t="n"/>
      <c r="H216" s="264" t="n"/>
      <c r="I216" s="265" t="n"/>
      <c r="J216" s="47" t="n"/>
      <c r="K216" s="47" t="n"/>
      <c r="L216" s="47" t="n"/>
      <c r="M216" s="47" t="n"/>
    </row>
    <row r="217" ht="12.75" customHeight="1" s="205">
      <c r="B217" s="26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1" t="n"/>
      <c r="G217" s="262" t="n"/>
      <c r="H217" s="264" t="n"/>
      <c r="I217" s="265" t="n"/>
      <c r="J217" s="47" t="n"/>
      <c r="K217" s="47" t="n"/>
      <c r="L217" s="47" t="n"/>
      <c r="M217" s="47" t="n"/>
    </row>
    <row r="218" ht="12.75" customHeight="1" s="205">
      <c r="B218" s="26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1" t="n"/>
      <c r="G218" s="262" t="n"/>
      <c r="H218" s="264" t="n"/>
      <c r="I218" s="265" t="n"/>
      <c r="J218" s="47" t="n"/>
      <c r="K218" s="47" t="n"/>
      <c r="L218" s="47" t="n"/>
      <c r="M218" s="47" t="n"/>
    </row>
    <row r="219" ht="12.75" customHeight="1" s="205">
      <c r="B219" s="26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1" t="n"/>
      <c r="G219" s="262" t="n"/>
      <c r="H219" s="264" t="n"/>
      <c r="I219" s="265" t="n"/>
      <c r="J219" s="47" t="n"/>
      <c r="K219" s="47" t="n"/>
      <c r="L219" s="47" t="n"/>
      <c r="M219" s="47" t="n"/>
    </row>
    <row r="220" ht="12.75" customHeight="1" s="205">
      <c r="B220" s="26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1" t="n"/>
      <c r="G220" s="262" t="n"/>
      <c r="H220" s="264" t="n"/>
      <c r="I220" s="265" t="n"/>
      <c r="J220" s="47" t="n"/>
      <c r="K220" s="47" t="n"/>
      <c r="L220" s="47" t="n"/>
      <c r="M220" s="47" t="n"/>
    </row>
    <row r="221" ht="12.75" customHeight="1" s="205">
      <c r="B221" s="26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1" t="n"/>
      <c r="G221" s="262" t="n"/>
      <c r="H221" s="264" t="n"/>
      <c r="I221" s="265" t="n"/>
      <c r="J221" s="47" t="n"/>
      <c r="K221" s="47" t="n"/>
      <c r="L221" s="47" t="n"/>
      <c r="M221" s="47" t="n"/>
    </row>
    <row r="222" ht="12.75" customHeight="1" s="205">
      <c r="B222" s="26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1" t="n"/>
      <c r="G222" s="262" t="n"/>
      <c r="H222" s="264" t="n"/>
      <c r="I222" s="265" t="n"/>
      <c r="J222" s="47" t="n"/>
      <c r="K222" s="47" t="n"/>
      <c r="L222" s="47" t="n"/>
      <c r="M222" s="47" t="n"/>
    </row>
    <row r="223" ht="12.75" customHeight="1" s="205">
      <c r="B223" s="26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1" t="n"/>
      <c r="G223" s="262" t="n"/>
      <c r="H223" s="264" t="n"/>
      <c r="I223" s="265" t="n"/>
      <c r="J223" s="47" t="n"/>
      <c r="K223" s="47" t="n"/>
      <c r="L223" s="47" t="n"/>
      <c r="M223" s="47" t="n"/>
    </row>
    <row r="224" ht="12.75" customHeight="1" s="205">
      <c r="B224" s="26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1" t="n"/>
      <c r="G224" s="262" t="n"/>
      <c r="H224" s="264" t="n"/>
      <c r="I224" s="265" t="n"/>
      <c r="J224" s="47" t="n"/>
      <c r="K224" s="47" t="n"/>
      <c r="L224" s="47" t="n"/>
      <c r="M224" s="47" t="n"/>
    </row>
    <row r="225" ht="12.75" customHeight="1" s="205">
      <c r="B225" s="26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1" t="n"/>
      <c r="G225" s="262" t="n"/>
      <c r="H225" s="264" t="n"/>
      <c r="I225" s="265" t="n"/>
      <c r="J225" s="47" t="n"/>
      <c r="K225" s="47" t="n"/>
      <c r="L225" s="47" t="n"/>
      <c r="M225" s="47" t="n"/>
    </row>
    <row r="226" ht="12.75" customHeight="1" s="205">
      <c r="B226" s="26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1" t="n"/>
      <c r="G226" s="262" t="n"/>
      <c r="H226" s="264" t="n"/>
      <c r="I226" s="265" t="n"/>
      <c r="J226" s="47" t="n"/>
      <c r="K226" s="47" t="n"/>
      <c r="L226" s="47" t="n"/>
      <c r="M226" s="47" t="n"/>
    </row>
    <row r="227" ht="12.75" customHeight="1" s="205">
      <c r="B227" s="26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1" t="n"/>
      <c r="G227" s="262" t="n"/>
      <c r="H227" s="264" t="n"/>
      <c r="I227" s="265" t="n"/>
      <c r="J227" s="47" t="n"/>
      <c r="K227" s="47" t="n"/>
      <c r="L227" s="47" t="n"/>
      <c r="M227" s="47" t="n"/>
    </row>
    <row r="228" ht="12.75" customHeight="1" s="205">
      <c r="B228" s="26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1" t="n"/>
      <c r="G228" s="262" t="n"/>
      <c r="H228" s="264" t="n"/>
      <c r="I228" s="265" t="n"/>
      <c r="J228" s="47" t="n"/>
      <c r="K228" s="47" t="n"/>
      <c r="L228" s="47" t="n"/>
      <c r="M228" s="47" t="n"/>
    </row>
    <row r="229" ht="12.75" customHeight="1" s="205">
      <c r="B229" s="26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1" t="n"/>
      <c r="G229" s="262" t="n"/>
      <c r="H229" s="264" t="n"/>
      <c r="I229" s="265" t="n"/>
      <c r="J229" s="47" t="n"/>
      <c r="K229" s="47" t="n"/>
      <c r="L229" s="47" t="n"/>
      <c r="M229" s="47" t="n"/>
    </row>
    <row r="230" ht="12.75" customHeight="1" s="205">
      <c r="B230" s="26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1" t="n"/>
      <c r="G230" s="262" t="n"/>
      <c r="H230" s="264" t="n"/>
      <c r="I230" s="265" t="n"/>
      <c r="J230" s="47" t="n"/>
      <c r="K230" s="47" t="n"/>
      <c r="L230" s="47" t="n"/>
      <c r="M230" s="47" t="n"/>
    </row>
    <row r="231" ht="12.75" customHeight="1" s="205">
      <c r="B231" s="26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1" t="n"/>
      <c r="G231" s="262" t="n"/>
      <c r="H231" s="264" t="n"/>
      <c r="I231" s="265" t="n"/>
      <c r="J231" s="47" t="n"/>
      <c r="K231" s="47" t="n"/>
      <c r="L231" s="47" t="n"/>
      <c r="M231" s="47" t="n"/>
    </row>
    <row r="232" ht="12.75" customHeight="1" s="205">
      <c r="B232" s="26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1" t="n"/>
      <c r="G232" s="262" t="n"/>
      <c r="H232" s="264" t="n"/>
      <c r="I232" s="265" t="n"/>
      <c r="J232" s="47" t="n"/>
      <c r="K232" s="47" t="n"/>
      <c r="L232" s="47" t="n"/>
      <c r="M232" s="47" t="n"/>
    </row>
    <row r="233" ht="12.75" customHeight="1" s="205">
      <c r="B233" s="26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1" t="n"/>
      <c r="G233" s="262" t="n"/>
      <c r="H233" s="264" t="n"/>
      <c r="I233" s="265" t="n"/>
      <c r="J233" s="47" t="n"/>
      <c r="K233" s="47" t="n"/>
      <c r="L233" s="47" t="n"/>
      <c r="M233" s="47" t="n"/>
    </row>
    <row r="234" ht="12.75" customHeight="1" s="205">
      <c r="B234" s="26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1" t="n"/>
      <c r="G234" s="262" t="n"/>
      <c r="H234" s="264" t="n"/>
      <c r="I234" s="265" t="n"/>
      <c r="J234" s="47" t="n"/>
      <c r="K234" s="47" t="n"/>
      <c r="L234" s="47" t="n"/>
      <c r="M234" s="47" t="n"/>
    </row>
    <row r="235" ht="12.75" customHeight="1" s="205">
      <c r="B235" s="26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1" t="n"/>
      <c r="G235" s="262" t="n"/>
      <c r="H235" s="264" t="n"/>
      <c r="I235" s="265" t="n"/>
      <c r="J235" s="47" t="n"/>
      <c r="K235" s="47" t="n"/>
      <c r="L235" s="47" t="n"/>
      <c r="M235" s="47" t="n"/>
    </row>
    <row r="236" ht="12.75" customHeight="1" s="205">
      <c r="B236" s="26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1" t="n"/>
      <c r="G236" s="262" t="n"/>
      <c r="H236" s="264" t="n"/>
      <c r="I236" s="265" t="n"/>
      <c r="J236" s="47" t="n"/>
      <c r="K236" s="47" t="n"/>
      <c r="L236" s="47" t="n"/>
      <c r="M236" s="47" t="n"/>
    </row>
    <row r="237" ht="12.75" customHeight="1" s="205">
      <c r="B237" s="26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1" t="n"/>
      <c r="G237" s="262" t="n"/>
      <c r="H237" s="264" t="n"/>
      <c r="I237" s="265" t="n"/>
      <c r="J237" s="47" t="n"/>
      <c r="K237" s="47" t="n"/>
      <c r="L237" s="47" t="n"/>
      <c r="M237" s="47" t="n"/>
    </row>
    <row r="238" ht="12.75" customHeight="1" s="205">
      <c r="B238" s="26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1" t="n"/>
      <c r="G238" s="262" t="n"/>
      <c r="H238" s="264" t="n"/>
      <c r="I238" s="265" t="n"/>
      <c r="J238" s="47" t="n"/>
      <c r="K238" s="47" t="n"/>
      <c r="L238" s="47" t="n"/>
      <c r="M238" s="47" t="n"/>
    </row>
    <row r="239" ht="12.75" customHeight="1" s="205">
      <c r="B239" s="26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1" t="n"/>
      <c r="G239" s="262" t="n"/>
      <c r="H239" s="264" t="n"/>
      <c r="I239" s="265" t="n"/>
      <c r="J239" s="47" t="n"/>
      <c r="K239" s="47" t="n"/>
      <c r="L239" s="47" t="n"/>
      <c r="M239" s="47" t="n"/>
    </row>
    <row r="240" ht="12.75" customHeight="1" s="205">
      <c r="B240" s="26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1" t="n"/>
      <c r="G240" s="262" t="n"/>
      <c r="H240" s="264" t="n"/>
      <c r="I240" s="265" t="n"/>
      <c r="J240" s="47" t="n"/>
      <c r="K240" s="47" t="n"/>
      <c r="L240" s="47" t="n"/>
      <c r="M240" s="47" t="n"/>
    </row>
    <row r="241" ht="12.75" customHeight="1" s="205">
      <c r="B241" s="26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1" t="n"/>
      <c r="G241" s="262" t="n"/>
      <c r="H241" s="264" t="n"/>
      <c r="I241" s="265" t="n"/>
      <c r="J241" s="47" t="n"/>
      <c r="K241" s="47" t="n"/>
      <c r="L241" s="47" t="n"/>
      <c r="M241" s="47" t="n"/>
    </row>
    <row r="242" ht="12.75" customHeight="1" s="205">
      <c r="B242" s="26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1" t="n"/>
      <c r="G242" s="262" t="n"/>
      <c r="H242" s="264" t="n"/>
      <c r="I242" s="265" t="n"/>
      <c r="J242" s="47" t="n"/>
      <c r="K242" s="47" t="n"/>
      <c r="L242" s="47" t="n"/>
      <c r="M242" s="47" t="n"/>
    </row>
    <row r="243" ht="12.75" customHeight="1" s="205">
      <c r="B243" s="26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1" t="n"/>
      <c r="G243" s="262" t="n"/>
      <c r="H243" s="264" t="n"/>
      <c r="I243" s="265" t="n"/>
      <c r="J243" s="47" t="n"/>
      <c r="K243" s="47" t="n"/>
      <c r="L243" s="47" t="n"/>
      <c r="M243" s="47" t="n"/>
    </row>
    <row r="244" ht="12.75" customHeight="1" s="205">
      <c r="B244" s="26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1" t="n"/>
      <c r="G244" s="262" t="n"/>
      <c r="H244" s="264" t="n"/>
      <c r="I244" s="265" t="n"/>
      <c r="J244" s="47" t="n"/>
      <c r="K244" s="47" t="n"/>
      <c r="L244" s="47" t="n"/>
      <c r="M244" s="47" t="n"/>
    </row>
    <row r="245" ht="12.75" customHeight="1" s="205">
      <c r="B245" s="26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1" t="n"/>
      <c r="G245" s="262" t="n"/>
      <c r="H245" s="264" t="n"/>
      <c r="I245" s="265" t="n"/>
      <c r="J245" s="47" t="n"/>
      <c r="K245" s="47" t="n"/>
      <c r="L245" s="47" t="n"/>
      <c r="M245" s="47" t="n"/>
    </row>
    <row r="246" ht="12.75" customHeight="1" s="205">
      <c r="B246" s="26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1" t="n"/>
      <c r="G246" s="262" t="n"/>
      <c r="H246" s="264" t="n"/>
      <c r="I246" s="265" t="n"/>
      <c r="J246" s="47" t="n"/>
      <c r="K246" s="47" t="n"/>
      <c r="L246" s="47" t="n"/>
      <c r="M246" s="47" t="n"/>
    </row>
    <row r="247" ht="12.75" customHeight="1" s="205">
      <c r="B247" s="26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1" t="n"/>
      <c r="G247" s="262" t="n"/>
      <c r="H247" s="264" t="n"/>
      <c r="I247" s="265" t="n"/>
      <c r="J247" s="47" t="n"/>
      <c r="K247" s="47" t="n"/>
      <c r="L247" s="47" t="n"/>
      <c r="M247" s="47" t="n"/>
    </row>
    <row r="248" ht="12.75" customHeight="1" s="205">
      <c r="B248" s="26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1" t="n"/>
      <c r="G248" s="262" t="n"/>
      <c r="H248" s="264" t="n"/>
      <c r="I248" s="265" t="n"/>
      <c r="J248" s="47" t="n"/>
      <c r="K248" s="47" t="n"/>
      <c r="L248" s="47" t="n"/>
      <c r="M248" s="47" t="n"/>
    </row>
    <row r="249" ht="12.75" customHeight="1" s="205">
      <c r="B249" s="26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1" t="n"/>
      <c r="G249" s="262" t="n"/>
      <c r="H249" s="264" t="n"/>
      <c r="I249" s="265" t="n"/>
      <c r="J249" s="47" t="n"/>
      <c r="K249" s="47" t="n"/>
      <c r="L249" s="47" t="n"/>
      <c r="M249" s="47" t="n"/>
    </row>
    <row r="250" ht="12.75" customHeight="1" s="205">
      <c r="B250" s="26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1" t="n"/>
      <c r="G250" s="262" t="n"/>
      <c r="H250" s="264" t="n"/>
      <c r="I250" s="265" t="n"/>
      <c r="J250" s="47" t="n"/>
      <c r="K250" s="47" t="n"/>
      <c r="L250" s="47" t="n"/>
      <c r="M250" s="47" t="n"/>
    </row>
    <row r="251" ht="12.75" customHeight="1" s="205">
      <c r="B251" s="26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1" t="n"/>
      <c r="G251" s="262" t="n"/>
      <c r="H251" s="264" t="n"/>
      <c r="I251" s="265" t="n"/>
      <c r="J251" s="47" t="n"/>
      <c r="K251" s="47" t="n"/>
      <c r="L251" s="47" t="n"/>
      <c r="M251" s="47" t="n"/>
    </row>
    <row r="252" ht="12.75" customHeight="1" s="205">
      <c r="B252" s="26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1" t="n"/>
      <c r="G252" s="262" t="n"/>
      <c r="H252" s="264" t="n"/>
      <c r="I252" s="265" t="n"/>
      <c r="J252" s="47" t="n"/>
      <c r="K252" s="47" t="n"/>
      <c r="L252" s="47" t="n"/>
      <c r="M252" s="47" t="n"/>
    </row>
    <row r="253" ht="12.75" customHeight="1" s="205">
      <c r="B253" s="26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1" t="n"/>
      <c r="G253" s="262" t="n"/>
      <c r="H253" s="264" t="n"/>
      <c r="I253" s="265" t="n"/>
      <c r="J253" s="47" t="n"/>
      <c r="K253" s="47" t="n"/>
      <c r="L253" s="47" t="n"/>
      <c r="M253" s="47" t="n"/>
    </row>
    <row r="254" ht="12.75" customHeight="1" s="205">
      <c r="B254" s="26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1" t="n"/>
      <c r="G254" s="262" t="n"/>
      <c r="H254" s="264" t="n"/>
      <c r="I254" s="265" t="n"/>
      <c r="J254" s="47" t="n"/>
      <c r="K254" s="47" t="n"/>
      <c r="L254" s="47" t="n"/>
      <c r="M254" s="47" t="n"/>
    </row>
    <row r="255" ht="12.75" customHeight="1" s="205">
      <c r="B255" s="26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1" t="n"/>
      <c r="G255" s="262" t="n"/>
      <c r="H255" s="264" t="n"/>
      <c r="I255" s="265" t="n"/>
      <c r="J255" s="47" t="n"/>
      <c r="K255" s="47" t="n"/>
      <c r="L255" s="47" t="n"/>
      <c r="M255" s="47" t="n"/>
    </row>
    <row r="256" ht="12.75" customHeight="1" s="205">
      <c r="B256" s="26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1" t="n"/>
      <c r="G256" s="262" t="n"/>
      <c r="H256" s="264" t="n"/>
      <c r="I256" s="265" t="n"/>
      <c r="J256" s="47" t="n"/>
      <c r="K256" s="47" t="n"/>
      <c r="L256" s="47" t="n"/>
      <c r="M256" s="47" t="n"/>
    </row>
    <row r="257" ht="12.75" customHeight="1" s="205">
      <c r="B257" s="26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1" t="n"/>
      <c r="G257" s="262" t="n"/>
      <c r="H257" s="264" t="n"/>
      <c r="I257" s="265" t="n"/>
      <c r="J257" s="47" t="n"/>
      <c r="K257" s="47" t="n"/>
      <c r="L257" s="47" t="n"/>
      <c r="M257" s="47" t="n"/>
    </row>
    <row r="258" ht="12.75" customHeight="1" s="205">
      <c r="B258" s="26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1" t="n"/>
      <c r="G258" s="262" t="n"/>
      <c r="H258" s="264" t="n"/>
      <c r="I258" s="265" t="n"/>
      <c r="J258" s="47" t="n"/>
      <c r="K258" s="47" t="n"/>
      <c r="L258" s="47" t="n"/>
      <c r="M258" s="47" t="n"/>
    </row>
    <row r="259" ht="12.75" customHeight="1" s="205">
      <c r="B259" s="26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1" t="n"/>
      <c r="G259" s="262" t="n"/>
      <c r="H259" s="264" t="n"/>
      <c r="I259" s="265" t="n"/>
      <c r="J259" s="47" t="n"/>
      <c r="K259" s="47" t="n"/>
      <c r="L259" s="47" t="n"/>
      <c r="M259" s="47" t="n"/>
    </row>
    <row r="260" ht="12.75" customHeight="1" s="205">
      <c r="B260" s="26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1" t="n"/>
      <c r="G260" s="262" t="n"/>
      <c r="H260" s="264" t="n"/>
      <c r="I260" s="265" t="n"/>
      <c r="J260" s="47" t="n"/>
      <c r="K260" s="47" t="n"/>
      <c r="L260" s="47" t="n"/>
      <c r="M260" s="47" t="n"/>
    </row>
    <row r="261" ht="12.75" customHeight="1" s="205">
      <c r="B261" s="26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1" t="n"/>
      <c r="G261" s="262" t="n"/>
      <c r="H261" s="264" t="n"/>
      <c r="I261" s="265" t="n"/>
      <c r="J261" s="47" t="n"/>
      <c r="K261" s="47" t="n"/>
      <c r="L261" s="47" t="n"/>
      <c r="M261" s="47" t="n"/>
    </row>
    <row r="262" ht="12.75" customHeight="1" s="205">
      <c r="B262" s="26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1" t="n"/>
      <c r="G262" s="262" t="n"/>
      <c r="H262" s="264" t="n"/>
      <c r="I262" s="265" t="n"/>
      <c r="J262" s="47" t="n"/>
      <c r="K262" s="47" t="n"/>
      <c r="L262" s="47" t="n"/>
      <c r="M262" s="47" t="n"/>
    </row>
    <row r="263" ht="12.75" customHeight="1" s="205">
      <c r="B263" s="26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1" t="n"/>
      <c r="G263" s="262" t="n"/>
      <c r="H263" s="264" t="n"/>
      <c r="I263" s="265" t="n"/>
      <c r="J263" s="47" t="n"/>
      <c r="K263" s="47" t="n"/>
      <c r="L263" s="47" t="n"/>
      <c r="M263" s="47" t="n"/>
    </row>
    <row r="264" ht="12.75" customHeight="1" s="205">
      <c r="B264" s="26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1" t="n"/>
      <c r="G264" s="262" t="n"/>
      <c r="H264" s="264" t="n"/>
      <c r="I264" s="265" t="n"/>
      <c r="J264" s="47" t="n"/>
      <c r="K264" s="47" t="n"/>
      <c r="L264" s="47" t="n"/>
      <c r="M264" s="47" t="n"/>
    </row>
    <row r="265" ht="12.75" customHeight="1" s="205">
      <c r="B265" s="26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1" t="n"/>
      <c r="G265" s="262" t="n"/>
      <c r="H265" s="264" t="n"/>
      <c r="I265" s="265" t="n"/>
      <c r="J265" s="47" t="n"/>
      <c r="K265" s="47" t="n"/>
      <c r="L265" s="47" t="n"/>
      <c r="M265" s="47" t="n"/>
    </row>
    <row r="266" ht="12.75" customHeight="1" s="205">
      <c r="B266" s="26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1" t="n"/>
      <c r="G266" s="262" t="n"/>
      <c r="H266" s="264" t="n"/>
      <c r="I266" s="265" t="n"/>
      <c r="J266" s="47" t="n"/>
      <c r="K266" s="47" t="n"/>
      <c r="L266" s="47" t="n"/>
      <c r="M266" s="47" t="n"/>
    </row>
    <row r="267" ht="12.75" customHeight="1" s="205">
      <c r="B267" s="26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1" t="n"/>
      <c r="G267" s="262" t="n"/>
      <c r="H267" s="264" t="n"/>
      <c r="I267" s="265" t="n"/>
      <c r="J267" s="47" t="n"/>
      <c r="K267" s="47" t="n"/>
      <c r="L267" s="47" t="n"/>
      <c r="M267" s="47" t="n"/>
    </row>
    <row r="268" ht="12.75" customHeight="1" s="205">
      <c r="B268" s="26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1" t="n"/>
      <c r="G268" s="262" t="n"/>
      <c r="H268" s="264" t="n"/>
      <c r="I268" s="265" t="n"/>
      <c r="J268" s="47" t="n"/>
      <c r="K268" s="47" t="n"/>
      <c r="L268" s="47" t="n"/>
      <c r="M268" s="47" t="n"/>
    </row>
    <row r="269" ht="12.75" customHeight="1" s="205">
      <c r="B269" s="26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1" t="n"/>
      <c r="G269" s="262" t="n"/>
      <c r="H269" s="264" t="n"/>
      <c r="I269" s="265" t="n"/>
      <c r="J269" s="47" t="n"/>
      <c r="K269" s="47" t="n"/>
      <c r="L269" s="47" t="n"/>
      <c r="M269" s="47" t="n"/>
    </row>
    <row r="270" ht="12.75" customHeight="1" s="205">
      <c r="B270" s="26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1" t="n"/>
      <c r="G270" s="262" t="n"/>
      <c r="H270" s="264" t="n"/>
      <c r="I270" s="265" t="n"/>
      <c r="J270" s="47" t="n"/>
      <c r="K270" s="47" t="n"/>
      <c r="L270" s="47" t="n"/>
      <c r="M270" s="47" t="n"/>
    </row>
    <row r="271" ht="12.75" customHeight="1" s="205">
      <c r="B271" s="26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1" t="n"/>
      <c r="G271" s="262" t="n"/>
      <c r="H271" s="264" t="n"/>
      <c r="I271" s="265" t="n"/>
      <c r="J271" s="47" t="n"/>
      <c r="K271" s="47" t="n"/>
      <c r="L271" s="47" t="n"/>
      <c r="M271" s="47" t="n"/>
    </row>
    <row r="272" ht="12.75" customHeight="1" s="205">
      <c r="B272" s="26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1" t="n"/>
      <c r="G272" s="262" t="n"/>
      <c r="H272" s="264" t="n"/>
      <c r="I272" s="265" t="n"/>
      <c r="J272" s="47" t="n"/>
      <c r="K272" s="47" t="n"/>
      <c r="L272" s="47" t="n"/>
      <c r="M272" s="47" t="n"/>
    </row>
    <row r="273" ht="12.75" customHeight="1" s="205">
      <c r="B273" s="26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1" t="n"/>
      <c r="G273" s="262" t="n"/>
      <c r="H273" s="264" t="n"/>
      <c r="I273" s="265" t="n"/>
      <c r="J273" s="47" t="n"/>
      <c r="K273" s="47" t="n"/>
      <c r="L273" s="47" t="n"/>
      <c r="M273" s="47" t="n"/>
    </row>
    <row r="274" ht="12.75" customHeight="1" s="205">
      <c r="B274" s="26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1" t="n"/>
      <c r="G274" s="262" t="n"/>
      <c r="H274" s="264" t="n"/>
      <c r="I274" s="265" t="n"/>
      <c r="J274" s="47" t="n"/>
      <c r="K274" s="47" t="n"/>
      <c r="L274" s="47" t="n"/>
      <c r="M274" s="47" t="n"/>
    </row>
    <row r="275" ht="12.75" customHeight="1" s="205">
      <c r="B275" s="26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1" t="n"/>
      <c r="G275" s="262" t="n"/>
      <c r="H275" s="264" t="n"/>
      <c r="I275" s="265" t="n"/>
      <c r="J275" s="47" t="n"/>
      <c r="K275" s="47" t="n"/>
      <c r="L275" s="47" t="n"/>
      <c r="M275" s="47" t="n"/>
    </row>
    <row r="276" ht="12.75" customHeight="1" s="205">
      <c r="B276" s="26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1" t="n"/>
      <c r="G276" s="262" t="n"/>
      <c r="H276" s="264" t="n"/>
      <c r="I276" s="265" t="n"/>
      <c r="J276" s="47" t="n"/>
      <c r="K276" s="47" t="n"/>
      <c r="L276" s="47" t="n"/>
      <c r="M276" s="47" t="n"/>
    </row>
    <row r="277" ht="12.75" customHeight="1" s="205">
      <c r="B277" s="26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1" t="n"/>
      <c r="G277" s="262" t="n"/>
      <c r="H277" s="264" t="n"/>
      <c r="I277" s="265" t="n"/>
      <c r="J277" s="47" t="n"/>
      <c r="K277" s="47" t="n"/>
      <c r="L277" s="47" t="n"/>
      <c r="M277" s="47" t="n"/>
    </row>
    <row r="278" ht="12.75" customHeight="1" s="205">
      <c r="B278" s="26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1" t="n"/>
      <c r="G278" s="262" t="n"/>
      <c r="H278" s="264" t="n"/>
      <c r="I278" s="265" t="n"/>
      <c r="J278" s="47" t="n"/>
      <c r="K278" s="47" t="n"/>
      <c r="L278" s="47" t="n"/>
      <c r="M278" s="47" t="n"/>
    </row>
    <row r="279" ht="12.75" customHeight="1" s="205">
      <c r="B279" s="26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1" t="n"/>
      <c r="G279" s="262" t="n"/>
      <c r="H279" s="264" t="n"/>
      <c r="I279" s="265" t="n"/>
      <c r="J279" s="47" t="n"/>
      <c r="K279" s="47" t="n"/>
      <c r="L279" s="47" t="n"/>
      <c r="M279" s="47" t="n"/>
    </row>
    <row r="280" ht="12.75" customHeight="1" s="205">
      <c r="B280" s="26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1" t="n"/>
      <c r="G280" s="262" t="n"/>
      <c r="H280" s="264" t="n"/>
      <c r="I280" s="265" t="n"/>
      <c r="J280" s="47" t="n"/>
      <c r="K280" s="47" t="n"/>
      <c r="L280" s="47" t="n"/>
      <c r="M280" s="47" t="n"/>
    </row>
    <row r="281" ht="12.75" customHeight="1" s="205">
      <c r="B281" s="26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1" t="n"/>
      <c r="G281" s="262" t="n"/>
      <c r="H281" s="264" t="n"/>
      <c r="I281" s="265" t="n"/>
      <c r="J281" s="47" t="n"/>
      <c r="K281" s="47" t="n"/>
      <c r="L281" s="47" t="n"/>
      <c r="M281" s="47" t="n"/>
    </row>
    <row r="282" ht="12.75" customHeight="1" s="205">
      <c r="B282" s="26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1" t="n"/>
      <c r="G282" s="262" t="n"/>
      <c r="H282" s="264" t="n"/>
      <c r="I282" s="265" t="n"/>
      <c r="J282" s="47" t="n"/>
      <c r="K282" s="47" t="n"/>
      <c r="L282" s="47" t="n"/>
      <c r="M282" s="47" t="n"/>
    </row>
    <row r="283" ht="12.75" customHeight="1" s="205">
      <c r="B283" s="26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1" t="n"/>
      <c r="G283" s="262" t="n"/>
      <c r="H283" s="264" t="n"/>
      <c r="I283" s="265" t="n"/>
      <c r="J283" s="47" t="n"/>
      <c r="K283" s="47" t="n"/>
      <c r="L283" s="47" t="n"/>
      <c r="M283" s="47" t="n"/>
    </row>
    <row r="284" ht="12.75" customHeight="1" s="205">
      <c r="B284" s="26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1" t="n"/>
      <c r="G284" s="262" t="n"/>
      <c r="H284" s="264" t="n"/>
      <c r="I284" s="265" t="n"/>
      <c r="J284" s="47" t="n"/>
      <c r="K284" s="47" t="n"/>
      <c r="L284" s="47" t="n"/>
      <c r="M284" s="47" t="n"/>
    </row>
    <row r="285" ht="12.75" customHeight="1" s="205">
      <c r="B285" s="26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1" t="n"/>
      <c r="G285" s="262" t="n"/>
      <c r="H285" s="264" t="n"/>
      <c r="I285" s="265" t="n"/>
      <c r="J285" s="47" t="n"/>
      <c r="K285" s="47" t="n"/>
      <c r="L285" s="47" t="n"/>
      <c r="M285" s="47" t="n"/>
    </row>
    <row r="286" ht="12.75" customHeight="1" s="205">
      <c r="B286" s="26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1" t="n"/>
      <c r="G286" s="262" t="n"/>
      <c r="H286" s="264" t="n"/>
      <c r="I286" s="265" t="n"/>
      <c r="J286" s="47" t="n"/>
      <c r="K286" s="47" t="n"/>
      <c r="L286" s="47" t="n"/>
      <c r="M286" s="47" t="n"/>
    </row>
    <row r="287" ht="12.75" customHeight="1" s="205">
      <c r="B287" s="26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1" t="n"/>
      <c r="G287" s="262" t="n"/>
      <c r="H287" s="264" t="n"/>
      <c r="I287" s="265" t="n"/>
      <c r="J287" s="47" t="n"/>
      <c r="K287" s="47" t="n"/>
      <c r="L287" s="47" t="n"/>
      <c r="M287" s="47" t="n"/>
    </row>
    <row r="288" ht="12.75" customHeight="1" s="205">
      <c r="B288" s="26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1" t="n"/>
      <c r="G288" s="262" t="n"/>
      <c r="H288" s="264" t="n"/>
      <c r="I288" s="265" t="n"/>
      <c r="J288" s="47" t="n"/>
      <c r="K288" s="47" t="n"/>
      <c r="L288" s="47" t="n"/>
      <c r="M288" s="47" t="n"/>
    </row>
    <row r="289" ht="12.75" customHeight="1" s="205">
      <c r="B289" s="26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1" t="n"/>
      <c r="G289" s="262" t="n"/>
      <c r="H289" s="264" t="n"/>
      <c r="I289" s="265" t="n"/>
      <c r="J289" s="47" t="n"/>
      <c r="K289" s="47" t="n"/>
      <c r="L289" s="47" t="n"/>
      <c r="M289" s="47" t="n"/>
    </row>
    <row r="290" ht="12.75" customHeight="1" s="205">
      <c r="B290" s="26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1" t="n"/>
      <c r="G290" s="262" t="n"/>
      <c r="H290" s="264" t="n"/>
      <c r="I290" s="265" t="n"/>
      <c r="J290" s="47" t="n"/>
      <c r="K290" s="47" t="n"/>
      <c r="L290" s="47" t="n"/>
      <c r="M290" s="47" t="n"/>
    </row>
    <row r="291" ht="12.75" customHeight="1" s="205">
      <c r="B291" s="26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1" t="n"/>
      <c r="G291" s="262" t="n"/>
      <c r="H291" s="264" t="n"/>
      <c r="I291" s="265" t="n"/>
      <c r="J291" s="47" t="n"/>
      <c r="K291" s="47" t="n"/>
      <c r="L291" s="47" t="n"/>
      <c r="M291" s="47" t="n"/>
    </row>
    <row r="292" ht="12.75" customHeight="1" s="205">
      <c r="B292" s="26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1" t="n"/>
      <c r="G292" s="262" t="n"/>
      <c r="H292" s="264" t="n"/>
      <c r="I292" s="265" t="n"/>
      <c r="J292" s="47" t="n"/>
      <c r="K292" s="47" t="n"/>
      <c r="L292" s="47" t="n"/>
      <c r="M292" s="47" t="n"/>
    </row>
    <row r="293" ht="12.75" customHeight="1" s="205">
      <c r="B293" s="26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1" t="n"/>
      <c r="G293" s="262" t="n"/>
      <c r="H293" s="264" t="n"/>
      <c r="I293" s="265" t="n"/>
      <c r="J293" s="47" t="n"/>
      <c r="K293" s="47" t="n"/>
      <c r="L293" s="47" t="n"/>
      <c r="M293" s="47" t="n"/>
    </row>
    <row r="294" ht="12.75" customHeight="1" s="205">
      <c r="B294" s="26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1" t="n"/>
      <c r="G294" s="262" t="n"/>
      <c r="H294" s="264" t="n"/>
      <c r="I294" s="265" t="n"/>
      <c r="J294" s="47" t="n"/>
      <c r="K294" s="47" t="n"/>
      <c r="L294" s="47" t="n"/>
      <c r="M294" s="47" t="n"/>
    </row>
    <row r="295" ht="12.75" customHeight="1" s="205">
      <c r="B295" s="26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1" t="n"/>
      <c r="G295" s="262" t="n"/>
      <c r="H295" s="264" t="n"/>
      <c r="I295" s="265" t="n"/>
      <c r="J295" s="47" t="n"/>
      <c r="K295" s="47" t="n"/>
      <c r="L295" s="47" t="n"/>
      <c r="M295" s="47" t="n"/>
    </row>
    <row r="296" ht="12.75" customHeight="1" s="205">
      <c r="B296" s="26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1" t="n"/>
      <c r="G296" s="262" t="n"/>
      <c r="H296" s="264" t="n"/>
      <c r="I296" s="265" t="n"/>
      <c r="J296" s="47" t="n"/>
      <c r="K296" s="47" t="n"/>
      <c r="L296" s="47" t="n"/>
      <c r="M296" s="47" t="n"/>
    </row>
    <row r="297" ht="12.75" customHeight="1" s="205">
      <c r="B297" s="26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1" t="n"/>
      <c r="G297" s="262" t="n"/>
      <c r="H297" s="264" t="n"/>
      <c r="I297" s="265" t="n"/>
      <c r="J297" s="47" t="n"/>
      <c r="K297" s="47" t="n"/>
      <c r="L297" s="47" t="n"/>
      <c r="M297" s="47" t="n"/>
    </row>
    <row r="298" ht="12.75" customHeight="1" s="205">
      <c r="B298" s="26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1" t="n"/>
      <c r="G298" s="262" t="n"/>
      <c r="H298" s="264" t="n"/>
      <c r="I298" s="265" t="n"/>
      <c r="J298" s="47" t="n"/>
      <c r="K298" s="47" t="n"/>
      <c r="L298" s="47" t="n"/>
      <c r="M298" s="47" t="n"/>
    </row>
    <row r="299" ht="12.75" customHeight="1" s="205">
      <c r="B299" s="26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1" t="n"/>
      <c r="G299" s="262" t="n"/>
      <c r="H299" s="264" t="n"/>
      <c r="I299" s="265" t="n"/>
      <c r="J299" s="47" t="n"/>
      <c r="K299" s="47" t="n"/>
      <c r="L299" s="47" t="n"/>
      <c r="M299" s="47" t="n"/>
    </row>
    <row r="300" ht="12.75" customHeight="1" s="205">
      <c r="B300" s="26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1" t="n"/>
      <c r="G300" s="262" t="n"/>
      <c r="H300" s="264" t="n"/>
      <c r="I300" s="265" t="n"/>
      <c r="J300" s="47" t="n"/>
      <c r="K300" s="47" t="n"/>
      <c r="L300" s="47" t="n"/>
      <c r="M300" s="47" t="n"/>
    </row>
    <row r="301" ht="12.75" customHeight="1" s="205">
      <c r="B301" s="26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1" t="n"/>
      <c r="G301" s="262" t="n"/>
      <c r="H301" s="264" t="n"/>
      <c r="I301" s="265" t="n"/>
      <c r="J301" s="47" t="n"/>
      <c r="K301" s="47" t="n"/>
      <c r="L301" s="47" t="n"/>
      <c r="M301" s="47" t="n"/>
    </row>
    <row r="302" ht="12.75" customHeight="1" s="205">
      <c r="B302" s="26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1" t="n"/>
      <c r="G302" s="262" t="n"/>
      <c r="H302" s="264" t="n"/>
      <c r="I302" s="265" t="n"/>
      <c r="J302" s="47" t="n"/>
      <c r="K302" s="47" t="n"/>
      <c r="L302" s="47" t="n"/>
      <c r="M302" s="47" t="n"/>
    </row>
    <row r="303" ht="12.75" customHeight="1" s="205">
      <c r="B303" s="26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1" t="n"/>
      <c r="G303" s="262" t="n"/>
      <c r="H303" s="264" t="n"/>
      <c r="I303" s="265" t="n"/>
      <c r="J303" s="47" t="n"/>
      <c r="K303" s="47" t="n"/>
      <c r="L303" s="47" t="n"/>
      <c r="M303" s="47" t="n"/>
    </row>
    <row r="304" ht="12.75" customHeight="1" s="205">
      <c r="B304" s="26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1" t="n"/>
      <c r="G304" s="262" t="n"/>
      <c r="H304" s="264" t="n"/>
      <c r="I304" s="265" t="n"/>
      <c r="J304" s="47" t="n"/>
      <c r="K304" s="47" t="n"/>
      <c r="L304" s="47" t="n"/>
      <c r="M304" s="47" t="n"/>
    </row>
    <row r="305" ht="12.75" customHeight="1" s="205">
      <c r="B305" s="26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1" t="n"/>
      <c r="G305" s="262" t="n"/>
      <c r="H305" s="264" t="n"/>
      <c r="I305" s="265" t="n"/>
      <c r="J305" s="47" t="n"/>
      <c r="K305" s="47" t="n"/>
      <c r="L305" s="47" t="n"/>
      <c r="M305" s="47" t="n"/>
    </row>
    <row r="306" ht="12.75" customHeight="1" s="205">
      <c r="B306" s="26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1" t="n"/>
      <c r="G306" s="262" t="n"/>
      <c r="H306" s="264" t="n"/>
      <c r="I306" s="265" t="n"/>
      <c r="J306" s="47" t="n"/>
      <c r="K306" s="47" t="n"/>
      <c r="L306" s="47" t="n"/>
      <c r="M306" s="47" t="n"/>
    </row>
    <row r="307" ht="12.75" customHeight="1" s="205">
      <c r="B307" s="26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1" t="n"/>
      <c r="G307" s="262" t="n"/>
      <c r="H307" s="264" t="n"/>
      <c r="I307" s="265" t="n"/>
      <c r="J307" s="47" t="n"/>
      <c r="K307" s="47" t="n"/>
      <c r="L307" s="47" t="n"/>
      <c r="M307" s="47" t="n"/>
    </row>
    <row r="308" ht="12.75" customHeight="1" s="205">
      <c r="B308" s="26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1" t="n"/>
      <c r="G308" s="262" t="n"/>
      <c r="H308" s="264" t="n"/>
      <c r="I308" s="265" t="n"/>
      <c r="J308" s="47" t="n"/>
      <c r="K308" s="47" t="n"/>
      <c r="L308" s="47" t="n"/>
      <c r="M308" s="47" t="n"/>
    </row>
    <row r="309" ht="12.75" customHeight="1" s="205">
      <c r="B309" s="26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1" t="n"/>
      <c r="G309" s="262" t="n"/>
      <c r="H309" s="264" t="n"/>
      <c r="I309" s="265" t="n"/>
      <c r="J309" s="47" t="n"/>
      <c r="K309" s="47" t="n"/>
      <c r="L309" s="47" t="n"/>
      <c r="M309" s="47" t="n"/>
    </row>
    <row r="310" ht="12.75" customHeight="1" s="205">
      <c r="B310" s="26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1" t="n"/>
      <c r="G310" s="262" t="n"/>
      <c r="H310" s="264" t="n"/>
      <c r="I310" s="265" t="n"/>
      <c r="J310" s="47" t="n"/>
      <c r="K310" s="47" t="n"/>
      <c r="L310" s="47" t="n"/>
      <c r="M310" s="47" t="n"/>
    </row>
    <row r="311" ht="12.75" customHeight="1" s="205">
      <c r="B311" s="26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1" t="n"/>
      <c r="G311" s="262" t="n"/>
      <c r="H311" s="264" t="n"/>
      <c r="I311" s="265" t="n"/>
      <c r="J311" s="47" t="n"/>
      <c r="K311" s="47" t="n"/>
      <c r="L311" s="47" t="n"/>
      <c r="M311" s="47" t="n"/>
    </row>
    <row r="312" ht="12.75" customHeight="1" s="205">
      <c r="B312" s="26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1" t="n"/>
      <c r="G312" s="262" t="n"/>
      <c r="H312" s="264" t="n"/>
      <c r="I312" s="265" t="n"/>
      <c r="J312" s="47" t="n"/>
      <c r="K312" s="47" t="n"/>
      <c r="L312" s="47" t="n"/>
      <c r="M312" s="47" t="n"/>
    </row>
    <row r="313" ht="12.75" customHeight="1" s="205">
      <c r="B313" s="26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1" t="n"/>
      <c r="G313" s="262" t="n"/>
      <c r="H313" s="264" t="n"/>
      <c r="I313" s="265" t="n"/>
      <c r="J313" s="47" t="n"/>
      <c r="K313" s="47" t="n"/>
      <c r="L313" s="47" t="n"/>
      <c r="M313" s="47" t="n"/>
    </row>
    <row r="314" ht="12.75" customHeight="1" s="205">
      <c r="B314" s="26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1" t="n"/>
      <c r="G314" s="262" t="n"/>
      <c r="H314" s="264" t="n"/>
      <c r="I314" s="265" t="n"/>
      <c r="J314" s="47" t="n"/>
      <c r="K314" s="47" t="n"/>
      <c r="L314" s="47" t="n"/>
      <c r="M314" s="47" t="n"/>
    </row>
    <row r="315" ht="12.75" customHeight="1" s="205">
      <c r="B315" s="26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1" t="n"/>
      <c r="G315" s="262" t="n"/>
      <c r="H315" s="264" t="n"/>
      <c r="I315" s="265" t="n"/>
      <c r="J315" s="47" t="n"/>
      <c r="K315" s="47" t="n"/>
      <c r="L315" s="47" t="n"/>
      <c r="M315" s="47" t="n"/>
    </row>
    <row r="316" ht="12.75" customHeight="1" s="205">
      <c r="B316" s="26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1" t="n"/>
      <c r="G316" s="262" t="n"/>
      <c r="H316" s="264" t="n"/>
      <c r="I316" s="265" t="n"/>
      <c r="J316" s="47" t="n"/>
      <c r="K316" s="47" t="n"/>
      <c r="L316" s="47" t="n"/>
      <c r="M316" s="47" t="n"/>
    </row>
    <row r="317" ht="12.75" customHeight="1" s="205">
      <c r="B317" s="26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1" t="n"/>
      <c r="G317" s="262" t="n"/>
      <c r="H317" s="264" t="n"/>
      <c r="I317" s="265" t="n"/>
      <c r="J317" s="47" t="n"/>
      <c r="K317" s="47" t="n"/>
      <c r="L317" s="47" t="n"/>
      <c r="M317" s="47" t="n"/>
    </row>
    <row r="318" ht="12.75" customHeight="1" s="205">
      <c r="B318" s="26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1" t="n"/>
      <c r="G318" s="262" t="n"/>
      <c r="H318" s="264" t="n"/>
      <c r="I318" s="265" t="n"/>
      <c r="J318" s="47" t="n"/>
      <c r="K318" s="47" t="n"/>
      <c r="L318" s="47" t="n"/>
      <c r="M318" s="47" t="n"/>
    </row>
    <row r="319" ht="12.75" customHeight="1" s="205">
      <c r="B319" s="26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1" t="n"/>
      <c r="G319" s="262" t="n"/>
      <c r="H319" s="264" t="n"/>
      <c r="I319" s="265" t="n"/>
      <c r="J319" s="47" t="n"/>
      <c r="K319" s="47" t="n"/>
      <c r="L319" s="47" t="n"/>
      <c r="M319" s="47" t="n"/>
    </row>
    <row r="320" ht="12.75" customHeight="1" s="205">
      <c r="B320" s="26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1" t="n"/>
      <c r="G320" s="262" t="n"/>
      <c r="H320" s="264" t="n"/>
      <c r="I320" s="265" t="n"/>
      <c r="J320" s="47" t="n"/>
      <c r="K320" s="47" t="n"/>
      <c r="L320" s="47" t="n"/>
      <c r="M320" s="47" t="n"/>
    </row>
    <row r="321" ht="12.75" customHeight="1" s="205">
      <c r="B321" s="26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1" t="n"/>
      <c r="G321" s="262" t="n"/>
      <c r="H321" s="264" t="n"/>
      <c r="I321" s="265" t="n"/>
      <c r="J321" s="47" t="n"/>
      <c r="K321" s="47" t="n"/>
      <c r="L321" s="47" t="n"/>
      <c r="M321" s="47" t="n"/>
    </row>
    <row r="322" ht="12.75" customHeight="1" s="205">
      <c r="B322" s="26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1" t="n"/>
      <c r="G322" s="262" t="n"/>
      <c r="H322" s="264" t="n"/>
      <c r="I322" s="265" t="n"/>
      <c r="J322" s="47" t="n"/>
      <c r="K322" s="47" t="n"/>
      <c r="L322" s="47" t="n"/>
      <c r="M322" s="47" t="n"/>
    </row>
    <row r="323" ht="12.75" customHeight="1" s="205">
      <c r="B323" s="26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1" t="n"/>
      <c r="G323" s="262" t="n"/>
      <c r="H323" s="264" t="n"/>
      <c r="I323" s="265" t="n"/>
      <c r="J323" s="47" t="n"/>
      <c r="K323" s="47" t="n"/>
      <c r="L323" s="47" t="n"/>
      <c r="M323" s="47" t="n"/>
    </row>
    <row r="324" ht="12.75" customHeight="1" s="205">
      <c r="B324" s="26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1" t="n"/>
      <c r="G324" s="262" t="n"/>
      <c r="H324" s="264" t="n"/>
      <c r="I324" s="265" t="n"/>
      <c r="J324" s="47" t="n"/>
      <c r="K324" s="47" t="n"/>
      <c r="L324" s="47" t="n"/>
      <c r="M324" s="47" t="n"/>
    </row>
    <row r="325" ht="12.75" customHeight="1" s="205">
      <c r="B325" s="26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1" t="n"/>
      <c r="G325" s="262" t="n"/>
      <c r="H325" s="264" t="n"/>
      <c r="I325" s="265" t="n"/>
      <c r="J325" s="47" t="n"/>
      <c r="K325" s="47" t="n"/>
      <c r="L325" s="47" t="n"/>
      <c r="M325" s="47" t="n"/>
    </row>
    <row r="326" ht="12.75" customHeight="1" s="205">
      <c r="B326" s="26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1" t="n"/>
      <c r="G326" s="262" t="n"/>
      <c r="H326" s="264" t="n"/>
      <c r="I326" s="265" t="n"/>
      <c r="J326" s="47" t="n"/>
      <c r="K326" s="47" t="n"/>
      <c r="L326" s="47" t="n"/>
      <c r="M326" s="47" t="n"/>
    </row>
    <row r="327" ht="12.75" customHeight="1" s="205">
      <c r="B327" s="26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1" t="n"/>
      <c r="G327" s="262" t="n"/>
      <c r="H327" s="264" t="n"/>
      <c r="I327" s="265" t="n"/>
      <c r="J327" s="47" t="n"/>
      <c r="K327" s="47" t="n"/>
      <c r="L327" s="47" t="n"/>
      <c r="M327" s="47" t="n"/>
    </row>
    <row r="328" ht="12.75" customHeight="1" s="205">
      <c r="B328" s="26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1" t="n"/>
      <c r="G328" s="262" t="n"/>
      <c r="H328" s="264" t="n"/>
      <c r="I328" s="265" t="n"/>
      <c r="J328" s="47" t="n"/>
      <c r="K328" s="47" t="n"/>
      <c r="L328" s="47" t="n"/>
      <c r="M328" s="47" t="n"/>
    </row>
    <row r="329" ht="12.75" customHeight="1" s="205">
      <c r="B329" s="26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1" t="n"/>
      <c r="G329" s="262" t="n"/>
      <c r="H329" s="264" t="n"/>
      <c r="I329" s="265" t="n"/>
      <c r="J329" s="47" t="n"/>
      <c r="K329" s="47" t="n"/>
      <c r="L329" s="47" t="n"/>
      <c r="M329" s="47" t="n"/>
    </row>
    <row r="330" ht="12.75" customHeight="1" s="205">
      <c r="B330" s="26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1" t="n"/>
      <c r="G330" s="262" t="n"/>
      <c r="H330" s="264" t="n"/>
      <c r="I330" s="265" t="n"/>
      <c r="J330" s="47" t="n"/>
      <c r="K330" s="47" t="n"/>
      <c r="L330" s="47" t="n"/>
      <c r="M330" s="47" t="n"/>
    </row>
    <row r="331" ht="12.75" customHeight="1" s="205">
      <c r="B331" s="26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1" t="n"/>
      <c r="G331" s="262" t="n"/>
      <c r="H331" s="264" t="n"/>
      <c r="I331" s="265" t="n"/>
      <c r="J331" s="47" t="n"/>
      <c r="K331" s="47" t="n"/>
      <c r="L331" s="47" t="n"/>
      <c r="M331" s="47" t="n"/>
    </row>
    <row r="332" ht="12.75" customHeight="1" s="205">
      <c r="B332" s="26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1" t="n"/>
      <c r="G332" s="262" t="n"/>
      <c r="H332" s="264" t="n"/>
      <c r="I332" s="265" t="n"/>
      <c r="J332" s="47" t="n"/>
      <c r="K332" s="47" t="n"/>
      <c r="L332" s="47" t="n"/>
      <c r="M332" s="47" t="n"/>
    </row>
    <row r="333" ht="12.75" customHeight="1" s="205">
      <c r="B333" s="26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1" t="n"/>
      <c r="G333" s="262" t="n"/>
      <c r="H333" s="264" t="n"/>
      <c r="I333" s="265" t="n"/>
      <c r="J333" s="47" t="n"/>
      <c r="K333" s="47" t="n"/>
      <c r="L333" s="47" t="n"/>
      <c r="M333" s="47" t="n"/>
    </row>
    <row r="334" ht="12.75" customHeight="1" s="205">
      <c r="B334" s="26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1" t="n"/>
      <c r="G334" s="262" t="n"/>
      <c r="H334" s="264" t="n"/>
      <c r="I334" s="265" t="n"/>
      <c r="J334" s="47" t="n"/>
      <c r="K334" s="47" t="n"/>
      <c r="L334" s="47" t="n"/>
      <c r="M334" s="47" t="n"/>
    </row>
    <row r="335" ht="12.75" customHeight="1" s="205">
      <c r="B335" s="26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1" t="n"/>
      <c r="G335" s="262" t="n"/>
      <c r="H335" s="264" t="n"/>
      <c r="I335" s="265" t="n"/>
      <c r="J335" s="47" t="n"/>
      <c r="K335" s="47" t="n"/>
      <c r="L335" s="47" t="n"/>
      <c r="M335" s="47" t="n"/>
    </row>
    <row r="336" ht="12.75" customHeight="1" s="205">
      <c r="B336" s="26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1" t="n"/>
      <c r="G336" s="262" t="n"/>
      <c r="H336" s="264" t="n"/>
      <c r="I336" s="265" t="n"/>
      <c r="J336" s="47" t="n"/>
      <c r="K336" s="47" t="n"/>
      <c r="L336" s="47" t="n"/>
      <c r="M336" s="47" t="n"/>
    </row>
    <row r="337" ht="12.75" customHeight="1" s="205">
      <c r="B337" s="26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1" t="n"/>
      <c r="G337" s="262" t="n"/>
      <c r="H337" s="264" t="n"/>
      <c r="I337" s="265" t="n"/>
      <c r="J337" s="47" t="n"/>
      <c r="K337" s="47" t="n"/>
      <c r="L337" s="47" t="n"/>
      <c r="M337" s="47" t="n"/>
    </row>
    <row r="338" ht="12.75" customHeight="1" s="205">
      <c r="B338" s="26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1" t="n"/>
      <c r="G338" s="262" t="n"/>
      <c r="H338" s="264" t="n"/>
      <c r="I338" s="265" t="n"/>
      <c r="J338" s="47" t="n"/>
      <c r="K338" s="47" t="n"/>
      <c r="L338" s="47" t="n"/>
      <c r="M338" s="47" t="n"/>
    </row>
    <row r="339" ht="12.75" customHeight="1" s="205">
      <c r="B339" s="26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1" t="n"/>
      <c r="G339" s="262" t="n"/>
      <c r="H339" s="264" t="n"/>
      <c r="I339" s="265" t="n"/>
      <c r="J339" s="47" t="n"/>
      <c r="K339" s="47" t="n"/>
      <c r="L339" s="47" t="n"/>
      <c r="M339" s="47" t="n"/>
    </row>
    <row r="340" ht="12.75" customHeight="1" s="205">
      <c r="B340" s="26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1" t="n"/>
      <c r="G340" s="262" t="n"/>
      <c r="H340" s="264" t="n"/>
      <c r="I340" s="265" t="n"/>
      <c r="J340" s="47" t="n"/>
      <c r="K340" s="47" t="n"/>
      <c r="L340" s="47" t="n"/>
      <c r="M340" s="47" t="n"/>
    </row>
    <row r="341" ht="12.75" customHeight="1" s="205">
      <c r="B341" s="26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1" t="n"/>
      <c r="G341" s="262" t="n"/>
      <c r="H341" s="264" t="n"/>
      <c r="I341" s="265" t="n"/>
      <c r="J341" s="47" t="n"/>
      <c r="K341" s="47" t="n"/>
      <c r="L341" s="47" t="n"/>
      <c r="M341" s="47" t="n"/>
    </row>
    <row r="342" ht="12.75" customHeight="1" s="205">
      <c r="B342" s="26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1" t="n"/>
      <c r="G342" s="262" t="n"/>
      <c r="H342" s="264" t="n"/>
      <c r="I342" s="265" t="n"/>
      <c r="J342" s="47" t="n"/>
      <c r="K342" s="47" t="n"/>
      <c r="L342" s="47" t="n"/>
      <c r="M342" s="47" t="n"/>
    </row>
    <row r="343" ht="12.75" customHeight="1" s="205">
      <c r="B343" s="26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1" t="n"/>
      <c r="G343" s="262" t="n"/>
      <c r="H343" s="264" t="n"/>
      <c r="I343" s="265" t="n"/>
      <c r="J343" s="47" t="n"/>
      <c r="K343" s="47" t="n"/>
      <c r="L343" s="47" t="n"/>
      <c r="M343" s="47" t="n"/>
    </row>
    <row r="344" ht="12.75" customHeight="1" s="205">
      <c r="B344" s="26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1" t="n"/>
      <c r="G344" s="262" t="n"/>
      <c r="H344" s="264" t="n"/>
      <c r="I344" s="265" t="n"/>
      <c r="J344" s="47" t="n"/>
      <c r="K344" s="47" t="n"/>
      <c r="L344" s="47" t="n"/>
      <c r="M344" s="47" t="n"/>
    </row>
    <row r="345" ht="12.75" customHeight="1" s="205">
      <c r="B345" s="26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1" t="n"/>
      <c r="G345" s="262" t="n"/>
      <c r="H345" s="264" t="n"/>
      <c r="I345" s="265" t="n"/>
      <c r="J345" s="47" t="n"/>
      <c r="K345" s="47" t="n"/>
      <c r="L345" s="47" t="n"/>
      <c r="M345" s="47" t="n"/>
    </row>
    <row r="346" ht="12.75" customHeight="1" s="205">
      <c r="B346" s="26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1" t="n"/>
      <c r="G346" s="262" t="n"/>
      <c r="H346" s="264" t="n"/>
      <c r="I346" s="265" t="n"/>
      <c r="J346" s="47" t="n"/>
      <c r="K346" s="47" t="n"/>
      <c r="L346" s="47" t="n"/>
      <c r="M346" s="47" t="n"/>
    </row>
    <row r="347" ht="12.75" customHeight="1" s="205">
      <c r="B347" s="26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1" t="n"/>
      <c r="G347" s="262" t="n"/>
      <c r="H347" s="264" t="n"/>
      <c r="I347" s="265" t="n"/>
      <c r="J347" s="47" t="n"/>
      <c r="K347" s="47" t="n"/>
      <c r="L347" s="47" t="n"/>
      <c r="M347" s="47" t="n"/>
    </row>
    <row r="348" ht="12.75" customHeight="1" s="205">
      <c r="B348" s="26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1" t="n"/>
      <c r="G348" s="262" t="n"/>
      <c r="H348" s="264" t="n"/>
      <c r="I348" s="265" t="n"/>
      <c r="J348" s="47" t="n"/>
      <c r="K348" s="47" t="n"/>
      <c r="L348" s="47" t="n"/>
      <c r="M348" s="47" t="n"/>
    </row>
    <row r="349" ht="12.75" customHeight="1" s="205">
      <c r="B349" s="26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1" t="n"/>
      <c r="G349" s="262" t="n"/>
      <c r="H349" s="264" t="n"/>
      <c r="I349" s="265" t="n"/>
      <c r="J349" s="47" t="n"/>
      <c r="K349" s="47" t="n"/>
      <c r="L349" s="47" t="n"/>
      <c r="M349" s="47" t="n"/>
    </row>
    <row r="350" ht="12.75" customHeight="1" s="205">
      <c r="B350" s="26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1" t="n"/>
      <c r="G350" s="262" t="n"/>
      <c r="H350" s="264" t="n"/>
      <c r="I350" s="265" t="n"/>
      <c r="J350" s="47" t="n"/>
      <c r="K350" s="47" t="n"/>
      <c r="L350" s="47" t="n"/>
      <c r="M350" s="47" t="n"/>
    </row>
    <row r="351" ht="12.75" customHeight="1" s="205">
      <c r="B351" s="26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1" t="n"/>
      <c r="G351" s="262" t="n"/>
      <c r="H351" s="264" t="n"/>
      <c r="I351" s="265" t="n"/>
      <c r="J351" s="47" t="n"/>
      <c r="K351" s="47" t="n"/>
      <c r="L351" s="47" t="n"/>
      <c r="M351" s="47" t="n"/>
    </row>
    <row r="352" ht="12.75" customHeight="1" s="205">
      <c r="B352" s="26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1" t="n"/>
      <c r="G352" s="262" t="n"/>
      <c r="H352" s="264" t="n"/>
      <c r="I352" s="265" t="n"/>
      <c r="J352" s="47" t="n"/>
      <c r="K352" s="47" t="n"/>
      <c r="L352" s="47" t="n"/>
      <c r="M352" s="47" t="n"/>
    </row>
    <row r="353" ht="12.75" customHeight="1" s="205">
      <c r="B353" s="26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1" t="n"/>
      <c r="G353" s="262" t="n"/>
      <c r="H353" s="264" t="n"/>
      <c r="I353" s="265" t="n"/>
      <c r="J353" s="47" t="n"/>
      <c r="K353" s="47" t="n"/>
      <c r="L353" s="47" t="n"/>
      <c r="M353" s="47" t="n"/>
    </row>
    <row r="354" ht="12.75" customHeight="1" s="205">
      <c r="B354" s="26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1" t="n"/>
      <c r="G354" s="262" t="n"/>
      <c r="H354" s="264" t="n"/>
      <c r="I354" s="265" t="n"/>
      <c r="J354" s="47" t="n"/>
      <c r="K354" s="47" t="n"/>
      <c r="L354" s="47" t="n"/>
      <c r="M354" s="47" t="n"/>
    </row>
    <row r="355" ht="12.75" customHeight="1" s="205">
      <c r="B355" s="26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1" t="n"/>
      <c r="G355" s="262" t="n"/>
      <c r="H355" s="264" t="n"/>
      <c r="I355" s="265" t="n"/>
      <c r="J355" s="47" t="n"/>
      <c r="K355" s="47" t="n"/>
      <c r="L355" s="47" t="n"/>
      <c r="M355" s="47" t="n"/>
    </row>
    <row r="356" ht="12.75" customHeight="1" s="205">
      <c r="B356" s="26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1" t="n"/>
      <c r="G356" s="262" t="n"/>
      <c r="H356" s="264" t="n"/>
      <c r="I356" s="265" t="n"/>
      <c r="J356" s="47" t="n"/>
      <c r="K356" s="47" t="n"/>
      <c r="L356" s="47" t="n"/>
      <c r="M356" s="47" t="n"/>
    </row>
    <row r="357" ht="12.75" customHeight="1" s="205">
      <c r="B357" s="26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1" t="n"/>
      <c r="G357" s="262" t="n"/>
      <c r="H357" s="264" t="n"/>
      <c r="I357" s="265" t="n"/>
      <c r="J357" s="47" t="n"/>
      <c r="K357" s="47" t="n"/>
      <c r="L357" s="47" t="n"/>
      <c r="M357" s="47" t="n"/>
    </row>
    <row r="358" ht="12.75" customHeight="1" s="205">
      <c r="B358" s="26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1" t="n"/>
      <c r="G358" s="262" t="n"/>
      <c r="H358" s="264" t="n"/>
      <c r="I358" s="265" t="n"/>
      <c r="J358" s="47" t="n"/>
      <c r="K358" s="47" t="n"/>
      <c r="L358" s="47" t="n"/>
      <c r="M358" s="47" t="n"/>
    </row>
    <row r="359" ht="12.75" customHeight="1" s="205">
      <c r="B359" s="26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1" t="n"/>
      <c r="G359" s="262" t="n"/>
      <c r="H359" s="264" t="n"/>
      <c r="I359" s="265" t="n"/>
      <c r="J359" s="47" t="n"/>
      <c r="K359" s="47" t="n"/>
      <c r="L359" s="47" t="n"/>
      <c r="M359" s="47" t="n"/>
    </row>
    <row r="360" ht="12.75" customHeight="1" s="205">
      <c r="B360" s="26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1" t="n"/>
      <c r="G360" s="262" t="n"/>
      <c r="H360" s="264" t="n"/>
      <c r="I360" s="265" t="n"/>
      <c r="J360" s="47" t="n"/>
      <c r="K360" s="47" t="n"/>
      <c r="L360" s="47" t="n"/>
      <c r="M360" s="47" t="n"/>
    </row>
    <row r="361" ht="12.75" customHeight="1" s="205">
      <c r="B361" s="26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1" t="n"/>
      <c r="G361" s="262" t="n"/>
      <c r="H361" s="264" t="n"/>
      <c r="I361" s="265" t="n"/>
      <c r="J361" s="47" t="n"/>
      <c r="K361" s="47" t="n"/>
      <c r="L361" s="47" t="n"/>
      <c r="M361" s="47" t="n"/>
    </row>
    <row r="362" ht="12.75" customHeight="1" s="205">
      <c r="B362" s="26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1" t="n"/>
      <c r="G362" s="262" t="n"/>
      <c r="H362" s="264" t="n"/>
      <c r="I362" s="265" t="n"/>
      <c r="J362" s="47" t="n"/>
      <c r="K362" s="47" t="n"/>
      <c r="L362" s="47" t="n"/>
      <c r="M362" s="47" t="n"/>
    </row>
    <row r="363" ht="12.75" customHeight="1" s="205">
      <c r="B363" s="26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1" t="n"/>
      <c r="G363" s="262" t="n"/>
      <c r="H363" s="264" t="n"/>
      <c r="I363" s="265" t="n"/>
      <c r="J363" s="47" t="n"/>
      <c r="K363" s="47" t="n"/>
      <c r="L363" s="47" t="n"/>
      <c r="M363" s="47" t="n"/>
    </row>
    <row r="364" ht="12.75" customHeight="1" s="205">
      <c r="B364" s="26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1" t="n"/>
      <c r="G364" s="262" t="n"/>
      <c r="H364" s="264" t="n"/>
      <c r="I364" s="265" t="n"/>
      <c r="J364" s="47" t="n"/>
      <c r="K364" s="47" t="n"/>
      <c r="L364" s="47" t="n"/>
      <c r="M364" s="47" t="n"/>
    </row>
    <row r="365" ht="12.75" customHeight="1" s="205">
      <c r="B365" s="26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1" t="n"/>
      <c r="G365" s="262" t="n"/>
      <c r="H365" s="264" t="n"/>
      <c r="I365" s="265" t="n"/>
      <c r="J365" s="47" t="n"/>
      <c r="K365" s="47" t="n"/>
      <c r="L365" s="47" t="n"/>
      <c r="M365" s="47" t="n"/>
    </row>
    <row r="366" ht="12.75" customHeight="1" s="205">
      <c r="B366" s="26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1" t="n"/>
      <c r="G366" s="262" t="n"/>
      <c r="H366" s="264" t="n"/>
      <c r="I366" s="265" t="n"/>
      <c r="J366" s="47" t="n"/>
      <c r="K366" s="47" t="n"/>
      <c r="L366" s="47" t="n"/>
      <c r="M366" s="47" t="n"/>
    </row>
    <row r="367" ht="12.75" customHeight="1" s="205">
      <c r="B367" s="26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1" t="n"/>
      <c r="G367" s="262" t="n"/>
      <c r="H367" s="264" t="n"/>
      <c r="I367" s="265" t="n"/>
      <c r="J367" s="47" t="n"/>
      <c r="K367" s="47" t="n"/>
      <c r="L367" s="47" t="n"/>
      <c r="M367" s="47" t="n"/>
    </row>
    <row r="368" ht="12.75" customHeight="1" s="205">
      <c r="B368" s="26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1" t="n"/>
      <c r="G368" s="262" t="n"/>
      <c r="H368" s="264" t="n"/>
      <c r="I368" s="265" t="n"/>
      <c r="J368" s="47" t="n"/>
      <c r="K368" s="47" t="n"/>
      <c r="L368" s="47" t="n"/>
      <c r="M368" s="47" t="n"/>
    </row>
    <row r="369" ht="12.75" customHeight="1" s="205">
      <c r="B369" s="26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1" t="n"/>
      <c r="G369" s="262" t="n"/>
      <c r="H369" s="264" t="n"/>
      <c r="I369" s="265" t="n"/>
      <c r="J369" s="47" t="n"/>
      <c r="K369" s="47" t="n"/>
      <c r="L369" s="47" t="n"/>
      <c r="M369" s="47" t="n"/>
    </row>
    <row r="370" ht="12.75" customHeight="1" s="205">
      <c r="B370" s="26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1" t="n"/>
      <c r="G370" s="262" t="n"/>
      <c r="H370" s="264" t="n"/>
      <c r="I370" s="265" t="n"/>
      <c r="J370" s="47" t="n"/>
      <c r="K370" s="47" t="n"/>
      <c r="L370" s="47" t="n"/>
      <c r="M370" s="47" t="n"/>
    </row>
    <row r="371" ht="12.75" customHeight="1" s="205">
      <c r="B371" s="26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1" t="n"/>
      <c r="G371" s="262" t="n"/>
      <c r="H371" s="264" t="n"/>
      <c r="I371" s="265" t="n"/>
      <c r="J371" s="47" t="n"/>
      <c r="K371" s="47" t="n"/>
      <c r="L371" s="47" t="n"/>
      <c r="M371" s="47" t="n"/>
    </row>
    <row r="372" ht="12.75" customHeight="1" s="205">
      <c r="B372" s="26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1" t="n"/>
      <c r="G372" s="262" t="n"/>
      <c r="H372" s="264" t="n"/>
      <c r="I372" s="265" t="n"/>
      <c r="J372" s="47" t="n"/>
      <c r="K372" s="47" t="n"/>
      <c r="L372" s="47" t="n"/>
      <c r="M372" s="47" t="n"/>
    </row>
    <row r="373" ht="12.75" customHeight="1" s="205">
      <c r="B373" s="26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1" t="n"/>
      <c r="G373" s="262" t="n"/>
      <c r="H373" s="264" t="n"/>
      <c r="I373" s="265" t="n"/>
      <c r="J373" s="47" t="n"/>
      <c r="K373" s="47" t="n"/>
      <c r="L373" s="47" t="n"/>
      <c r="M373" s="47" t="n"/>
    </row>
    <row r="374" ht="12.75" customHeight="1" s="205">
      <c r="B374" s="26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1" t="n"/>
      <c r="G374" s="262" t="n"/>
      <c r="H374" s="264" t="n"/>
      <c r="I374" s="265" t="n"/>
      <c r="J374" s="47" t="n"/>
      <c r="K374" s="47" t="n"/>
      <c r="L374" s="47" t="n"/>
      <c r="M374" s="47" t="n"/>
    </row>
    <row r="375" ht="12.75" customHeight="1" s="205">
      <c r="B375" s="26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1" t="n"/>
      <c r="G375" s="262" t="n"/>
      <c r="H375" s="264" t="n"/>
      <c r="I375" s="265" t="n"/>
      <c r="J375" s="47" t="n"/>
      <c r="K375" s="47" t="n"/>
      <c r="L375" s="47" t="n"/>
      <c r="M375" s="47" t="n"/>
    </row>
    <row r="376" ht="12.75" customHeight="1" s="205">
      <c r="B376" s="26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1" t="n"/>
      <c r="G376" s="262" t="n"/>
      <c r="H376" s="264" t="n"/>
      <c r="I376" s="265" t="n"/>
      <c r="J376" s="47" t="n"/>
      <c r="K376" s="47" t="n"/>
      <c r="L376" s="47" t="n"/>
      <c r="M376" s="47" t="n"/>
    </row>
    <row r="377" ht="12.75" customHeight="1" s="205">
      <c r="B377" s="26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1" t="n"/>
      <c r="G377" s="262" t="n"/>
      <c r="H377" s="264" t="n"/>
      <c r="I377" s="265" t="n"/>
      <c r="J377" s="47" t="n"/>
      <c r="K377" s="47" t="n"/>
      <c r="L377" s="47" t="n"/>
      <c r="M377" s="47" t="n"/>
    </row>
    <row r="378" ht="12.75" customHeight="1" s="205">
      <c r="B378" s="26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1" t="n"/>
      <c r="G378" s="262" t="n"/>
      <c r="H378" s="264" t="n"/>
      <c r="I378" s="265" t="n"/>
      <c r="J378" s="47" t="n"/>
      <c r="K378" s="47" t="n"/>
      <c r="L378" s="47" t="n"/>
      <c r="M378" s="47" t="n"/>
    </row>
    <row r="379" ht="12.75" customHeight="1" s="205">
      <c r="B379" s="26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1" t="n"/>
      <c r="G379" s="262" t="n"/>
      <c r="H379" s="264" t="n"/>
      <c r="I379" s="265" t="n"/>
      <c r="J379" s="47" t="n"/>
      <c r="K379" s="47" t="n"/>
      <c r="L379" s="47" t="n"/>
      <c r="M379" s="47" t="n"/>
    </row>
    <row r="380" ht="12.75" customHeight="1" s="205">
      <c r="B380" s="26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1" t="n"/>
      <c r="G380" s="262" t="n"/>
      <c r="H380" s="264" t="n"/>
      <c r="I380" s="265" t="n"/>
      <c r="J380" s="47" t="n"/>
      <c r="K380" s="47" t="n"/>
      <c r="L380" s="47" t="n"/>
      <c r="M380" s="47" t="n"/>
    </row>
    <row r="381" ht="12.75" customHeight="1" s="205">
      <c r="B381" s="26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1" t="n"/>
      <c r="G381" s="262" t="n"/>
      <c r="H381" s="264" t="n"/>
      <c r="I381" s="265" t="n"/>
      <c r="J381" s="47" t="n"/>
      <c r="K381" s="47" t="n"/>
      <c r="L381" s="47" t="n"/>
      <c r="M381" s="47" t="n"/>
    </row>
    <row r="382" ht="12.75" customHeight="1" s="205">
      <c r="B382" s="26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1" t="n"/>
      <c r="G382" s="262" t="n"/>
      <c r="H382" s="264" t="n"/>
      <c r="I382" s="265" t="n"/>
      <c r="J382" s="47" t="n"/>
      <c r="K382" s="47" t="n"/>
      <c r="L382" s="47" t="n"/>
      <c r="M382" s="47" t="n"/>
    </row>
    <row r="383" ht="12.75" customHeight="1" s="205">
      <c r="B383" s="26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1" t="n"/>
      <c r="G383" s="262" t="n"/>
      <c r="H383" s="264" t="n"/>
      <c r="I383" s="265" t="n"/>
      <c r="J383" s="47" t="n"/>
      <c r="K383" s="47" t="n"/>
      <c r="L383" s="47" t="n"/>
      <c r="M383" s="47" t="n"/>
    </row>
    <row r="384" ht="12.75" customHeight="1" s="205">
      <c r="B384" s="26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1" t="n"/>
      <c r="G384" s="262" t="n"/>
      <c r="H384" s="264" t="n"/>
      <c r="I384" s="265" t="n"/>
      <c r="J384" s="47" t="n"/>
      <c r="K384" s="47" t="n"/>
      <c r="L384" s="47" t="n"/>
      <c r="M384" s="47" t="n"/>
    </row>
    <row r="385" ht="12.75" customHeight="1" s="205">
      <c r="B385" s="26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1" t="n"/>
      <c r="G385" s="262" t="n"/>
      <c r="H385" s="264" t="n"/>
      <c r="I385" s="265" t="n"/>
      <c r="J385" s="47" t="n"/>
      <c r="K385" s="47" t="n"/>
      <c r="L385" s="47" t="n"/>
      <c r="M385" s="47" t="n"/>
    </row>
    <row r="386" ht="12.75" customHeight="1" s="205">
      <c r="B386" s="26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1" t="n"/>
      <c r="G386" s="262" t="n"/>
      <c r="H386" s="264" t="n"/>
      <c r="I386" s="265" t="n"/>
      <c r="J386" s="47" t="n"/>
      <c r="K386" s="47" t="n"/>
      <c r="L386" s="47" t="n"/>
      <c r="M386" s="47" t="n"/>
    </row>
    <row r="387" ht="12.75" customHeight="1" s="205">
      <c r="B387" s="26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1" t="n"/>
      <c r="G387" s="262" t="n"/>
      <c r="H387" s="264" t="n"/>
      <c r="I387" s="265" t="n"/>
      <c r="J387" s="47" t="n"/>
      <c r="K387" s="47" t="n"/>
      <c r="L387" s="47" t="n"/>
      <c r="M387" s="47" t="n"/>
    </row>
    <row r="388" ht="12.75" customHeight="1" s="205">
      <c r="B388" s="26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1" t="n"/>
      <c r="G388" s="262" t="n"/>
      <c r="H388" s="264" t="n"/>
      <c r="I388" s="265" t="n"/>
      <c r="J388" s="47" t="n"/>
      <c r="K388" s="47" t="n"/>
      <c r="L388" s="47" t="n"/>
      <c r="M388" s="47" t="n"/>
    </row>
    <row r="389" ht="12.75" customHeight="1" s="205">
      <c r="B389" s="26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1" t="n"/>
      <c r="G389" s="262" t="n"/>
      <c r="H389" s="264" t="n"/>
      <c r="I389" s="265" t="n"/>
      <c r="J389" s="47" t="n"/>
      <c r="K389" s="47" t="n"/>
      <c r="L389" s="47" t="n"/>
      <c r="M389" s="47" t="n"/>
    </row>
    <row r="390" ht="12.75" customHeight="1" s="205">
      <c r="B390" s="26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1" t="n"/>
      <c r="G390" s="262" t="n"/>
      <c r="H390" s="264" t="n"/>
      <c r="I390" s="265" t="n"/>
      <c r="J390" s="47" t="n"/>
      <c r="K390" s="47" t="n"/>
      <c r="L390" s="47" t="n"/>
      <c r="M390" s="47" t="n"/>
    </row>
    <row r="391" ht="12.75" customHeight="1" s="205">
      <c r="B391" s="26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1" t="n"/>
      <c r="G391" s="262" t="n"/>
      <c r="H391" s="264" t="n"/>
      <c r="I391" s="265" t="n"/>
      <c r="J391" s="47" t="n"/>
      <c r="K391" s="47" t="n"/>
      <c r="L391" s="47" t="n"/>
      <c r="M391" s="47" t="n"/>
    </row>
    <row r="392" ht="12.75" customHeight="1" s="205">
      <c r="B392" s="26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1" t="n"/>
      <c r="G392" s="262" t="n"/>
      <c r="H392" s="264" t="n"/>
      <c r="I392" s="265" t="n"/>
      <c r="J392" s="47" t="n"/>
      <c r="K392" s="47" t="n"/>
      <c r="L392" s="47" t="n"/>
      <c r="M392" s="47" t="n"/>
    </row>
    <row r="393" ht="12.75" customHeight="1" s="205">
      <c r="B393" s="26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1" t="n"/>
      <c r="G393" s="262" t="n"/>
      <c r="H393" s="264" t="n"/>
      <c r="I393" s="265" t="n"/>
      <c r="J393" s="47" t="n"/>
      <c r="K393" s="47" t="n"/>
      <c r="L393" s="47" t="n"/>
      <c r="M393" s="47" t="n"/>
    </row>
    <row r="394" ht="12.75" customHeight="1" s="205">
      <c r="B394" s="26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1" t="n"/>
      <c r="G394" s="262" t="n"/>
      <c r="H394" s="264" t="n"/>
      <c r="I394" s="265" t="n"/>
      <c r="J394" s="47" t="n"/>
      <c r="K394" s="47" t="n"/>
      <c r="L394" s="47" t="n"/>
      <c r="M394" s="47" t="n"/>
    </row>
    <row r="395" ht="12.75" customHeight="1" s="205">
      <c r="B395" s="26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1" t="n"/>
      <c r="G395" s="262" t="n"/>
      <c r="H395" s="264" t="n"/>
      <c r="I395" s="265" t="n"/>
      <c r="J395" s="47" t="n"/>
      <c r="K395" s="47" t="n"/>
      <c r="L395" s="47" t="n"/>
      <c r="M395" s="47" t="n"/>
    </row>
    <row r="396" ht="12.75" customHeight="1" s="205">
      <c r="B396" s="26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1" t="n"/>
      <c r="G396" s="262" t="n"/>
      <c r="H396" s="264" t="n"/>
      <c r="I396" s="265" t="n"/>
      <c r="J396" s="47" t="n"/>
      <c r="K396" s="47" t="n"/>
      <c r="L396" s="47" t="n"/>
      <c r="M396" s="47" t="n"/>
    </row>
    <row r="397" ht="12.75" customHeight="1" s="205">
      <c r="B397" s="26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1" t="n"/>
      <c r="G397" s="262" t="n"/>
      <c r="H397" s="264" t="n"/>
      <c r="I397" s="265" t="n"/>
      <c r="J397" s="47" t="n"/>
      <c r="K397" s="47" t="n"/>
      <c r="L397" s="47" t="n"/>
      <c r="M397" s="47" t="n"/>
    </row>
    <row r="398" ht="12.75" customHeight="1" s="205">
      <c r="B398" s="26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1" t="n"/>
      <c r="G398" s="262" t="n"/>
      <c r="H398" s="264" t="n"/>
      <c r="I398" s="265" t="n"/>
      <c r="J398" s="47" t="n"/>
      <c r="K398" s="47" t="n"/>
      <c r="L398" s="47" t="n"/>
      <c r="M398" s="47" t="n"/>
    </row>
    <row r="399" ht="12.75" customHeight="1" s="205">
      <c r="B399" s="26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1" t="n"/>
      <c r="G399" s="262" t="n"/>
      <c r="H399" s="264" t="n"/>
      <c r="I399" s="265" t="n"/>
      <c r="J399" s="47" t="n"/>
      <c r="K399" s="47" t="n"/>
      <c r="L399" s="47" t="n"/>
      <c r="M399" s="47" t="n"/>
    </row>
    <row r="400" ht="12.75" customHeight="1" s="205">
      <c r="B400" s="26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1" t="n"/>
      <c r="G400" s="262" t="n"/>
      <c r="H400" s="264" t="n"/>
      <c r="I400" s="265" t="n"/>
      <c r="J400" s="47" t="n"/>
      <c r="K400" s="47" t="n"/>
      <c r="L400" s="47" t="n"/>
      <c r="M400" s="47" t="n"/>
    </row>
    <row r="401" ht="12.75" customHeight="1" s="205">
      <c r="B401" s="26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1" t="n"/>
      <c r="G401" s="262" t="n"/>
      <c r="H401" s="264" t="n"/>
      <c r="I401" s="265" t="n"/>
      <c r="J401" s="47" t="n"/>
      <c r="K401" s="47" t="n"/>
      <c r="L401" s="47" t="n"/>
      <c r="M401" s="47" t="n"/>
    </row>
    <row r="402" ht="12.75" customHeight="1" s="205">
      <c r="B402" s="26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1" t="n"/>
      <c r="G402" s="262" t="n"/>
      <c r="H402" s="264" t="n"/>
      <c r="I402" s="265" t="n"/>
      <c r="J402" s="47" t="n"/>
      <c r="K402" s="47" t="n"/>
      <c r="L402" s="47" t="n"/>
      <c r="M402" s="47" t="n"/>
    </row>
    <row r="403" ht="12.75" customHeight="1" s="205">
      <c r="B403" s="26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1" t="n"/>
      <c r="G403" s="262" t="n"/>
      <c r="H403" s="264" t="n"/>
      <c r="I403" s="265" t="n"/>
      <c r="J403" s="47" t="n"/>
      <c r="K403" s="47" t="n"/>
      <c r="L403" s="47" t="n"/>
      <c r="M403" s="47" t="n"/>
    </row>
    <row r="404" ht="12.75" customHeight="1" s="205">
      <c r="B404" s="26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1" t="n"/>
      <c r="G404" s="262" t="n"/>
      <c r="H404" s="264" t="n"/>
      <c r="I404" s="265" t="n"/>
      <c r="J404" s="47" t="n"/>
      <c r="K404" s="47" t="n"/>
      <c r="L404" s="47" t="n"/>
      <c r="M404" s="47" t="n"/>
    </row>
    <row r="405" ht="12.75" customHeight="1" s="205">
      <c r="B405" s="26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1" t="n"/>
      <c r="G405" s="262" t="n"/>
      <c r="H405" s="264" t="n"/>
      <c r="I405" s="265" t="n"/>
      <c r="J405" s="47" t="n"/>
      <c r="K405" s="47" t="n"/>
      <c r="L405" s="47" t="n"/>
      <c r="M405" s="47" t="n"/>
    </row>
    <row r="406" ht="12.75" customHeight="1" s="205">
      <c r="B406" s="26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1" t="n"/>
      <c r="G406" s="262" t="n"/>
      <c r="H406" s="264" t="n"/>
      <c r="I406" s="265" t="n"/>
      <c r="J406" s="47" t="n"/>
      <c r="K406" s="47" t="n"/>
      <c r="L406" s="47" t="n"/>
      <c r="M406" s="47" t="n"/>
    </row>
    <row r="407" ht="12.75" customHeight="1" s="205">
      <c r="B407" s="26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1" t="n"/>
      <c r="G407" s="262" t="n"/>
      <c r="H407" s="264" t="n"/>
      <c r="I407" s="265" t="n"/>
      <c r="J407" s="47" t="n"/>
      <c r="K407" s="47" t="n"/>
      <c r="L407" s="47" t="n"/>
      <c r="M407" s="47" t="n"/>
    </row>
    <row r="408" ht="12.75" customHeight="1" s="205">
      <c r="B408" s="26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1" t="n"/>
      <c r="G408" s="262" t="n"/>
      <c r="H408" s="264" t="n"/>
      <c r="I408" s="265" t="n"/>
      <c r="J408" s="47" t="n"/>
      <c r="K408" s="47" t="n"/>
      <c r="L408" s="47" t="n"/>
      <c r="M408" s="47" t="n"/>
    </row>
    <row r="409" ht="12.75" customHeight="1" s="205">
      <c r="B409" s="26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1" t="n"/>
      <c r="G409" s="262" t="n"/>
      <c r="H409" s="264" t="n"/>
      <c r="I409" s="265" t="n"/>
      <c r="J409" s="47" t="n"/>
      <c r="K409" s="47" t="n"/>
      <c r="L409" s="47" t="n"/>
      <c r="M409" s="47" t="n"/>
    </row>
    <row r="410" ht="12.75" customHeight="1" s="205">
      <c r="B410" s="26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1" t="n"/>
      <c r="G410" s="262" t="n"/>
      <c r="H410" s="264" t="n"/>
      <c r="I410" s="265" t="n"/>
      <c r="J410" s="47" t="n"/>
      <c r="K410" s="47" t="n"/>
      <c r="L410" s="47" t="n"/>
      <c r="M410" s="47" t="n"/>
    </row>
    <row r="411" ht="12.75" customHeight="1" s="205">
      <c r="B411" s="26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1" t="n"/>
      <c r="G411" s="262" t="n"/>
      <c r="H411" s="264" t="n"/>
      <c r="I411" s="265" t="n"/>
      <c r="J411" s="47" t="n"/>
      <c r="K411" s="47" t="n"/>
      <c r="L411" s="47" t="n"/>
      <c r="M411" s="47" t="n"/>
    </row>
    <row r="412" ht="12.75" customHeight="1" s="205">
      <c r="B412" s="26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1" t="n"/>
      <c r="G412" s="262" t="n"/>
      <c r="H412" s="264" t="n"/>
      <c r="I412" s="265" t="n"/>
      <c r="J412" s="47" t="n"/>
      <c r="K412" s="47" t="n"/>
      <c r="L412" s="47" t="n"/>
      <c r="M412" s="47" t="n"/>
    </row>
    <row r="413" ht="12.75" customHeight="1" s="205">
      <c r="B413" s="26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1" t="n"/>
      <c r="G413" s="262" t="n"/>
      <c r="H413" s="264" t="n"/>
      <c r="I413" s="265" t="n"/>
      <c r="J413" s="47" t="n"/>
      <c r="K413" s="47" t="n"/>
      <c r="L413" s="47" t="n"/>
      <c r="M413" s="47" t="n"/>
    </row>
    <row r="414" ht="12.75" customHeight="1" s="205">
      <c r="B414" s="26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1" t="n"/>
      <c r="G414" s="262" t="n"/>
      <c r="H414" s="264" t="n"/>
      <c r="I414" s="265" t="n"/>
      <c r="J414" s="47" t="n"/>
      <c r="K414" s="47" t="n"/>
      <c r="L414" s="47" t="n"/>
      <c r="M414" s="47" t="n"/>
    </row>
    <row r="415" ht="12.75" customHeight="1" s="205">
      <c r="B415" s="26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1" t="n"/>
      <c r="G415" s="262" t="n"/>
      <c r="H415" s="264" t="n"/>
      <c r="I415" s="265" t="n"/>
      <c r="J415" s="47" t="n"/>
      <c r="K415" s="47" t="n"/>
      <c r="L415" s="47" t="n"/>
      <c r="M415" s="47" t="n"/>
    </row>
    <row r="416" ht="12.75" customHeight="1" s="205">
      <c r="B416" s="26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1" t="n"/>
      <c r="G416" s="262" t="n"/>
      <c r="H416" s="264" t="n"/>
      <c r="I416" s="265" t="n"/>
      <c r="J416" s="47" t="n"/>
      <c r="K416" s="47" t="n"/>
      <c r="L416" s="47" t="n"/>
      <c r="M416" s="47" t="n"/>
    </row>
    <row r="417" ht="12.75" customHeight="1" s="205">
      <c r="B417" s="26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1" t="n"/>
      <c r="G417" s="262" t="n"/>
      <c r="H417" s="264" t="n"/>
      <c r="I417" s="265" t="n"/>
      <c r="J417" s="47" t="n"/>
      <c r="K417" s="47" t="n"/>
      <c r="L417" s="47" t="n"/>
      <c r="M417" s="47" t="n"/>
    </row>
    <row r="418" ht="12.75" customHeight="1" s="205">
      <c r="B418" s="26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1" t="n"/>
      <c r="G418" s="262" t="n"/>
      <c r="H418" s="264" t="n"/>
      <c r="I418" s="265" t="n"/>
      <c r="J418" s="47" t="n"/>
      <c r="K418" s="47" t="n"/>
      <c r="L418" s="47" t="n"/>
      <c r="M418" s="47" t="n"/>
    </row>
    <row r="419" ht="12.75" customHeight="1" s="205">
      <c r="B419" s="26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1" t="n"/>
      <c r="G419" s="262" t="n"/>
      <c r="H419" s="264" t="n"/>
      <c r="I419" s="265" t="n"/>
      <c r="J419" s="47" t="n"/>
      <c r="K419" s="47" t="n"/>
      <c r="L419" s="47" t="n"/>
      <c r="M419" s="47" t="n"/>
    </row>
    <row r="420" ht="12.75" customHeight="1" s="205">
      <c r="B420" s="26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1" t="n"/>
      <c r="G420" s="262" t="n"/>
      <c r="H420" s="264" t="n"/>
      <c r="I420" s="265" t="n"/>
      <c r="J420" s="47" t="n"/>
      <c r="K420" s="47" t="n"/>
      <c r="L420" s="47" t="n"/>
      <c r="M420" s="47" t="n"/>
    </row>
    <row r="421" ht="12.75" customHeight="1" s="205">
      <c r="B421" s="26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1" t="n"/>
      <c r="G421" s="262" t="n"/>
      <c r="H421" s="264" t="n"/>
      <c r="I421" s="265" t="n"/>
      <c r="J421" s="47" t="n"/>
      <c r="K421" s="47" t="n"/>
      <c r="L421" s="47" t="n"/>
      <c r="M421" s="47" t="n"/>
    </row>
    <row r="422" ht="12.75" customHeight="1" s="205">
      <c r="B422" s="26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1" t="n"/>
      <c r="G422" s="262" t="n"/>
      <c r="H422" s="264" t="n"/>
      <c r="I422" s="265" t="n"/>
      <c r="J422" s="47" t="n"/>
      <c r="K422" s="47" t="n"/>
      <c r="L422" s="47" t="n"/>
      <c r="M422" s="47" t="n"/>
    </row>
    <row r="423" ht="12.75" customHeight="1" s="205">
      <c r="B423" s="26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1" t="n"/>
      <c r="G423" s="262" t="n"/>
      <c r="H423" s="264" t="n"/>
      <c r="I423" s="265" t="n"/>
      <c r="J423" s="47" t="n"/>
      <c r="K423" s="47" t="n"/>
      <c r="L423" s="47" t="n"/>
      <c r="M423" s="47" t="n"/>
    </row>
    <row r="424" ht="12.75" customHeight="1" s="205">
      <c r="B424" s="26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1" t="n"/>
      <c r="G424" s="262" t="n"/>
      <c r="H424" s="264" t="n"/>
      <c r="I424" s="265" t="n"/>
      <c r="J424" s="47" t="n"/>
      <c r="K424" s="47" t="n"/>
      <c r="L424" s="47" t="n"/>
      <c r="M424" s="47" t="n"/>
    </row>
    <row r="425" ht="12.75" customHeight="1" s="205">
      <c r="B425" s="26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1" t="n"/>
      <c r="G425" s="262" t="n"/>
      <c r="H425" s="264" t="n"/>
      <c r="I425" s="265" t="n"/>
      <c r="J425" s="47" t="n"/>
      <c r="K425" s="47" t="n"/>
      <c r="L425" s="47" t="n"/>
      <c r="M425" s="47" t="n"/>
    </row>
    <row r="426" ht="12.75" customHeight="1" s="205">
      <c r="B426" s="26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1" t="n"/>
      <c r="G426" s="262" t="n"/>
      <c r="H426" s="264" t="n"/>
      <c r="I426" s="265" t="n"/>
      <c r="J426" s="47" t="n"/>
      <c r="K426" s="47" t="n"/>
      <c r="L426" s="47" t="n"/>
      <c r="M426" s="47" t="n"/>
    </row>
    <row r="427" ht="12.75" customHeight="1" s="205">
      <c r="B427" s="26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1" t="n"/>
      <c r="G427" s="262" t="n"/>
      <c r="H427" s="264" t="n"/>
      <c r="I427" s="265" t="n"/>
      <c r="J427" s="47" t="n"/>
      <c r="K427" s="47" t="n"/>
      <c r="L427" s="47" t="n"/>
      <c r="M427" s="47" t="n"/>
    </row>
    <row r="428" ht="12.75" customHeight="1" s="205">
      <c r="B428" s="26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1" t="n"/>
      <c r="G428" s="262" t="n"/>
      <c r="H428" s="264" t="n"/>
      <c r="I428" s="265" t="n"/>
      <c r="J428" s="47" t="n"/>
      <c r="K428" s="47" t="n"/>
      <c r="L428" s="47" t="n"/>
      <c r="M428" s="47" t="n"/>
    </row>
    <row r="429" ht="12.75" customHeight="1" s="205">
      <c r="B429" s="26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1" t="n"/>
      <c r="G429" s="262" t="n"/>
      <c r="H429" s="264" t="n"/>
      <c r="I429" s="265" t="n"/>
      <c r="J429" s="47" t="n"/>
      <c r="K429" s="47" t="n"/>
      <c r="L429" s="47" t="n"/>
      <c r="M429" s="47" t="n"/>
    </row>
    <row r="430" ht="12.75" customHeight="1" s="205">
      <c r="B430" s="26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1" t="n"/>
      <c r="G430" s="262" t="n"/>
      <c r="H430" s="264" t="n"/>
      <c r="I430" s="265" t="n"/>
      <c r="J430" s="47" t="n"/>
      <c r="K430" s="47" t="n"/>
      <c r="L430" s="47" t="n"/>
      <c r="M430" s="47" t="n"/>
    </row>
    <row r="431" ht="12.75" customHeight="1" s="205">
      <c r="B431" s="26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1" t="n"/>
      <c r="G431" s="262" t="n"/>
      <c r="H431" s="264" t="n"/>
      <c r="I431" s="265" t="n"/>
      <c r="J431" s="47" t="n"/>
      <c r="K431" s="47" t="n"/>
      <c r="L431" s="47" t="n"/>
      <c r="M431" s="47" t="n"/>
    </row>
    <row r="432" ht="12.75" customHeight="1" s="205">
      <c r="B432" s="26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1" t="n"/>
      <c r="G432" s="262" t="n"/>
      <c r="H432" s="264" t="n"/>
      <c r="I432" s="265" t="n"/>
      <c r="J432" s="47" t="n"/>
      <c r="K432" s="47" t="n"/>
      <c r="L432" s="47" t="n"/>
      <c r="M432" s="47" t="n"/>
    </row>
    <row r="433" ht="12.75" customHeight="1" s="205">
      <c r="B433" s="26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1" t="n"/>
      <c r="G433" s="262" t="n"/>
      <c r="H433" s="264" t="n"/>
      <c r="I433" s="265" t="n"/>
      <c r="J433" s="47" t="n"/>
      <c r="K433" s="47" t="n"/>
      <c r="L433" s="47" t="n"/>
      <c r="M433" s="47" t="n"/>
    </row>
    <row r="434" ht="12.75" customHeight="1" s="205">
      <c r="B434" s="26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1" t="n"/>
      <c r="G434" s="262" t="n"/>
      <c r="H434" s="264" t="n"/>
      <c r="I434" s="265" t="n"/>
      <c r="J434" s="47" t="n"/>
      <c r="K434" s="47" t="n"/>
      <c r="L434" s="47" t="n"/>
      <c r="M434" s="47" t="n"/>
    </row>
    <row r="435" ht="12.75" customHeight="1" s="205">
      <c r="B435" s="26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1" t="n"/>
      <c r="G435" s="262" t="n"/>
      <c r="H435" s="264" t="n"/>
      <c r="I435" s="265" t="n"/>
      <c r="J435" s="47" t="n"/>
      <c r="K435" s="47" t="n"/>
      <c r="L435" s="47" t="n"/>
      <c r="M435" s="47" t="n"/>
    </row>
    <row r="436" ht="12.75" customHeight="1" s="205">
      <c r="B436" s="26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1" t="n"/>
      <c r="G436" s="262" t="n"/>
      <c r="H436" s="264" t="n"/>
      <c r="I436" s="265" t="n"/>
      <c r="J436" s="47" t="n"/>
      <c r="K436" s="47" t="n"/>
      <c r="L436" s="47" t="n"/>
      <c r="M436" s="47" t="n"/>
    </row>
    <row r="437" ht="12.75" customHeight="1" s="205">
      <c r="B437" s="26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1" t="n"/>
      <c r="G437" s="262" t="n"/>
      <c r="H437" s="264" t="n"/>
      <c r="I437" s="265" t="n"/>
      <c r="J437" s="47" t="n"/>
      <c r="K437" s="47" t="n"/>
      <c r="L437" s="47" t="n"/>
      <c r="M437" s="47" t="n"/>
    </row>
    <row r="438" ht="12.75" customHeight="1" s="205">
      <c r="B438" s="26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1" t="n"/>
      <c r="G438" s="262" t="n"/>
      <c r="H438" s="264" t="n"/>
      <c r="I438" s="265" t="n"/>
      <c r="J438" s="47" t="n"/>
      <c r="K438" s="47" t="n"/>
      <c r="L438" s="47" t="n"/>
      <c r="M438" s="47" t="n"/>
    </row>
    <row r="439" ht="12.75" customHeight="1" s="205">
      <c r="B439" s="26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1" t="n"/>
      <c r="G439" s="262" t="n"/>
      <c r="H439" s="264" t="n"/>
      <c r="I439" s="265" t="n"/>
      <c r="J439" s="47" t="n"/>
      <c r="K439" s="47" t="n"/>
      <c r="L439" s="47" t="n"/>
      <c r="M439" s="47" t="n"/>
    </row>
    <row r="440" ht="12.75" customHeight="1" s="205">
      <c r="B440" s="26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1" t="n"/>
      <c r="G440" s="262" t="n"/>
      <c r="H440" s="264" t="n"/>
      <c r="I440" s="265" t="n"/>
      <c r="J440" s="47" t="n"/>
      <c r="K440" s="47" t="n"/>
      <c r="L440" s="47" t="n"/>
      <c r="M440" s="47" t="n"/>
    </row>
    <row r="441" ht="12.75" customHeight="1" s="205">
      <c r="B441" s="26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1" t="n"/>
      <c r="G441" s="262" t="n"/>
      <c r="H441" s="264" t="n"/>
      <c r="I441" s="265" t="n"/>
      <c r="J441" s="47" t="n"/>
      <c r="K441" s="47" t="n"/>
      <c r="L441" s="47" t="n"/>
      <c r="M441" s="47" t="n"/>
    </row>
    <row r="442" ht="12.75" customHeight="1" s="205">
      <c r="B442" s="26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1" t="n"/>
      <c r="G442" s="262" t="n"/>
      <c r="H442" s="264" t="n"/>
      <c r="I442" s="265" t="n"/>
      <c r="J442" s="47" t="n"/>
      <c r="K442" s="47" t="n"/>
      <c r="L442" s="47" t="n"/>
      <c r="M442" s="47" t="n"/>
    </row>
    <row r="443" ht="12.75" customHeight="1" s="205">
      <c r="B443" s="26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1" t="n"/>
      <c r="G443" s="262" t="n"/>
      <c r="H443" s="264" t="n"/>
      <c r="I443" s="265" t="n"/>
      <c r="J443" s="47" t="n"/>
      <c r="K443" s="47" t="n"/>
      <c r="L443" s="47" t="n"/>
      <c r="M443" s="47" t="n"/>
    </row>
    <row r="444" ht="12.75" customHeight="1" s="205">
      <c r="B444" s="26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1" t="n"/>
      <c r="G444" s="262" t="n"/>
      <c r="H444" s="264" t="n"/>
      <c r="I444" s="265" t="n"/>
      <c r="J444" s="47" t="n"/>
      <c r="K444" s="47" t="n"/>
      <c r="L444" s="47" t="n"/>
      <c r="M444" s="47" t="n"/>
    </row>
    <row r="445" ht="12.75" customHeight="1" s="205">
      <c r="B445" s="26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1" t="n"/>
      <c r="G445" s="262" t="n"/>
      <c r="H445" s="264" t="n"/>
      <c r="I445" s="265" t="n"/>
      <c r="J445" s="47" t="n"/>
      <c r="K445" s="47" t="n"/>
      <c r="L445" s="47" t="n"/>
      <c r="M445" s="47" t="n"/>
    </row>
    <row r="446" ht="12.75" customHeight="1" s="205">
      <c r="B446" s="26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1" t="n"/>
      <c r="G446" s="262" t="n"/>
      <c r="H446" s="264" t="n"/>
      <c r="I446" s="265" t="n"/>
      <c r="J446" s="47" t="n"/>
      <c r="K446" s="47" t="n"/>
      <c r="L446" s="47" t="n"/>
      <c r="M446" s="47" t="n"/>
    </row>
    <row r="447" ht="12.75" customHeight="1" s="205">
      <c r="B447" s="26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1" t="n"/>
      <c r="G447" s="262" t="n"/>
      <c r="H447" s="264" t="n"/>
      <c r="I447" s="265" t="n"/>
      <c r="J447" s="47" t="n"/>
      <c r="K447" s="47" t="n"/>
      <c r="L447" s="47" t="n"/>
      <c r="M447" s="47" t="n"/>
    </row>
    <row r="448" ht="12.75" customHeight="1" s="205">
      <c r="B448" s="26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1" t="n"/>
      <c r="G448" s="262" t="n"/>
      <c r="H448" s="264" t="n"/>
      <c r="I448" s="265" t="n"/>
      <c r="J448" s="47" t="n"/>
      <c r="K448" s="47" t="n"/>
      <c r="L448" s="47" t="n"/>
      <c r="M448" s="47" t="n"/>
    </row>
    <row r="449" ht="12.75" customHeight="1" s="205">
      <c r="B449" s="26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1" t="n"/>
      <c r="G449" s="262" t="n"/>
      <c r="H449" s="264" t="n"/>
      <c r="I449" s="265" t="n"/>
      <c r="J449" s="47" t="n"/>
      <c r="K449" s="47" t="n"/>
      <c r="L449" s="47" t="n"/>
      <c r="M449" s="47" t="n"/>
    </row>
    <row r="450" ht="12.75" customHeight="1" s="205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5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5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5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5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5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5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5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5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5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5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5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5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5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5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5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5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5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5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5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5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5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5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5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5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5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5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5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5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5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5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5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5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5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5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5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5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5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5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5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5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5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5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5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5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5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5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5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5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5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5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5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5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5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5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5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5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5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5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5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5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5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5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5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5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5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5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5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5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5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5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5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5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5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5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5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5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5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5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5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5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5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5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5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5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5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5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5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5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5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5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5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5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5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5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5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5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5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5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5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5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5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5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5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5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5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5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5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5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5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5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5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5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5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5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5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5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5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5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5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5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5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5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5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5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5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5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5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5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5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5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5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5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5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5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5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5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5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5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5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5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5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5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5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5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5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5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5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5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5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5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5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5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5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5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5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5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5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5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5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5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5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5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5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5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5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5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5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5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5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5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5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5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5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5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5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5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5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5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5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5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5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5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5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5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5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5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5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5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5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5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5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5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5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5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5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5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5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5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5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5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5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5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5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5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5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5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5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5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5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5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5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5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5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5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5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5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5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5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5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5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5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5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5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5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5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5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5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5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5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5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5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5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5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5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5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5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5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5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5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5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5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5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5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5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5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5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5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5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5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5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5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5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5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5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5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5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5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5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5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5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5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5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5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5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5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5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5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5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5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5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5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5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5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5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5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5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5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5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5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5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5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5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5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5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5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5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5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5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5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5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5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5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5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5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5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5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5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5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5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5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5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5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5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5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5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5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5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5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5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5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5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5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5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5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5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5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5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5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5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5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5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5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5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5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5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5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5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5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5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5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5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5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5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5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5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5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5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5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5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5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5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5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5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5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5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5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5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5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5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5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5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5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5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5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5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5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5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5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5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5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5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5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5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5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5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5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5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5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5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5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5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5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5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5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5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5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5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5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5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5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5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5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5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5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5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5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5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5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5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5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5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5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5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5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5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5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5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5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5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5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5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5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5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5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5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5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5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5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5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5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5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5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5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5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5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5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5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5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5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5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5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5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5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5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5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5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5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5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5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5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5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5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5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5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5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5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5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5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5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5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5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5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5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5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5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5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5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5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5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5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5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5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5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5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5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5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5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5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5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5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5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5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5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5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5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5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5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5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5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5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5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5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5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5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5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5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5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5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5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5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5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5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5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5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5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5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5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5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5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5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5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5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5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5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5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5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5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5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5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5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5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5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5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5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5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5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5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5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5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5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5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5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5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5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5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5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5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5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5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5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5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5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5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5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5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5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5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5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5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5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5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5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5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5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5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5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5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5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5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5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5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5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5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5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5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5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5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5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4" t="inlineStr">
        <is>
          <t>1월</t>
        </is>
      </c>
      <c r="B9" s="6" t="inlineStr">
        <is>
          <t>01</t>
        </is>
      </c>
      <c r="C9" s="204" t="inlineStr">
        <is>
          <t>1월</t>
        </is>
      </c>
      <c r="D9" s="6" t="n">
        <v>2</v>
      </c>
    </row>
    <row r="10">
      <c r="A10" s="204" t="inlineStr">
        <is>
          <t>2월</t>
        </is>
      </c>
      <c r="B10" s="6" t="inlineStr">
        <is>
          <t>02</t>
        </is>
      </c>
      <c r="C10" s="204" t="inlineStr">
        <is>
          <t>2월</t>
        </is>
      </c>
      <c r="D10" s="6" t="n">
        <v>3</v>
      </c>
    </row>
    <row r="11">
      <c r="A11" s="204" t="inlineStr">
        <is>
          <t>3월</t>
        </is>
      </c>
      <c r="B11" s="6" t="inlineStr">
        <is>
          <t>03</t>
        </is>
      </c>
      <c r="C11" s="204" t="inlineStr">
        <is>
          <t>3월</t>
        </is>
      </c>
      <c r="D11" s="6" t="n">
        <v>4</v>
      </c>
    </row>
    <row r="12">
      <c r="A12" s="204" t="inlineStr">
        <is>
          <t>4월</t>
        </is>
      </c>
      <c r="B12" s="6" t="inlineStr">
        <is>
          <t>04</t>
        </is>
      </c>
      <c r="C12" s="204" t="inlineStr">
        <is>
          <t>4월</t>
        </is>
      </c>
      <c r="D12" s="6" t="n">
        <v>5</v>
      </c>
    </row>
    <row r="13">
      <c r="A13" s="204" t="inlineStr">
        <is>
          <t>5월</t>
        </is>
      </c>
      <c r="B13" s="6" t="inlineStr">
        <is>
          <t>05</t>
        </is>
      </c>
      <c r="C13" s="204" t="inlineStr">
        <is>
          <t>5월</t>
        </is>
      </c>
      <c r="D13" s="6" t="n">
        <v>6</v>
      </c>
    </row>
    <row r="14">
      <c r="A14" s="204" t="inlineStr">
        <is>
          <t>6월</t>
        </is>
      </c>
      <c r="B14" s="6" t="inlineStr">
        <is>
          <t>06</t>
        </is>
      </c>
      <c r="C14" s="204" t="inlineStr">
        <is>
          <t>6월</t>
        </is>
      </c>
      <c r="D14" s="6" t="n">
        <v>7</v>
      </c>
    </row>
    <row r="15">
      <c r="A15" s="204" t="inlineStr">
        <is>
          <t>7월</t>
        </is>
      </c>
      <c r="B15" s="6" t="inlineStr">
        <is>
          <t>07</t>
        </is>
      </c>
      <c r="C15" s="204" t="inlineStr">
        <is>
          <t>7월</t>
        </is>
      </c>
      <c r="D15" s="6" t="n">
        <v>8</v>
      </c>
    </row>
    <row r="16">
      <c r="A16" s="204" t="inlineStr">
        <is>
          <t>8월</t>
        </is>
      </c>
      <c r="B16" s="6" t="inlineStr">
        <is>
          <t>08</t>
        </is>
      </c>
      <c r="C16" s="204" t="inlineStr">
        <is>
          <t>8월</t>
        </is>
      </c>
      <c r="D16" s="6" t="n">
        <v>9</v>
      </c>
    </row>
    <row r="17">
      <c r="A17" s="204" t="inlineStr">
        <is>
          <t>9월</t>
        </is>
      </c>
      <c r="B17" s="6" t="inlineStr">
        <is>
          <t>09</t>
        </is>
      </c>
      <c r="C17" s="204" t="inlineStr">
        <is>
          <t>9월</t>
        </is>
      </c>
      <c r="D17" s="6" t="n">
        <v>10</v>
      </c>
    </row>
    <row r="18">
      <c r="A18" s="204" t="inlineStr">
        <is>
          <t>10월</t>
        </is>
      </c>
      <c r="B18" s="6" t="inlineStr">
        <is>
          <t>10</t>
        </is>
      </c>
      <c r="C18" s="204" t="inlineStr">
        <is>
          <t>10월</t>
        </is>
      </c>
      <c r="D18" s="6" t="n">
        <v>11</v>
      </c>
    </row>
    <row r="19">
      <c r="A19" s="204" t="inlineStr">
        <is>
          <t>11월</t>
        </is>
      </c>
      <c r="B19" s="6" t="inlineStr">
        <is>
          <t>11</t>
        </is>
      </c>
      <c r="C19" s="204" t="inlineStr">
        <is>
          <t>11월</t>
        </is>
      </c>
      <c r="D19" s="6" t="n">
        <v>12</v>
      </c>
    </row>
    <row r="20">
      <c r="A20" s="204" t="inlineStr">
        <is>
          <t>12월</t>
        </is>
      </c>
      <c r="B20" s="6" t="inlineStr">
        <is>
          <t>12</t>
        </is>
      </c>
      <c r="C20" s="204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8">
        <f>IFERROR(__xludf.DUMMYFUNCTION("""COMPUTED_VALUE"""),43103.6666666666)</f>
        <v/>
      </c>
      <c r="F9" s="6">
        <f>IFERROR(__xludf.DUMMYFUNCTION("""COMPUTED_VALUE"""),2713.06)</f>
        <v/>
      </c>
      <c r="H9" s="26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3"/>
  <sheetViews>
    <sheetView workbookViewId="0">
      <selection activeCell="A1" sqref="A1"/>
    </sheetView>
  </sheetViews>
  <sheetFormatPr baseColWidth="8" defaultRowHeight="15"/>
  <cols>
    <col width="12" customWidth="1" style="205" min="1" max="1"/>
    <col width="10" customWidth="1" style="205" min="2" max="2"/>
    <col width="14" customWidth="1" style="205" min="3" max="3"/>
    <col width="34" customWidth="1" style="205" min="4" max="4"/>
    <col width="12" customWidth="1" style="205" min="5" max="5"/>
    <col width="12" customWidth="1" style="205" min="6" max="6"/>
    <col width="14" customWidth="1" style="205" min="7" max="7"/>
    <col width="10" customWidth="1" style="205" min="8" max="8"/>
  </cols>
  <sheetData>
    <row r="1">
      <c r="A1" s="274" t="inlineStr">
        <is>
          <t>2026년 월별 배당·이자 (실적 + 예측)</t>
        </is>
      </c>
    </row>
    <row r="2">
      <c r="A2" s="275" t="inlineStr">
        <is>
          <t>기준: '계좌현황' 보유수량 · yfinance 배당이력 · 환율 1,372원/$  | 연간 합계 52,201,328원 · 월평균 4,350,111원</t>
        </is>
      </c>
    </row>
    <row r="3">
      <c r="A3" s="338" t="inlineStr">
        <is>
          <t>※ 노란행=예측, 초록행=실적(또는 이미 지급된 배당). 커버드콜/미국ETF는 환율·지급월 추정 오차가 있을 수 있습니다.</t>
        </is>
      </c>
    </row>
    <row r="5">
      <c r="A5" s="274" t="inlineStr">
        <is>
          <t>① 월별 합계</t>
        </is>
      </c>
    </row>
    <row r="6">
      <c r="A6" s="278" t="inlineStr">
        <is>
          <t>월</t>
        </is>
      </c>
      <c r="B6" s="278" t="inlineStr">
        <is>
          <t>실적</t>
        </is>
      </c>
      <c r="C6" s="278" t="inlineStr">
        <is>
          <t>예측</t>
        </is>
      </c>
      <c r="D6" s="278" t="inlineStr">
        <is>
          <t>합계</t>
        </is>
      </c>
      <c r="E6" s="278" t="inlineStr">
        <is>
          <t>구분</t>
        </is>
      </c>
    </row>
    <row r="7">
      <c r="A7" s="279" t="inlineStr">
        <is>
          <t>1월</t>
        </is>
      </c>
      <c r="B7" s="280" t="n">
        <v>4085368.32</v>
      </c>
      <c r="C7" s="280" t="n">
        <v>0</v>
      </c>
      <c r="D7" s="280" t="n">
        <v>4085368.32</v>
      </c>
      <c r="E7" s="279" t="inlineStr">
        <is>
          <t>실적</t>
        </is>
      </c>
    </row>
    <row r="8">
      <c r="A8" s="279" t="inlineStr">
        <is>
          <t>2월</t>
        </is>
      </c>
      <c r="B8" s="280" t="n">
        <v>4211570.2</v>
      </c>
      <c r="C8" s="280" t="n">
        <v>0</v>
      </c>
      <c r="D8" s="280" t="n">
        <v>4211570.2</v>
      </c>
      <c r="E8" s="279" t="inlineStr">
        <is>
          <t>실적</t>
        </is>
      </c>
    </row>
    <row r="9">
      <c r="A9" s="282" t="inlineStr">
        <is>
          <t>3월</t>
        </is>
      </c>
      <c r="B9" s="283" t="n">
        <v>4590989.696</v>
      </c>
      <c r="C9" s="283" t="n">
        <v>35408</v>
      </c>
      <c r="D9" s="283" t="n">
        <v>4626397.696</v>
      </c>
      <c r="E9" s="282" t="inlineStr">
        <is>
          <t>혼합</t>
        </is>
      </c>
    </row>
    <row r="10">
      <c r="A10" s="282" t="inlineStr">
        <is>
          <t>4월</t>
        </is>
      </c>
      <c r="B10" s="283" t="n">
        <v>4201399.436</v>
      </c>
      <c r="C10" s="283" t="n">
        <v>5104</v>
      </c>
      <c r="D10" s="283" t="n">
        <v>4206503.436</v>
      </c>
      <c r="E10" s="282" t="inlineStr">
        <is>
          <t>혼합</t>
        </is>
      </c>
    </row>
    <row r="11">
      <c r="A11" s="279" t="inlineStr">
        <is>
          <t>5월</t>
        </is>
      </c>
      <c r="B11" s="280" t="n">
        <v>4284141.396</v>
      </c>
      <c r="C11" s="280" t="n">
        <v>0</v>
      </c>
      <c r="D11" s="280" t="n">
        <v>4284141.396</v>
      </c>
      <c r="E11" s="279" t="inlineStr">
        <is>
          <t>실적</t>
        </is>
      </c>
    </row>
    <row r="12">
      <c r="A12" s="282" t="inlineStr">
        <is>
          <t>6월</t>
        </is>
      </c>
      <c r="B12" s="283" t="n">
        <v>4318388.584000001</v>
      </c>
      <c r="C12" s="283" t="n">
        <v>35492</v>
      </c>
      <c r="D12" s="283" t="n">
        <v>4353880.584000001</v>
      </c>
      <c r="E12" s="282" t="inlineStr">
        <is>
          <t>혼합</t>
        </is>
      </c>
    </row>
    <row r="13">
      <c r="A13" s="279" t="inlineStr">
        <is>
          <t>7월</t>
        </is>
      </c>
      <c r="B13" s="280" t="n">
        <v>4337987.036</v>
      </c>
      <c r="C13" s="280" t="n">
        <v>0</v>
      </c>
      <c r="D13" s="280" t="n">
        <v>4337987.036</v>
      </c>
      <c r="E13" s="279" t="inlineStr">
        <is>
          <t>실적</t>
        </is>
      </c>
    </row>
    <row r="14">
      <c r="A14" s="279" t="inlineStr">
        <is>
          <t>8월</t>
        </is>
      </c>
      <c r="B14" s="280" t="n">
        <v>4207263.216</v>
      </c>
      <c r="C14" s="280" t="n">
        <v>0</v>
      </c>
      <c r="D14" s="280" t="n">
        <v>4207263.216</v>
      </c>
      <c r="E14" s="279" t="inlineStr">
        <is>
          <t>실적</t>
        </is>
      </c>
    </row>
    <row r="15">
      <c r="A15" s="288" t="inlineStr">
        <is>
          <t>9월</t>
        </is>
      </c>
      <c r="B15" s="289" t="n">
        <v>0</v>
      </c>
      <c r="C15" s="289" t="n">
        <v>4211728.208000001</v>
      </c>
      <c r="D15" s="289" t="n">
        <v>4211728.208000001</v>
      </c>
      <c r="E15" s="288" t="inlineStr">
        <is>
          <t>예측</t>
        </is>
      </c>
    </row>
    <row r="16">
      <c r="A16" s="288" t="inlineStr">
        <is>
          <t>10월</t>
        </is>
      </c>
      <c r="B16" s="289" t="n">
        <v>0</v>
      </c>
      <c r="C16" s="289" t="n">
        <v>4081758.888</v>
      </c>
      <c r="D16" s="289" t="n">
        <v>4081758.888</v>
      </c>
      <c r="E16" s="288" t="inlineStr">
        <is>
          <t>예측</t>
        </is>
      </c>
    </row>
    <row r="17">
      <c r="A17" s="288" t="inlineStr">
        <is>
          <t>11월</t>
        </is>
      </c>
      <c r="B17" s="289" t="n">
        <v>0</v>
      </c>
      <c r="C17" s="289" t="n">
        <v>4369008.312</v>
      </c>
      <c r="D17" s="289" t="n">
        <v>4369008.312</v>
      </c>
      <c r="E17" s="288" t="inlineStr">
        <is>
          <t>예측</t>
        </is>
      </c>
    </row>
    <row r="18">
      <c r="A18" s="288" t="inlineStr">
        <is>
          <t>12월</t>
        </is>
      </c>
      <c r="B18" s="289" t="n">
        <v>0</v>
      </c>
      <c r="C18" s="289" t="n">
        <v>5225720.786</v>
      </c>
      <c r="D18" s="289" t="n">
        <v>5225720.786</v>
      </c>
      <c r="E18" s="288" t="inlineStr">
        <is>
          <t>예측</t>
        </is>
      </c>
    </row>
    <row r="20">
      <c r="A20" s="277" t="inlineStr">
        <is>
          <t>합계</t>
        </is>
      </c>
      <c r="B20" s="336">
        <f>SUM(B7:B18)</f>
        <v/>
      </c>
      <c r="C20" s="336">
        <f>SUM(C7:C18)</f>
        <v/>
      </c>
      <c r="D20" s="336">
        <f>SUM(D7:D18)</f>
        <v/>
      </c>
    </row>
    <row r="22">
      <c r="A22" s="274" t="inlineStr">
        <is>
          <t>② 연간 배당 기여 Top 15</t>
        </is>
      </c>
    </row>
    <row r="23">
      <c r="A23" s="339" t="inlineStr">
        <is>
          <t>종목코드</t>
        </is>
      </c>
      <c r="B23" s="339" t="inlineStr">
        <is>
          <t>종목명</t>
        </is>
      </c>
      <c r="C23" s="339" t="inlineStr">
        <is>
          <t>주기</t>
        </is>
      </c>
      <c r="D23" s="339" t="inlineStr">
        <is>
          <t>연예상(원)</t>
        </is>
      </c>
      <c r="E23" s="339" t="inlineStr">
        <is>
          <t>배당률</t>
        </is>
      </c>
      <c r="F23" s="339" t="inlineStr">
        <is>
          <t>평가액</t>
        </is>
      </c>
    </row>
    <row r="24">
      <c r="A24" s="303" t="inlineStr">
        <is>
          <t>458760</t>
        </is>
      </c>
      <c r="B24" s="303" t="inlineStr">
        <is>
          <t>TIGER 미배당다우커버드콜2호</t>
        </is>
      </c>
      <c r="C24" s="303" t="inlineStr">
        <is>
          <t>월배당</t>
        </is>
      </c>
      <c r="D24" s="304" t="n">
        <v>16980419</v>
      </c>
      <c r="E24" s="329" t="n">
        <v>0.1001</v>
      </c>
      <c r="F24" s="304" t="n">
        <v>169573885</v>
      </c>
    </row>
    <row r="25">
      <c r="A25" s="303" t="inlineStr">
        <is>
          <t>474220</t>
        </is>
      </c>
      <c r="B25" s="303" t="inlineStr">
        <is>
          <t>TIGER미국테크TOP10커버드콜</t>
        </is>
      </c>
      <c r="C25" s="303" t="inlineStr">
        <is>
          <t>월배당</t>
        </is>
      </c>
      <c r="D25" s="304" t="n">
        <v>6963919</v>
      </c>
      <c r="E25" s="329" t="n">
        <v>0.1028</v>
      </c>
      <c r="F25" s="304" t="n">
        <v>67742220</v>
      </c>
    </row>
    <row r="26">
      <c r="A26" s="303" t="inlineStr">
        <is>
          <t>498410</t>
        </is>
      </c>
      <c r="B26" s="303" t="inlineStr">
        <is>
          <t>KODEX금융고배당TOP10타겟위클리커버드콜</t>
        </is>
      </c>
      <c r="C26" s="303" t="inlineStr">
        <is>
          <t>월배당</t>
        </is>
      </c>
      <c r="D26" s="304" t="n">
        <v>4473514</v>
      </c>
      <c r="E26" s="329" t="n">
        <v>0.1565</v>
      </c>
      <c r="F26" s="304" t="n">
        <v>28583425</v>
      </c>
    </row>
    <row r="27">
      <c r="A27" s="303" t="inlineStr">
        <is>
          <t>483280</t>
        </is>
      </c>
      <c r="B27" s="303" t="inlineStr">
        <is>
          <t>KODEX 미국AI테크TOP10타겟커버드콜</t>
        </is>
      </c>
      <c r="C27" s="303" t="inlineStr">
        <is>
          <t>월배당</t>
        </is>
      </c>
      <c r="D27" s="304" t="n">
        <v>3984540</v>
      </c>
      <c r="E27" s="329" t="n">
        <v>0.157</v>
      </c>
      <c r="F27" s="304" t="n">
        <v>25376400</v>
      </c>
    </row>
    <row r="28">
      <c r="A28" s="303" t="inlineStr">
        <is>
          <t>0008S0</t>
        </is>
      </c>
      <c r="B28" s="303" t="inlineStr">
        <is>
          <t>TIGER 미국배당다우존스타겟데일리커버드콜</t>
        </is>
      </c>
      <c r="C28" s="303" t="inlineStr">
        <is>
          <t>월배당</t>
        </is>
      </c>
      <c r="D28" s="304" t="n">
        <v>3507000</v>
      </c>
      <c r="E28" s="329" t="n">
        <v>0.1164</v>
      </c>
      <c r="F28" s="304" t="n">
        <v>30135000</v>
      </c>
    </row>
    <row r="29">
      <c r="A29" s="303" t="inlineStr">
        <is>
          <t>481060</t>
        </is>
      </c>
      <c r="B29" s="303" t="inlineStr">
        <is>
          <t>KODEX 미국30년국채타겟커버드콜(H)</t>
        </is>
      </c>
      <c r="C29" s="303" t="inlineStr">
        <is>
          <t>월배당</t>
        </is>
      </c>
      <c r="D29" s="304" t="n">
        <v>3090600</v>
      </c>
      <c r="E29" s="329" t="n">
        <v>0.1365</v>
      </c>
      <c r="F29" s="304" t="n">
        <v>22644000</v>
      </c>
    </row>
    <row r="30">
      <c r="A30" s="303" t="inlineStr">
        <is>
          <t>329200</t>
        </is>
      </c>
      <c r="B30" s="303" t="inlineStr">
        <is>
          <t>TIGER리츠부동산인프라</t>
        </is>
      </c>
      <c r="C30" s="303" t="inlineStr">
        <is>
          <t>월배당</t>
        </is>
      </c>
      <c r="D30" s="304" t="n">
        <v>1897500</v>
      </c>
      <c r="E30" s="329" t="n">
        <v>0.09320000000000001</v>
      </c>
      <c r="F30" s="304" t="n">
        <v>20350000</v>
      </c>
    </row>
    <row r="31">
      <c r="A31" s="303" t="inlineStr">
        <is>
          <t>498400</t>
        </is>
      </c>
      <c r="B31" s="303" t="inlineStr">
        <is>
          <t>KODEX 200타켓위클리커버드콜</t>
        </is>
      </c>
      <c r="C31" s="303" t="inlineStr">
        <is>
          <t>월배당</t>
        </is>
      </c>
      <c r="D31" s="304" t="n">
        <v>1825057</v>
      </c>
      <c r="E31" s="329" t="n">
        <v>0.1492</v>
      </c>
      <c r="F31" s="304" t="n">
        <v>12232220</v>
      </c>
    </row>
    <row r="32">
      <c r="A32" s="303" t="inlineStr">
        <is>
          <t>468380</t>
        </is>
      </c>
      <c r="B32" s="303" t="inlineStr">
        <is>
          <t>KODEX iShares미국하이일드액티브</t>
        </is>
      </c>
      <c r="C32" s="303" t="inlineStr">
        <is>
          <t>월배당</t>
        </is>
      </c>
      <c r="D32" s="304" t="n">
        <v>1538000</v>
      </c>
      <c r="E32" s="329" t="n">
        <v>0.07099999999999999</v>
      </c>
      <c r="F32" s="304" t="n">
        <v>21650000</v>
      </c>
    </row>
    <row r="33">
      <c r="A33" s="303" t="inlineStr">
        <is>
          <t>490490</t>
        </is>
      </c>
      <c r="B33" s="303" t="inlineStr">
        <is>
          <t>SOL미국배당미국채혼합50</t>
        </is>
      </c>
      <c r="C33" s="303" t="inlineStr">
        <is>
          <t>월배당</t>
        </is>
      </c>
      <c r="D33" s="304" t="n">
        <v>1291498</v>
      </c>
      <c r="E33" s="329" t="n">
        <v>0.0305</v>
      </c>
      <c r="F33" s="304" t="n">
        <v>42279365</v>
      </c>
    </row>
    <row r="34">
      <c r="A34" s="303" t="inlineStr">
        <is>
          <t>0219E0</t>
        </is>
      </c>
      <c r="B34" s="303" t="inlineStr">
        <is>
          <t>KODEX 200커버드콜액티브</t>
        </is>
      </c>
      <c r="C34" s="303" t="inlineStr">
        <is>
          <t>월배당</t>
        </is>
      </c>
      <c r="D34" s="304" t="n">
        <v>1205760</v>
      </c>
      <c r="E34" s="329" t="n">
        <v>0.1176</v>
      </c>
      <c r="F34" s="304" t="n">
        <v>10248960</v>
      </c>
    </row>
    <row r="35">
      <c r="A35" s="303" t="inlineStr">
        <is>
          <t>473330</t>
        </is>
      </c>
      <c r="B35" s="303" t="inlineStr">
        <is>
          <t>SOL 미국 30년국채커버드콜(합성)</t>
        </is>
      </c>
      <c r="C35" s="303" t="inlineStr">
        <is>
          <t>월배당</t>
        </is>
      </c>
      <c r="D35" s="304" t="n">
        <v>988320</v>
      </c>
      <c r="E35" s="329" t="n">
        <v>0.1311</v>
      </c>
      <c r="F35" s="304" t="n">
        <v>7540800</v>
      </c>
    </row>
    <row r="36">
      <c r="A36" s="303" t="inlineStr">
        <is>
          <t>472170</t>
        </is>
      </c>
      <c r="B36" s="303" t="inlineStr">
        <is>
          <t>TIGER 미국테크TOP10채권혼합</t>
        </is>
      </c>
      <c r="C36" s="303" t="inlineStr">
        <is>
          <t>연/반기</t>
        </is>
      </c>
      <c r="D36" s="304" t="n">
        <v>573561</v>
      </c>
      <c r="E36" s="329" t="n">
        <v>0.0211</v>
      </c>
      <c r="F36" s="304" t="n">
        <v>27180090</v>
      </c>
    </row>
    <row r="37">
      <c r="A37" s="303" t="inlineStr">
        <is>
          <t>446720</t>
        </is>
      </c>
      <c r="B37" s="303" t="inlineStr">
        <is>
          <t>SOL 미국배당다우존스</t>
        </is>
      </c>
      <c r="C37" s="303" t="inlineStr">
        <is>
          <t>월배당</t>
        </is>
      </c>
      <c r="D37" s="304" t="n">
        <v>541310</v>
      </c>
      <c r="E37" s="329" t="n">
        <v>0.0294</v>
      </c>
      <c r="F37" s="304" t="n">
        <v>18407200</v>
      </c>
    </row>
    <row r="38">
      <c r="A38" s="303" t="inlineStr">
        <is>
          <t>482730</t>
        </is>
      </c>
      <c r="B38" s="303" t="inlineStr">
        <is>
          <t>미국S&amp;P500타겟데일리커버드콜</t>
        </is>
      </c>
      <c r="C38" s="303" t="inlineStr">
        <is>
          <t>월배당</t>
        </is>
      </c>
      <c r="D38" s="304" t="n">
        <v>506600</v>
      </c>
      <c r="E38" s="329" t="n">
        <v>0.1024</v>
      </c>
      <c r="F38" s="304" t="n">
        <v>4944875</v>
      </c>
    </row>
    <row r="42">
      <c r="A42" s="274" t="inlineStr">
        <is>
          <t>③ 종목·월별 상세 (실적/예측)</t>
        </is>
      </c>
    </row>
    <row r="43">
      <c r="A43" s="278" t="inlineStr">
        <is>
          <t>일자</t>
        </is>
      </c>
      <c r="B43" s="278" t="inlineStr">
        <is>
          <t>월</t>
        </is>
      </c>
      <c r="C43" s="278" t="inlineStr">
        <is>
          <t>종목코드</t>
        </is>
      </c>
      <c r="D43" s="278" t="inlineStr">
        <is>
          <t>종목명</t>
        </is>
      </c>
      <c r="E43" s="278" t="inlineStr">
        <is>
          <t>원화</t>
        </is>
      </c>
      <c r="F43" s="278" t="inlineStr">
        <is>
          <t>달러</t>
        </is>
      </c>
      <c r="G43" s="278" t="inlineStr">
        <is>
          <t>원화환산</t>
        </is>
      </c>
      <c r="H43" s="278" t="inlineStr">
        <is>
          <t>구분</t>
        </is>
      </c>
    </row>
    <row r="44">
      <c r="A44" s="344" t="n">
        <v>46031</v>
      </c>
      <c r="B44" s="279" t="n">
        <v>1</v>
      </c>
      <c r="C44" s="279" t="inlineStr">
        <is>
          <t>ORCL</t>
        </is>
      </c>
      <c r="D44" s="279" t="inlineStr">
        <is>
          <t>오라클</t>
        </is>
      </c>
      <c r="E44" s="280" t="n"/>
      <c r="F44" s="341" t="n">
        <v>1</v>
      </c>
      <c r="G44" s="280" t="n">
        <v>1372</v>
      </c>
      <c r="H44" s="279" t="inlineStr">
        <is>
          <t>실적</t>
        </is>
      </c>
    </row>
    <row r="45">
      <c r="A45" s="344" t="n">
        <v>46036</v>
      </c>
      <c r="B45" s="279" t="n">
        <v>1</v>
      </c>
      <c r="C45" s="279" t="inlineStr">
        <is>
          <t>0008S0</t>
        </is>
      </c>
      <c r="D45" s="279" t="inlineStr">
        <is>
          <t>TIGER 미국배당다우존스타겟데일리커버드콜</t>
        </is>
      </c>
      <c r="E45" s="280" t="n">
        <v>285000</v>
      </c>
      <c r="F45" s="341" t="n"/>
      <c r="G45" s="280" t="n">
        <v>285000</v>
      </c>
      <c r="H45" s="279" t="inlineStr">
        <is>
          <t>실적</t>
        </is>
      </c>
    </row>
    <row r="46">
      <c r="A46" s="344" t="n">
        <v>46036</v>
      </c>
      <c r="B46" s="279" t="n">
        <v>1</v>
      </c>
      <c r="C46" s="279" t="inlineStr">
        <is>
          <t>474220</t>
        </is>
      </c>
      <c r="D46" s="279" t="inlineStr">
        <is>
          <t>TIGER미국테크TOP10커버드콜</t>
        </is>
      </c>
      <c r="E46" s="280" t="n">
        <v>612514</v>
      </c>
      <c r="F46" s="341" t="n"/>
      <c r="G46" s="280" t="n">
        <v>612514</v>
      </c>
      <c r="H46" s="279" t="inlineStr">
        <is>
          <t>실적</t>
        </is>
      </c>
    </row>
    <row r="47">
      <c r="A47" s="344" t="n">
        <v>46036</v>
      </c>
      <c r="B47" s="279" t="n">
        <v>1</v>
      </c>
      <c r="C47" s="279" t="inlineStr">
        <is>
          <t>481060</t>
        </is>
      </c>
      <c r="D47" s="279" t="inlineStr">
        <is>
          <t>KODEX 미국30년국채타겟커버드콜(H)</t>
        </is>
      </c>
      <c r="E47" s="280" t="n">
        <v>253980</v>
      </c>
      <c r="F47" s="341" t="n"/>
      <c r="G47" s="280" t="n">
        <v>253980</v>
      </c>
      <c r="H47" s="279" t="inlineStr">
        <is>
          <t>실적</t>
        </is>
      </c>
    </row>
    <row r="48">
      <c r="A48" s="344" t="n">
        <v>46036</v>
      </c>
      <c r="B48" s="279" t="n">
        <v>1</v>
      </c>
      <c r="C48" s="279" t="inlineStr">
        <is>
          <t>490490</t>
        </is>
      </c>
      <c r="D48" s="279" t="inlineStr">
        <is>
          <t>SOL미국배당미국채혼합50</t>
        </is>
      </c>
      <c r="E48" s="280" t="n">
        <v>118451</v>
      </c>
      <c r="F48" s="341" t="n"/>
      <c r="G48" s="280" t="n">
        <v>118451</v>
      </c>
      <c r="H48" s="279" t="inlineStr">
        <is>
          <t>실적</t>
        </is>
      </c>
    </row>
    <row r="49">
      <c r="A49" s="344" t="n">
        <v>46036</v>
      </c>
      <c r="B49" s="279" t="n">
        <v>1</v>
      </c>
      <c r="C49" s="279" t="inlineStr">
        <is>
          <t>498400</t>
        </is>
      </c>
      <c r="D49" s="279" t="inlineStr">
        <is>
          <t>KODEX 200타켓위클리커버드콜</t>
        </is>
      </c>
      <c r="E49" s="280" t="n">
        <v>130143</v>
      </c>
      <c r="F49" s="341" t="n"/>
      <c r="G49" s="280" t="n">
        <v>130143</v>
      </c>
      <c r="H49" s="279" t="inlineStr">
        <is>
          <t>실적</t>
        </is>
      </c>
    </row>
    <row r="50">
      <c r="A50" s="344" t="n">
        <v>46051</v>
      </c>
      <c r="B50" s="279" t="n">
        <v>1</v>
      </c>
      <c r="C50" s="279" t="inlineStr">
        <is>
          <t>133690</t>
        </is>
      </c>
      <c r="D50" s="279" t="inlineStr">
        <is>
          <t>TIGER 미국나스닥100</t>
        </is>
      </c>
      <c r="E50" s="280" t="n">
        <v>12825</v>
      </c>
      <c r="F50" s="341" t="n"/>
      <c r="G50" s="280" t="n">
        <v>12825</v>
      </c>
      <c r="H50" s="279" t="inlineStr">
        <is>
          <t>실적</t>
        </is>
      </c>
    </row>
    <row r="51">
      <c r="A51" s="344" t="n">
        <v>46051</v>
      </c>
      <c r="B51" s="279" t="n">
        <v>1</v>
      </c>
      <c r="C51" s="279" t="inlineStr">
        <is>
          <t>329200</t>
        </is>
      </c>
      <c r="D51" s="279" t="inlineStr">
        <is>
          <t>TIGER리츠부동산인프라</t>
        </is>
      </c>
      <c r="E51" s="280" t="n">
        <v>165000</v>
      </c>
      <c r="F51" s="341" t="n"/>
      <c r="G51" s="280" t="n">
        <v>165000</v>
      </c>
      <c r="H51" s="279" t="inlineStr">
        <is>
          <t>실적</t>
        </is>
      </c>
    </row>
    <row r="52">
      <c r="A52" s="344" t="n">
        <v>46051</v>
      </c>
      <c r="B52" s="279" t="n">
        <v>1</v>
      </c>
      <c r="C52" s="279" t="inlineStr">
        <is>
          <t>360750</t>
        </is>
      </c>
      <c r="D52" s="279" t="inlineStr">
        <is>
          <t>TIGER미국S&amp;P500</t>
        </is>
      </c>
      <c r="E52" s="280" t="n">
        <v>14235</v>
      </c>
      <c r="F52" s="341" t="n"/>
      <c r="G52" s="280" t="n">
        <v>14235</v>
      </c>
      <c r="H52" s="279" t="inlineStr">
        <is>
          <t>실적</t>
        </is>
      </c>
    </row>
    <row r="53">
      <c r="A53" s="344" t="n">
        <v>46051</v>
      </c>
      <c r="B53" s="279" t="n">
        <v>1</v>
      </c>
      <c r="C53" s="279" t="inlineStr">
        <is>
          <t>367380</t>
        </is>
      </c>
      <c r="D53" s="279" t="inlineStr">
        <is>
          <t>ACE 미국나스닥100</t>
        </is>
      </c>
      <c r="E53" s="280" t="n">
        <v>12844</v>
      </c>
      <c r="F53" s="341" t="n"/>
      <c r="G53" s="280" t="n">
        <v>12844</v>
      </c>
      <c r="H53" s="279" t="inlineStr">
        <is>
          <t>실적</t>
        </is>
      </c>
    </row>
    <row r="54">
      <c r="A54" s="344" t="n">
        <v>46051</v>
      </c>
      <c r="B54" s="279" t="n">
        <v>1</v>
      </c>
      <c r="C54" s="279" t="inlineStr">
        <is>
          <t>379810</t>
        </is>
      </c>
      <c r="D54" s="279" t="inlineStr">
        <is>
          <t>KODEX 미국나스닥100</t>
        </is>
      </c>
      <c r="E54" s="280" t="n">
        <v>26792</v>
      </c>
      <c r="F54" s="341" t="n"/>
      <c r="G54" s="280" t="n">
        <v>26792</v>
      </c>
      <c r="H54" s="279" t="inlineStr">
        <is>
          <t>실적</t>
        </is>
      </c>
    </row>
    <row r="55">
      <c r="A55" s="344" t="n">
        <v>46051</v>
      </c>
      <c r="B55" s="279" t="n">
        <v>1</v>
      </c>
      <c r="C55" s="279" t="inlineStr">
        <is>
          <t>433330</t>
        </is>
      </c>
      <c r="D55" s="279" t="inlineStr">
        <is>
          <t>SOL 미국 S&amp;P500</t>
        </is>
      </c>
      <c r="E55" s="280" t="n">
        <v>15288</v>
      </c>
      <c r="F55" s="341" t="n"/>
      <c r="G55" s="280" t="n">
        <v>15288</v>
      </c>
      <c r="H55" s="279" t="inlineStr">
        <is>
          <t>실적</t>
        </is>
      </c>
    </row>
    <row r="56">
      <c r="A56" s="344" t="n">
        <v>46051</v>
      </c>
      <c r="B56" s="279" t="n">
        <v>1</v>
      </c>
      <c r="C56" s="279" t="inlineStr">
        <is>
          <t>446720</t>
        </is>
      </c>
      <c r="D56" s="279" t="inlineStr">
        <is>
          <t>SOL 미국배당다우존스</t>
        </is>
      </c>
      <c r="E56" s="280" t="n">
        <v>39900</v>
      </c>
      <c r="F56" s="341" t="n"/>
      <c r="G56" s="280" t="n">
        <v>39900</v>
      </c>
      <c r="H56" s="279" t="inlineStr">
        <is>
          <t>실적</t>
        </is>
      </c>
    </row>
    <row r="57">
      <c r="A57" s="344" t="n">
        <v>46051</v>
      </c>
      <c r="B57" s="279" t="n">
        <v>1</v>
      </c>
      <c r="C57" s="279" t="inlineStr">
        <is>
          <t>458760</t>
        </is>
      </c>
      <c r="D57" s="279" t="inlineStr">
        <is>
          <t>TIGER 미배당다우커버드콜2호</t>
        </is>
      </c>
      <c r="E57" s="280" t="n">
        <v>1351064</v>
      </c>
      <c r="F57" s="341" t="n"/>
      <c r="G57" s="280" t="n">
        <v>1351064</v>
      </c>
      <c r="H57" s="279" t="inlineStr">
        <is>
          <t>실적</t>
        </is>
      </c>
    </row>
    <row r="58">
      <c r="A58" s="344" t="n">
        <v>46051</v>
      </c>
      <c r="B58" s="279" t="n">
        <v>1</v>
      </c>
      <c r="C58" s="279" t="inlineStr">
        <is>
          <t>468380</t>
        </is>
      </c>
      <c r="D58" s="279" t="inlineStr">
        <is>
          <t>KODEX iShares미국하이일드액티브</t>
        </is>
      </c>
      <c r="E58" s="280" t="n">
        <v>146000</v>
      </c>
      <c r="F58" s="341" t="n"/>
      <c r="G58" s="280" t="n">
        <v>146000</v>
      </c>
      <c r="H58" s="279" t="inlineStr">
        <is>
          <t>실적</t>
        </is>
      </c>
    </row>
    <row r="59">
      <c r="A59" s="344" t="n">
        <v>46051</v>
      </c>
      <c r="B59" s="279" t="n">
        <v>1</v>
      </c>
      <c r="C59" s="279" t="inlineStr">
        <is>
          <t>473330</t>
        </is>
      </c>
      <c r="D59" s="279" t="inlineStr">
        <is>
          <t>SOL 미국 30년국채커버드콜(합성)</t>
        </is>
      </c>
      <c r="E59" s="280" t="n">
        <v>72000</v>
      </c>
      <c r="F59" s="341" t="n"/>
      <c r="G59" s="280" t="n">
        <v>72000</v>
      </c>
      <c r="H59" s="279" t="inlineStr">
        <is>
          <t>실적</t>
        </is>
      </c>
    </row>
    <row r="60">
      <c r="A60" s="344" t="n">
        <v>46051</v>
      </c>
      <c r="B60" s="279" t="n">
        <v>1</v>
      </c>
      <c r="C60" s="279" t="inlineStr">
        <is>
          <t>475380</t>
        </is>
      </c>
      <c r="D60" s="279" t="inlineStr">
        <is>
          <t>RISE 글로벌리얼티인컴</t>
        </is>
      </c>
      <c r="E60" s="280" t="n">
        <v>3131</v>
      </c>
      <c r="F60" s="341" t="n"/>
      <c r="G60" s="280" t="n">
        <v>3131</v>
      </c>
      <c r="H60" s="279" t="inlineStr">
        <is>
          <t>실적</t>
        </is>
      </c>
    </row>
    <row r="61">
      <c r="A61" s="344" t="n">
        <v>46051</v>
      </c>
      <c r="B61" s="279" t="n">
        <v>1</v>
      </c>
      <c r="C61" s="279" t="inlineStr">
        <is>
          <t>476550</t>
        </is>
      </c>
      <c r="D61" s="279" t="inlineStr">
        <is>
          <t>TIGER 미국30년국채커버드콜액티브(H)</t>
        </is>
      </c>
      <c r="E61" s="280" t="n">
        <v>33187</v>
      </c>
      <c r="F61" s="341" t="n"/>
      <c r="G61" s="280" t="n">
        <v>33187</v>
      </c>
      <c r="H61" s="279" t="inlineStr">
        <is>
          <t>실적</t>
        </is>
      </c>
    </row>
    <row r="62">
      <c r="A62" s="344" t="n">
        <v>46051</v>
      </c>
      <c r="B62" s="279" t="n">
        <v>1</v>
      </c>
      <c r="C62" s="279" t="inlineStr">
        <is>
          <t>476690</t>
        </is>
      </c>
      <c r="D62" s="279" t="inlineStr">
        <is>
          <t>TIGER 글로벌비만치료제 TOP2 Plus</t>
        </is>
      </c>
      <c r="E62" s="280" t="n">
        <v>1200</v>
      </c>
      <c r="F62" s="341" t="n"/>
      <c r="G62" s="280" t="n">
        <v>1200</v>
      </c>
      <c r="H62" s="279" t="inlineStr">
        <is>
          <t>실적</t>
        </is>
      </c>
    </row>
    <row r="63">
      <c r="A63" s="344" t="n">
        <v>46051</v>
      </c>
      <c r="B63" s="279" t="n">
        <v>1</v>
      </c>
      <c r="C63" s="279" t="inlineStr">
        <is>
          <t>482730</t>
        </is>
      </c>
      <c r="D63" s="279" t="inlineStr">
        <is>
          <t>미국S&amp;P500타겟데일리커버드콜</t>
        </is>
      </c>
      <c r="E63" s="280" t="n">
        <v>42500</v>
      </c>
      <c r="F63" s="341" t="n"/>
      <c r="G63" s="280" t="n">
        <v>42500</v>
      </c>
      <c r="H63" s="279" t="inlineStr">
        <is>
          <t>실적</t>
        </is>
      </c>
    </row>
    <row r="64">
      <c r="A64" s="344" t="n">
        <v>46051</v>
      </c>
      <c r="B64" s="279" t="n">
        <v>1</v>
      </c>
      <c r="C64" s="279" t="inlineStr">
        <is>
          <t>483280</t>
        </is>
      </c>
      <c r="D64" s="279" t="inlineStr">
        <is>
          <t>KODEX 미국AI테크TOP10타겟커버드콜</t>
        </is>
      </c>
      <c r="E64" s="280" t="n">
        <v>353934</v>
      </c>
      <c r="F64" s="341" t="n"/>
      <c r="G64" s="280" t="n">
        <v>353934</v>
      </c>
      <c r="H64" s="279" t="inlineStr">
        <is>
          <t>실적</t>
        </is>
      </c>
    </row>
    <row r="65">
      <c r="A65" s="344" t="n">
        <v>46051</v>
      </c>
      <c r="B65" s="279" t="n">
        <v>1</v>
      </c>
      <c r="C65" s="279" t="inlineStr">
        <is>
          <t>498270</t>
        </is>
      </c>
      <c r="D65" s="279" t="inlineStr">
        <is>
          <t>KIWOOM 미국양자컴퓨팅</t>
        </is>
      </c>
      <c r="E65" s="280" t="n">
        <v>5940</v>
      </c>
      <c r="F65" s="341" t="n"/>
      <c r="G65" s="280" t="n">
        <v>5940</v>
      </c>
      <c r="H65" s="279" t="inlineStr">
        <is>
          <t>실적</t>
        </is>
      </c>
    </row>
    <row r="66">
      <c r="A66" s="344" t="n">
        <v>46051</v>
      </c>
      <c r="B66" s="279" t="n">
        <v>1</v>
      </c>
      <c r="C66" s="279" t="inlineStr">
        <is>
          <t>498410</t>
        </is>
      </c>
      <c r="D66" s="279" t="inlineStr">
        <is>
          <t>KODEX금융고배당TOP10타겟위클리커버드콜</t>
        </is>
      </c>
      <c r="E66" s="280" t="n">
        <v>368435</v>
      </c>
      <c r="F66" s="341" t="n"/>
      <c r="G66" s="280" t="n">
        <v>368435</v>
      </c>
      <c r="H66" s="279" t="inlineStr">
        <is>
          <t>실적</t>
        </is>
      </c>
    </row>
    <row r="67">
      <c r="A67" s="344" t="n">
        <v>46052</v>
      </c>
      <c r="B67" s="279" t="n">
        <v>1</v>
      </c>
      <c r="C67" s="279" t="inlineStr">
        <is>
          <t>O</t>
        </is>
      </c>
      <c r="D67" s="279" t="inlineStr">
        <is>
          <t>리얼티인컴</t>
        </is>
      </c>
      <c r="E67" s="280" t="n"/>
      <c r="F67" s="341" t="n">
        <v>14.31</v>
      </c>
      <c r="G67" s="280" t="n">
        <v>19633.32</v>
      </c>
      <c r="H67" s="279" t="inlineStr">
        <is>
          <t>실적</t>
        </is>
      </c>
    </row>
    <row r="68">
      <c r="A68" s="344" t="n">
        <v>46062</v>
      </c>
      <c r="B68" s="279" t="n">
        <v>2</v>
      </c>
      <c r="C68" s="279" t="inlineStr">
        <is>
          <t>AAPL</t>
        </is>
      </c>
      <c r="D68" s="279" t="inlineStr">
        <is>
          <t>애플</t>
        </is>
      </c>
      <c r="E68" s="280" t="n"/>
      <c r="F68" s="341" t="n">
        <v>2.34</v>
      </c>
      <c r="G68" s="280" t="n">
        <v>3210.48</v>
      </c>
      <c r="H68" s="279" t="inlineStr">
        <is>
          <t>실적</t>
        </is>
      </c>
    </row>
    <row r="69">
      <c r="A69" s="344" t="n">
        <v>46065</v>
      </c>
      <c r="B69" s="279" t="n">
        <v>2</v>
      </c>
      <c r="C69" s="279" t="inlineStr">
        <is>
          <t>0008S0</t>
        </is>
      </c>
      <c r="D69" s="279" t="inlineStr">
        <is>
          <t>TIGER 미국배당다우존스타겟데일리커버드콜</t>
        </is>
      </c>
      <c r="E69" s="280" t="n">
        <v>306000</v>
      </c>
      <c r="F69" s="341" t="n"/>
      <c r="G69" s="280" t="n">
        <v>306000</v>
      </c>
      <c r="H69" s="279" t="inlineStr">
        <is>
          <t>실적</t>
        </is>
      </c>
    </row>
    <row r="70">
      <c r="A70" s="344" t="n">
        <v>46065</v>
      </c>
      <c r="B70" s="279" t="n">
        <v>2</v>
      </c>
      <c r="C70" s="279" t="inlineStr">
        <is>
          <t>474220</t>
        </is>
      </c>
      <c r="D70" s="279" t="inlineStr">
        <is>
          <t>TIGER미국테크TOP10커버드콜</t>
        </is>
      </c>
      <c r="E70" s="280" t="n">
        <v>589659</v>
      </c>
      <c r="F70" s="341" t="n"/>
      <c r="G70" s="280" t="n">
        <v>589659</v>
      </c>
      <c r="H70" s="279" t="inlineStr">
        <is>
          <t>실적</t>
        </is>
      </c>
    </row>
    <row r="71">
      <c r="A71" s="344" t="n">
        <v>46065</v>
      </c>
      <c r="B71" s="279" t="n">
        <v>2</v>
      </c>
      <c r="C71" s="279" t="inlineStr">
        <is>
          <t>481060</t>
        </is>
      </c>
      <c r="D71" s="279" t="inlineStr">
        <is>
          <t>KODEX 미국30년국채타겟커버드콜(H)</t>
        </is>
      </c>
      <c r="E71" s="280" t="n">
        <v>253980</v>
      </c>
      <c r="F71" s="341" t="n"/>
      <c r="G71" s="280" t="n">
        <v>253980</v>
      </c>
      <c r="H71" s="279" t="inlineStr">
        <is>
          <t>실적</t>
        </is>
      </c>
    </row>
    <row r="72">
      <c r="A72" s="344" t="n">
        <v>46065</v>
      </c>
      <c r="B72" s="279" t="n">
        <v>2</v>
      </c>
      <c r="C72" s="279" t="inlineStr">
        <is>
          <t>490490</t>
        </is>
      </c>
      <c r="D72" s="279" t="inlineStr">
        <is>
          <t>SOL미국배당미국채혼합50</t>
        </is>
      </c>
      <c r="E72" s="280" t="n">
        <v>91704</v>
      </c>
      <c r="F72" s="341" t="n"/>
      <c r="G72" s="280" t="n">
        <v>91704</v>
      </c>
      <c r="H72" s="279" t="inlineStr">
        <is>
          <t>실적</t>
        </is>
      </c>
    </row>
    <row r="73">
      <c r="A73" s="344" t="n">
        <v>46065</v>
      </c>
      <c r="B73" s="279" t="n">
        <v>2</v>
      </c>
      <c r="C73" s="279" t="inlineStr">
        <is>
          <t>498400</t>
        </is>
      </c>
      <c r="D73" s="279" t="inlineStr">
        <is>
          <t>KODEX 200타켓위클리커버드콜</t>
        </is>
      </c>
      <c r="E73" s="280" t="n">
        <v>149084</v>
      </c>
      <c r="F73" s="341" t="n"/>
      <c r="G73" s="280" t="n">
        <v>149084</v>
      </c>
      <c r="H73" s="279" t="inlineStr">
        <is>
          <t>실적</t>
        </is>
      </c>
    </row>
    <row r="74">
      <c r="A74" s="344" t="n">
        <v>46065</v>
      </c>
      <c r="B74" s="279" t="n">
        <v>2</v>
      </c>
      <c r="C74" s="279" t="inlineStr">
        <is>
          <t>XOM</t>
        </is>
      </c>
      <c r="D74" s="279" t="inlineStr">
        <is>
          <t>엑슨모빌</t>
        </is>
      </c>
      <c r="E74" s="280" t="n"/>
      <c r="F74" s="341" t="n">
        <v>1.03</v>
      </c>
      <c r="G74" s="280" t="n">
        <v>1413.16</v>
      </c>
      <c r="H74" s="279" t="inlineStr">
        <is>
          <t>실적</t>
        </is>
      </c>
    </row>
    <row r="75">
      <c r="A75" s="344" t="n">
        <v>46066</v>
      </c>
      <c r="B75" s="279" t="n">
        <v>2</v>
      </c>
      <c r="C75" s="279" t="inlineStr">
        <is>
          <t>SBUX</t>
        </is>
      </c>
      <c r="D75" s="279" t="inlineStr">
        <is>
          <t>스타벅스</t>
        </is>
      </c>
      <c r="E75" s="280" t="n"/>
      <c r="F75" s="341" t="n">
        <v>1.24</v>
      </c>
      <c r="G75" s="280" t="n">
        <v>1701.28</v>
      </c>
      <c r="H75" s="279" t="inlineStr">
        <is>
          <t>실적</t>
        </is>
      </c>
    </row>
    <row r="76">
      <c r="A76" s="344" t="n">
        <v>46070</v>
      </c>
      <c r="B76" s="279" t="n">
        <v>2</v>
      </c>
      <c r="C76" s="279" t="inlineStr">
        <is>
          <t>CVX</t>
        </is>
      </c>
      <c r="D76" s="279" t="inlineStr">
        <is>
          <t>셰브론</t>
        </is>
      </c>
      <c r="E76" s="280" t="n"/>
      <c r="F76" s="341" t="n">
        <v>1.78</v>
      </c>
      <c r="G76" s="280" t="n">
        <v>2442.16</v>
      </c>
      <c r="H76" s="279" t="inlineStr">
        <is>
          <t>실적</t>
        </is>
      </c>
    </row>
    <row r="77">
      <c r="A77" s="344" t="n">
        <v>46072</v>
      </c>
      <c r="B77" s="279" t="n">
        <v>2</v>
      </c>
      <c r="C77" s="279" t="inlineStr">
        <is>
          <t>MSFT</t>
        </is>
      </c>
      <c r="D77" s="279" t="inlineStr">
        <is>
          <t>마이크로소프트</t>
        </is>
      </c>
      <c r="E77" s="280" t="n"/>
      <c r="F77" s="341" t="n">
        <v>1.82</v>
      </c>
      <c r="G77" s="280" t="n">
        <v>2497.04</v>
      </c>
      <c r="H77" s="279" t="inlineStr">
        <is>
          <t>실적</t>
        </is>
      </c>
    </row>
    <row r="78">
      <c r="A78" s="344" t="n">
        <v>46079</v>
      </c>
      <c r="B78" s="279" t="n">
        <v>2</v>
      </c>
      <c r="C78" s="279" t="inlineStr">
        <is>
          <t>005389</t>
        </is>
      </c>
      <c r="D78" s="279" t="inlineStr">
        <is>
          <t>현대차3우B</t>
        </is>
      </c>
      <c r="E78" s="280" t="n">
        <v>33150</v>
      </c>
      <c r="F78" s="341" t="n"/>
      <c r="G78" s="280" t="n">
        <v>33150</v>
      </c>
      <c r="H78" s="279" t="inlineStr">
        <is>
          <t>실적</t>
        </is>
      </c>
    </row>
    <row r="79">
      <c r="A79" s="344" t="n">
        <v>46079</v>
      </c>
      <c r="B79" s="279" t="n">
        <v>2</v>
      </c>
      <c r="C79" s="279" t="n">
        <v>105560</v>
      </c>
      <c r="D79" s="279" t="inlineStr">
        <is>
          <t>KB금융</t>
        </is>
      </c>
      <c r="E79" s="280" t="n">
        <v>19260</v>
      </c>
      <c r="F79" s="341" t="n"/>
      <c r="G79" s="280" t="n">
        <v>19260</v>
      </c>
      <c r="H79" s="279" t="inlineStr">
        <is>
          <t>실적</t>
        </is>
      </c>
    </row>
    <row r="80">
      <c r="A80" s="344" t="n">
        <v>46079</v>
      </c>
      <c r="B80" s="279" t="n">
        <v>2</v>
      </c>
      <c r="C80" s="279" t="inlineStr">
        <is>
          <t>329200</t>
        </is>
      </c>
      <c r="D80" s="279" t="inlineStr">
        <is>
          <t>TIGER리츠부동산인프라</t>
        </is>
      </c>
      <c r="E80" s="280" t="n">
        <v>165000</v>
      </c>
      <c r="F80" s="341" t="n"/>
      <c r="G80" s="280" t="n">
        <v>165000</v>
      </c>
      <c r="H80" s="279" t="inlineStr">
        <is>
          <t>실적</t>
        </is>
      </c>
    </row>
    <row r="81">
      <c r="A81" s="344" t="n">
        <v>46079</v>
      </c>
      <c r="B81" s="279" t="n">
        <v>2</v>
      </c>
      <c r="C81" s="279" t="inlineStr">
        <is>
          <t>433330</t>
        </is>
      </c>
      <c r="D81" s="279" t="inlineStr">
        <is>
          <t>SOL 미국 S&amp;P500</t>
        </is>
      </c>
      <c r="E81" s="280" t="n">
        <v>17836</v>
      </c>
      <c r="F81" s="341" t="n"/>
      <c r="G81" s="280" t="n">
        <v>17836</v>
      </c>
      <c r="H81" s="279" t="inlineStr">
        <is>
          <t>실적</t>
        </is>
      </c>
    </row>
    <row r="82">
      <c r="A82" s="344" t="n">
        <v>46079</v>
      </c>
      <c r="B82" s="279" t="n">
        <v>2</v>
      </c>
      <c r="C82" s="279" t="inlineStr">
        <is>
          <t>446720</t>
        </is>
      </c>
      <c r="D82" s="279" t="inlineStr">
        <is>
          <t>SOL 미국배당다우존스</t>
        </is>
      </c>
      <c r="E82" s="280" t="n">
        <v>46550</v>
      </c>
      <c r="F82" s="341" t="n"/>
      <c r="G82" s="280" t="n">
        <v>46550</v>
      </c>
      <c r="H82" s="279" t="inlineStr">
        <is>
          <t>실적</t>
        </is>
      </c>
    </row>
    <row r="83">
      <c r="A83" s="344" t="n">
        <v>46079</v>
      </c>
      <c r="B83" s="279" t="n">
        <v>2</v>
      </c>
      <c r="C83" s="279" t="inlineStr">
        <is>
          <t>458760</t>
        </is>
      </c>
      <c r="D83" s="279" t="inlineStr">
        <is>
          <t>TIGER 미배당다우커버드콜2호</t>
        </is>
      </c>
      <c r="E83" s="280" t="n">
        <v>1443182</v>
      </c>
      <c r="F83" s="341" t="n"/>
      <c r="G83" s="280" t="n">
        <v>1443182</v>
      </c>
      <c r="H83" s="279" t="inlineStr">
        <is>
          <t>실적</t>
        </is>
      </c>
    </row>
    <row r="84">
      <c r="A84" s="344" t="n">
        <v>46079</v>
      </c>
      <c r="B84" s="279" t="n">
        <v>2</v>
      </c>
      <c r="C84" s="279" t="inlineStr">
        <is>
          <t>468380</t>
        </is>
      </c>
      <c r="D84" s="279" t="inlineStr">
        <is>
          <t>KODEX iShares미국하이일드액티브</t>
        </is>
      </c>
      <c r="E84" s="280" t="n">
        <v>128000</v>
      </c>
      <c r="F84" s="341" t="n"/>
      <c r="G84" s="280" t="n">
        <v>128000</v>
      </c>
      <c r="H84" s="279" t="inlineStr">
        <is>
          <t>실적</t>
        </is>
      </c>
    </row>
    <row r="85">
      <c r="A85" s="344" t="n">
        <v>46079</v>
      </c>
      <c r="B85" s="279" t="n">
        <v>2</v>
      </c>
      <c r="C85" s="279" t="inlineStr">
        <is>
          <t>473330</t>
        </is>
      </c>
      <c r="D85" s="279" t="inlineStr">
        <is>
          <t>SOL 미국 30년국채커버드콜(합성)</t>
        </is>
      </c>
      <c r="E85" s="280" t="n">
        <v>72000</v>
      </c>
      <c r="F85" s="341" t="n"/>
      <c r="G85" s="280" t="n">
        <v>72000</v>
      </c>
      <c r="H85" s="279" t="inlineStr">
        <is>
          <t>실적</t>
        </is>
      </c>
    </row>
    <row r="86">
      <c r="A86" s="344" t="n">
        <v>46079</v>
      </c>
      <c r="B86" s="279" t="n">
        <v>2</v>
      </c>
      <c r="C86" s="279" t="inlineStr">
        <is>
          <t>475380</t>
        </is>
      </c>
      <c r="D86" s="279" t="inlineStr">
        <is>
          <t>RISE 글로벌리얼티인컴</t>
        </is>
      </c>
      <c r="E86" s="280" t="n">
        <v>3131</v>
      </c>
      <c r="F86" s="341" t="n"/>
      <c r="G86" s="280" t="n">
        <v>3131</v>
      </c>
      <c r="H86" s="279" t="inlineStr">
        <is>
          <t>실적</t>
        </is>
      </c>
    </row>
    <row r="87">
      <c r="A87" s="344" t="n">
        <v>46079</v>
      </c>
      <c r="B87" s="279" t="n">
        <v>2</v>
      </c>
      <c r="C87" s="279" t="inlineStr">
        <is>
          <t>476550</t>
        </is>
      </c>
      <c r="D87" s="279" t="inlineStr">
        <is>
          <t>TIGER 미국30년국채커버드콜액티브(H)</t>
        </is>
      </c>
      <c r="E87" s="280" t="n">
        <v>33187</v>
      </c>
      <c r="F87" s="341" t="n"/>
      <c r="G87" s="280" t="n">
        <v>33187</v>
      </c>
      <c r="H87" s="279" t="inlineStr">
        <is>
          <t>실적</t>
        </is>
      </c>
    </row>
    <row r="88">
      <c r="A88" s="344" t="n">
        <v>46079</v>
      </c>
      <c r="B88" s="279" t="n">
        <v>2</v>
      </c>
      <c r="C88" s="279" t="inlineStr">
        <is>
          <t>476690</t>
        </is>
      </c>
      <c r="D88" s="279" t="inlineStr">
        <is>
          <t>TIGER 글로벌비만치료제 TOP2 Plus</t>
        </is>
      </c>
      <c r="E88" s="280" t="n">
        <v>1200</v>
      </c>
      <c r="F88" s="341" t="n"/>
      <c r="G88" s="280" t="n">
        <v>1200</v>
      </c>
      <c r="H88" s="279" t="inlineStr">
        <is>
          <t>실적</t>
        </is>
      </c>
    </row>
    <row r="89">
      <c r="A89" s="344" t="n">
        <v>46079</v>
      </c>
      <c r="B89" s="279" t="n">
        <v>2</v>
      </c>
      <c r="C89" s="279" t="inlineStr">
        <is>
          <t>482730</t>
        </is>
      </c>
      <c r="D89" s="279" t="inlineStr">
        <is>
          <t>미국S&amp;P500타겟데일리커버드콜</t>
        </is>
      </c>
      <c r="E89" s="280" t="n">
        <v>41225</v>
      </c>
      <c r="F89" s="341" t="n"/>
      <c r="G89" s="280" t="n">
        <v>41225</v>
      </c>
      <c r="H89" s="279" t="inlineStr">
        <is>
          <t>실적</t>
        </is>
      </c>
    </row>
    <row r="90">
      <c r="A90" s="344" t="n">
        <v>46079</v>
      </c>
      <c r="B90" s="279" t="n">
        <v>2</v>
      </c>
      <c r="C90" s="279" t="inlineStr">
        <is>
          <t>483280</t>
        </is>
      </c>
      <c r="D90" s="279" t="inlineStr">
        <is>
          <t>KODEX 미국AI테크TOP10타겟커버드콜</t>
        </is>
      </c>
      <c r="E90" s="280" t="n">
        <v>331674</v>
      </c>
      <c r="F90" s="341" t="n"/>
      <c r="G90" s="280" t="n">
        <v>331674</v>
      </c>
      <c r="H90" s="279" t="inlineStr">
        <is>
          <t>실적</t>
        </is>
      </c>
    </row>
    <row r="91">
      <c r="A91" s="344" t="n">
        <v>46079</v>
      </c>
      <c r="B91" s="279" t="n">
        <v>2</v>
      </c>
      <c r="C91" s="279" t="inlineStr">
        <is>
          <t>498410</t>
        </is>
      </c>
      <c r="D91" s="279" t="inlineStr">
        <is>
          <t>KODEX금융고배당TOP10타겟위클리커버드콜</t>
        </is>
      </c>
      <c r="E91" s="280" t="n">
        <v>449253</v>
      </c>
      <c r="F91" s="341" t="n"/>
      <c r="G91" s="280" t="n">
        <v>449253</v>
      </c>
      <c r="H91" s="279" t="inlineStr">
        <is>
          <t>실적</t>
        </is>
      </c>
    </row>
    <row r="92">
      <c r="A92" s="344" t="n">
        <v>46080</v>
      </c>
      <c r="B92" s="279" t="n">
        <v>2</v>
      </c>
      <c r="C92" s="279" t="inlineStr">
        <is>
          <t>O</t>
        </is>
      </c>
      <c r="D92" s="279" t="inlineStr">
        <is>
          <t>리얼티인컴</t>
        </is>
      </c>
      <c r="E92" s="280" t="n"/>
      <c r="F92" s="341" t="n">
        <v>14.31</v>
      </c>
      <c r="G92" s="280" t="n">
        <v>19633.32</v>
      </c>
      <c r="H92" s="279" t="inlineStr">
        <is>
          <t>실적</t>
        </is>
      </c>
    </row>
    <row r="93">
      <c r="A93" s="344" t="n">
        <v>46080</v>
      </c>
      <c r="B93" s="279" t="n">
        <v>2</v>
      </c>
      <c r="C93" s="279" t="inlineStr">
        <is>
          <t>TMUS</t>
        </is>
      </c>
      <c r="D93" s="279" t="inlineStr">
        <is>
          <t>T-모바일</t>
        </is>
      </c>
      <c r="E93" s="280" t="n"/>
      <c r="F93" s="341" t="n">
        <v>4.08</v>
      </c>
      <c r="G93" s="280" t="n">
        <v>5597.76</v>
      </c>
      <c r="H93" s="279" t="inlineStr">
        <is>
          <t>실적</t>
        </is>
      </c>
    </row>
    <row r="94">
      <c r="A94" s="344" t="n">
        <v>46083</v>
      </c>
      <c r="B94" s="279" t="n">
        <v>3</v>
      </c>
      <c r="C94" s="279" t="inlineStr">
        <is>
          <t>NKE</t>
        </is>
      </c>
      <c r="D94" s="279" t="inlineStr">
        <is>
          <t>나이키</t>
        </is>
      </c>
      <c r="E94" s="280" t="n"/>
      <c r="F94" s="341" t="n">
        <v>4.1</v>
      </c>
      <c r="G94" s="280" t="n">
        <v>5625.2</v>
      </c>
      <c r="H94" s="279" t="inlineStr">
        <is>
          <t>실적</t>
        </is>
      </c>
    </row>
    <row r="95">
      <c r="A95" s="344" t="n">
        <v>46093</v>
      </c>
      <c r="B95" s="279" t="n">
        <v>3</v>
      </c>
      <c r="C95" s="279" t="inlineStr">
        <is>
          <t>0008S0</t>
        </is>
      </c>
      <c r="D95" s="279" t="inlineStr">
        <is>
          <t>TIGER 미국배당다우존스타겟데일리커버드콜</t>
        </is>
      </c>
      <c r="E95" s="280" t="n">
        <v>303000</v>
      </c>
      <c r="F95" s="341" t="n"/>
      <c r="G95" s="280" t="n">
        <v>303000</v>
      </c>
      <c r="H95" s="279" t="inlineStr">
        <is>
          <t>실적</t>
        </is>
      </c>
    </row>
    <row r="96">
      <c r="A96" s="344" t="n">
        <v>46093</v>
      </c>
      <c r="B96" s="279" t="n">
        <v>3</v>
      </c>
      <c r="C96" s="279" t="inlineStr">
        <is>
          <t>352820</t>
        </is>
      </c>
      <c r="D96" s="279" t="inlineStr">
        <is>
          <t>하이브</t>
        </is>
      </c>
      <c r="E96" s="280" t="n">
        <v>9000</v>
      </c>
      <c r="F96" s="341" t="n"/>
      <c r="G96" s="280" t="n">
        <v>9000</v>
      </c>
      <c r="H96" s="279" t="inlineStr">
        <is>
          <t>실적</t>
        </is>
      </c>
    </row>
    <row r="97">
      <c r="A97" s="344" t="n">
        <v>46093</v>
      </c>
      <c r="B97" s="279" t="n">
        <v>3</v>
      </c>
      <c r="C97" s="279" t="inlineStr">
        <is>
          <t>474220</t>
        </is>
      </c>
      <c r="D97" s="279" t="inlineStr">
        <is>
          <t>TIGER미국테크TOP10커버드콜</t>
        </is>
      </c>
      <c r="E97" s="280" t="n">
        <v>575946</v>
      </c>
      <c r="F97" s="341" t="n"/>
      <c r="G97" s="280" t="n">
        <v>575946</v>
      </c>
      <c r="H97" s="279" t="inlineStr">
        <is>
          <t>실적</t>
        </is>
      </c>
    </row>
    <row r="98">
      <c r="A98" s="344" t="n">
        <v>46093</v>
      </c>
      <c r="B98" s="279" t="n">
        <v>3</v>
      </c>
      <c r="C98" s="279" t="inlineStr">
        <is>
          <t>481060</t>
        </is>
      </c>
      <c r="D98" s="279" t="inlineStr">
        <is>
          <t>KODEX 미국30년국채타겟커버드콜(H)</t>
        </is>
      </c>
      <c r="E98" s="280" t="n">
        <v>250920</v>
      </c>
      <c r="F98" s="341" t="n"/>
      <c r="G98" s="280" t="n">
        <v>250920</v>
      </c>
      <c r="H98" s="279" t="inlineStr">
        <is>
          <t>실적</t>
        </is>
      </c>
    </row>
    <row r="99">
      <c r="A99" s="344" t="n">
        <v>46093</v>
      </c>
      <c r="B99" s="279" t="n">
        <v>3</v>
      </c>
      <c r="C99" s="279" t="inlineStr">
        <is>
          <t>490490</t>
        </is>
      </c>
      <c r="D99" s="279" t="inlineStr">
        <is>
          <t>SOL미국배당미국채혼합50</t>
        </is>
      </c>
      <c r="E99" s="280" t="n">
        <v>114630</v>
      </c>
      <c r="F99" s="341" t="n"/>
      <c r="G99" s="280" t="n">
        <v>114630</v>
      </c>
      <c r="H99" s="279" t="inlineStr">
        <is>
          <t>실적</t>
        </is>
      </c>
    </row>
    <row r="100">
      <c r="A100" s="344" t="n">
        <v>46093</v>
      </c>
      <c r="B100" s="279" t="n">
        <v>3</v>
      </c>
      <c r="C100" s="279" t="inlineStr">
        <is>
          <t>498400</t>
        </is>
      </c>
      <c r="D100" s="279" t="inlineStr">
        <is>
          <t>KODEX 200타켓위클리커버드콜</t>
        </is>
      </c>
      <c r="E100" s="280" t="n">
        <v>153972</v>
      </c>
      <c r="F100" s="341" t="n"/>
      <c r="G100" s="280" t="n">
        <v>153972</v>
      </c>
      <c r="H100" s="279" t="inlineStr">
        <is>
          <t>실적</t>
        </is>
      </c>
    </row>
    <row r="101">
      <c r="A101" s="344" t="n">
        <v>46098</v>
      </c>
      <c r="B101" s="279" t="n">
        <v>3</v>
      </c>
      <c r="C101" s="279" t="inlineStr">
        <is>
          <t>TSM</t>
        </is>
      </c>
      <c r="D101" s="279" t="inlineStr">
        <is>
          <t>TSMC</t>
        </is>
      </c>
      <c r="E101" s="280" t="n"/>
      <c r="F101" s="341" t="n">
        <v>0.956</v>
      </c>
      <c r="G101" s="280" t="n">
        <v>1311.632</v>
      </c>
      <c r="H101" s="279" t="inlineStr">
        <is>
          <t>실적</t>
        </is>
      </c>
    </row>
    <row r="102">
      <c r="A102" s="344" t="n">
        <v>46105</v>
      </c>
      <c r="B102" s="279" t="n">
        <v>3</v>
      </c>
      <c r="C102" s="279" t="inlineStr">
        <is>
          <t>000270</t>
        </is>
      </c>
      <c r="D102" s="279" t="inlineStr">
        <is>
          <t>기아</t>
        </is>
      </c>
      <c r="E102" s="280" t="n">
        <v>231200</v>
      </c>
      <c r="F102" s="341" t="n"/>
      <c r="G102" s="280" t="n">
        <v>231200</v>
      </c>
      <c r="H102" s="279" t="inlineStr">
        <is>
          <t>실적</t>
        </is>
      </c>
    </row>
    <row r="103">
      <c r="A103" s="344" t="n">
        <v>46106</v>
      </c>
      <c r="B103" s="279" t="n">
        <v>3</v>
      </c>
      <c r="C103" s="279" t="inlineStr">
        <is>
          <t>QLD</t>
        </is>
      </c>
      <c r="D103" s="279" t="inlineStr">
        <is>
          <t>QLD</t>
        </is>
      </c>
      <c r="E103" s="280" t="n"/>
      <c r="F103" s="341" t="n">
        <v>0.806</v>
      </c>
      <c r="G103" s="280" t="n">
        <v>1105.832</v>
      </c>
      <c r="H103" s="279" t="inlineStr">
        <is>
          <t>실적</t>
        </is>
      </c>
    </row>
    <row r="104">
      <c r="A104" s="344" t="n">
        <v>46106</v>
      </c>
      <c r="B104" s="279" t="n">
        <v>3</v>
      </c>
      <c r="C104" s="279" t="inlineStr">
        <is>
          <t>SCHD</t>
        </is>
      </c>
      <c r="D104" s="279" t="inlineStr">
        <is>
          <t>SCHD</t>
        </is>
      </c>
      <c r="E104" s="280" t="n"/>
      <c r="F104" s="341" t="n">
        <v>6.168</v>
      </c>
      <c r="G104" s="280" t="n">
        <v>8462.496000000001</v>
      </c>
      <c r="H104" s="279" t="inlineStr">
        <is>
          <t>실적</t>
        </is>
      </c>
    </row>
    <row r="105">
      <c r="A105" s="345" t="n">
        <v>46109</v>
      </c>
      <c r="B105" s="288" t="n">
        <v>3</v>
      </c>
      <c r="C105" s="288" t="inlineStr">
        <is>
          <t>005389</t>
        </is>
      </c>
      <c r="D105" s="288" t="inlineStr">
        <is>
          <t>현대차3우B</t>
        </is>
      </c>
      <c r="E105" s="289" t="n">
        <v>26000</v>
      </c>
      <c r="F105" s="343" t="n"/>
      <c r="G105" s="289" t="n">
        <v>26000</v>
      </c>
      <c r="H105" s="288" t="inlineStr">
        <is>
          <t>예측</t>
        </is>
      </c>
    </row>
    <row r="106">
      <c r="A106" s="345" t="n">
        <v>46109</v>
      </c>
      <c r="B106" s="288" t="n">
        <v>3</v>
      </c>
      <c r="C106" s="288" t="n">
        <v>105560</v>
      </c>
      <c r="D106" s="288" t="inlineStr">
        <is>
          <t>KB금융</t>
        </is>
      </c>
      <c r="E106" s="289" t="n">
        <v>9408</v>
      </c>
      <c r="F106" s="343" t="n"/>
      <c r="G106" s="289" t="n">
        <v>9408</v>
      </c>
      <c r="H106" s="288" t="inlineStr">
        <is>
          <t>예측</t>
        </is>
      </c>
    </row>
    <row r="107">
      <c r="A107" s="344" t="n">
        <v>46111</v>
      </c>
      <c r="B107" s="279" t="n">
        <v>3</v>
      </c>
      <c r="C107" s="279" t="inlineStr">
        <is>
          <t>005930</t>
        </is>
      </c>
      <c r="D107" s="279" t="inlineStr">
        <is>
          <t>삼성전자</t>
        </is>
      </c>
      <c r="E107" s="280" t="n">
        <v>36828</v>
      </c>
      <c r="F107" s="341" t="n"/>
      <c r="G107" s="280" t="n">
        <v>36828</v>
      </c>
      <c r="H107" s="279" t="inlineStr">
        <is>
          <t>실적</t>
        </is>
      </c>
    </row>
    <row r="108">
      <c r="A108" s="344" t="n">
        <v>46111</v>
      </c>
      <c r="B108" s="279" t="n">
        <v>3</v>
      </c>
      <c r="C108" s="279" t="inlineStr">
        <is>
          <t>024110</t>
        </is>
      </c>
      <c r="D108" s="279" t="inlineStr">
        <is>
          <t>기업은행</t>
        </is>
      </c>
      <c r="E108" s="280" t="n">
        <v>187592</v>
      </c>
      <c r="F108" s="341" t="n"/>
      <c r="G108" s="280" t="n">
        <v>187592</v>
      </c>
      <c r="H108" s="279" t="inlineStr">
        <is>
          <t>실적</t>
        </is>
      </c>
    </row>
    <row r="109">
      <c r="A109" s="344" t="n">
        <v>46111</v>
      </c>
      <c r="B109" s="279" t="n">
        <v>3</v>
      </c>
      <c r="C109" s="279" t="inlineStr">
        <is>
          <t>329200</t>
        </is>
      </c>
      <c r="D109" s="279" t="inlineStr">
        <is>
          <t>TIGER리츠부동산인프라</t>
        </is>
      </c>
      <c r="E109" s="280" t="n">
        <v>165000</v>
      </c>
      <c r="F109" s="341" t="n"/>
      <c r="G109" s="280" t="n">
        <v>165000</v>
      </c>
      <c r="H109" s="279" t="inlineStr">
        <is>
          <t>실적</t>
        </is>
      </c>
    </row>
    <row r="110">
      <c r="A110" s="344" t="n">
        <v>46111</v>
      </c>
      <c r="B110" s="279" t="n">
        <v>3</v>
      </c>
      <c r="C110" s="279" t="inlineStr">
        <is>
          <t>433330</t>
        </is>
      </c>
      <c r="D110" s="279" t="inlineStr">
        <is>
          <t>SOL 미국 S&amp;P500</t>
        </is>
      </c>
      <c r="E110" s="280" t="n">
        <v>26754</v>
      </c>
      <c r="F110" s="341" t="n"/>
      <c r="G110" s="280" t="n">
        <v>26754</v>
      </c>
      <c r="H110" s="279" t="inlineStr">
        <is>
          <t>실적</t>
        </is>
      </c>
    </row>
    <row r="111">
      <c r="A111" s="344" t="n">
        <v>46111</v>
      </c>
      <c r="B111" s="279" t="n">
        <v>3</v>
      </c>
      <c r="C111" s="279" t="inlineStr">
        <is>
          <t>446720</t>
        </is>
      </c>
      <c r="D111" s="279" t="inlineStr">
        <is>
          <t>SOL 미국배당다우존스</t>
        </is>
      </c>
      <c r="E111" s="280" t="n">
        <v>43890</v>
      </c>
      <c r="F111" s="341" t="n"/>
      <c r="G111" s="280" t="n">
        <v>43890</v>
      </c>
      <c r="H111" s="279" t="inlineStr">
        <is>
          <t>실적</t>
        </is>
      </c>
    </row>
    <row r="112">
      <c r="A112" s="344" t="n">
        <v>46111</v>
      </c>
      <c r="B112" s="279" t="n">
        <v>3</v>
      </c>
      <c r="C112" s="279" t="inlineStr">
        <is>
          <t>458760</t>
        </is>
      </c>
      <c r="D112" s="279" t="inlineStr">
        <is>
          <t>TIGER 미배당다우커버드콜2호</t>
        </is>
      </c>
      <c r="E112" s="280" t="n">
        <v>1443182</v>
      </c>
      <c r="F112" s="341" t="n"/>
      <c r="G112" s="280" t="n">
        <v>1443182</v>
      </c>
      <c r="H112" s="279" t="inlineStr">
        <is>
          <t>실적</t>
        </is>
      </c>
    </row>
    <row r="113">
      <c r="A113" s="344" t="n">
        <v>46111</v>
      </c>
      <c r="B113" s="279" t="n">
        <v>3</v>
      </c>
      <c r="C113" s="279" t="inlineStr">
        <is>
          <t>468380</t>
        </is>
      </c>
      <c r="D113" s="279" t="inlineStr">
        <is>
          <t>KODEX iShares미국하이일드액티브</t>
        </is>
      </c>
      <c r="E113" s="280" t="n">
        <v>118000</v>
      </c>
      <c r="F113" s="341" t="n"/>
      <c r="G113" s="280" t="n">
        <v>118000</v>
      </c>
      <c r="H113" s="279" t="inlineStr">
        <is>
          <t>실적</t>
        </is>
      </c>
    </row>
    <row r="114">
      <c r="A114" s="344" t="n">
        <v>46111</v>
      </c>
      <c r="B114" s="279" t="n">
        <v>3</v>
      </c>
      <c r="C114" s="279" t="inlineStr">
        <is>
          <t>473330</t>
        </is>
      </c>
      <c r="D114" s="279" t="inlineStr">
        <is>
          <t>SOL 미국 30년국채커버드콜(합성)</t>
        </is>
      </c>
      <c r="E114" s="280" t="n">
        <v>73920</v>
      </c>
      <c r="F114" s="341" t="n"/>
      <c r="G114" s="280" t="n">
        <v>73920</v>
      </c>
      <c r="H114" s="279" t="inlineStr">
        <is>
          <t>실적</t>
        </is>
      </c>
    </row>
    <row r="115">
      <c r="A115" s="344" t="n">
        <v>46111</v>
      </c>
      <c r="B115" s="279" t="n">
        <v>3</v>
      </c>
      <c r="C115" s="279" t="inlineStr">
        <is>
          <t>475380</t>
        </is>
      </c>
      <c r="D115" s="279" t="inlineStr">
        <is>
          <t>RISE 글로벌리얼티인컴</t>
        </is>
      </c>
      <c r="E115" s="280" t="n">
        <v>3333</v>
      </c>
      <c r="F115" s="341" t="n"/>
      <c r="G115" s="280" t="n">
        <v>3333</v>
      </c>
      <c r="H115" s="279" t="inlineStr">
        <is>
          <t>실적</t>
        </is>
      </c>
    </row>
    <row r="116">
      <c r="A116" s="344" t="n">
        <v>46111</v>
      </c>
      <c r="B116" s="279" t="n">
        <v>3</v>
      </c>
      <c r="C116" s="279" t="inlineStr">
        <is>
          <t>476550</t>
        </is>
      </c>
      <c r="D116" s="279" t="inlineStr">
        <is>
          <t>TIGER 미국30년국채커버드콜액티브(H)</t>
        </is>
      </c>
      <c r="E116" s="280" t="n">
        <v>32325</v>
      </c>
      <c r="F116" s="341" t="n"/>
      <c r="G116" s="280" t="n">
        <v>32325</v>
      </c>
      <c r="H116" s="279" t="inlineStr">
        <is>
          <t>실적</t>
        </is>
      </c>
    </row>
    <row r="117">
      <c r="A117" s="344" t="n">
        <v>46111</v>
      </c>
      <c r="B117" s="279" t="n">
        <v>3</v>
      </c>
      <c r="C117" s="279" t="inlineStr">
        <is>
          <t>476690</t>
        </is>
      </c>
      <c r="D117" s="279" t="inlineStr">
        <is>
          <t>TIGER 글로벌비만치료제 TOP2 Plus</t>
        </is>
      </c>
      <c r="E117" s="280" t="n">
        <v>3300</v>
      </c>
      <c r="F117" s="341" t="n"/>
      <c r="G117" s="280" t="n">
        <v>3300</v>
      </c>
      <c r="H117" s="279" t="inlineStr">
        <is>
          <t>실적</t>
        </is>
      </c>
    </row>
    <row r="118">
      <c r="A118" s="344" t="n">
        <v>46111</v>
      </c>
      <c r="B118" s="279" t="n">
        <v>3</v>
      </c>
      <c r="C118" s="279" t="inlineStr">
        <is>
          <t>482730</t>
        </is>
      </c>
      <c r="D118" s="279" t="inlineStr">
        <is>
          <t>미국S&amp;P500타겟데일리커버드콜</t>
        </is>
      </c>
      <c r="E118" s="280" t="n">
        <v>41225</v>
      </c>
      <c r="F118" s="341" t="n"/>
      <c r="G118" s="280" t="n">
        <v>41225</v>
      </c>
      <c r="H118" s="279" t="inlineStr">
        <is>
          <t>실적</t>
        </is>
      </c>
    </row>
    <row r="119">
      <c r="A119" s="344" t="n">
        <v>46111</v>
      </c>
      <c r="B119" s="279" t="n">
        <v>3</v>
      </c>
      <c r="C119" s="279" t="inlineStr">
        <is>
          <t>483280</t>
        </is>
      </c>
      <c r="D119" s="279" t="inlineStr">
        <is>
          <t>KODEX 미국AI테크TOP10타겟커버드콜</t>
        </is>
      </c>
      <c r="E119" s="280" t="n">
        <v>329448</v>
      </c>
      <c r="F119" s="341" t="n"/>
      <c r="G119" s="280" t="n">
        <v>329448</v>
      </c>
      <c r="H119" s="279" t="inlineStr">
        <is>
          <t>실적</t>
        </is>
      </c>
    </row>
    <row r="120">
      <c r="A120" s="344" t="n">
        <v>46111</v>
      </c>
      <c r="B120" s="279" t="n">
        <v>3</v>
      </c>
      <c r="C120" s="279" t="inlineStr">
        <is>
          <t>498410</t>
        </is>
      </c>
      <c r="D120" s="279" t="inlineStr">
        <is>
          <t>KODEX금융고배당TOP10타겟위클리커버드콜</t>
        </is>
      </c>
      <c r="E120" s="280" t="n">
        <v>385074</v>
      </c>
      <c r="F120" s="341" t="n"/>
      <c r="G120" s="280" t="n">
        <v>385074</v>
      </c>
      <c r="H120" s="279" t="inlineStr">
        <is>
          <t>실적</t>
        </is>
      </c>
    </row>
    <row r="121">
      <c r="A121" s="344" t="n">
        <v>46111</v>
      </c>
      <c r="B121" s="279" t="n">
        <v>3</v>
      </c>
      <c r="C121" s="279" t="inlineStr">
        <is>
          <t>NVO</t>
        </is>
      </c>
      <c r="D121" s="279" t="inlineStr">
        <is>
          <t>노보 노디스크</t>
        </is>
      </c>
      <c r="E121" s="280" t="n"/>
      <c r="F121" s="341" t="n">
        <v>19.125</v>
      </c>
      <c r="G121" s="280" t="n">
        <v>26239.5</v>
      </c>
      <c r="H121" s="279" t="inlineStr">
        <is>
          <t>실적</t>
        </is>
      </c>
    </row>
    <row r="122">
      <c r="A122" s="344" t="n">
        <v>46112</v>
      </c>
      <c r="B122" s="279" t="n">
        <v>3</v>
      </c>
      <c r="C122" s="279" t="inlineStr">
        <is>
          <t>O</t>
        </is>
      </c>
      <c r="D122" s="279" t="inlineStr">
        <is>
          <t>리얼티인컴</t>
        </is>
      </c>
      <c r="E122" s="280" t="n"/>
      <c r="F122" s="341" t="n">
        <v>14.363</v>
      </c>
      <c r="G122" s="280" t="n">
        <v>19706.036</v>
      </c>
      <c r="H122" s="279" t="inlineStr">
        <is>
          <t>실적</t>
        </is>
      </c>
    </row>
    <row r="123">
      <c r="A123" s="344" t="n">
        <v>46114</v>
      </c>
      <c r="B123" s="279" t="n">
        <v>4</v>
      </c>
      <c r="C123" s="279" t="inlineStr">
        <is>
          <t>475560</t>
        </is>
      </c>
      <c r="D123" s="279" t="inlineStr">
        <is>
          <t>더본코리아</t>
        </is>
      </c>
      <c r="E123" s="280" t="n">
        <v>7500</v>
      </c>
      <c r="F123" s="341" t="n"/>
      <c r="G123" s="280" t="n">
        <v>7500</v>
      </c>
      <c r="H123" s="279" t="inlineStr">
        <is>
          <t>실적</t>
        </is>
      </c>
    </row>
    <row r="124">
      <c r="A124" s="344" t="n">
        <v>46121</v>
      </c>
      <c r="B124" s="279" t="n">
        <v>4</v>
      </c>
      <c r="C124" s="279" t="inlineStr">
        <is>
          <t>ORCL</t>
        </is>
      </c>
      <c r="D124" s="279" t="inlineStr">
        <is>
          <t>오라클</t>
        </is>
      </c>
      <c r="E124" s="280" t="n"/>
      <c r="F124" s="341" t="n">
        <v>1</v>
      </c>
      <c r="G124" s="280" t="n">
        <v>1372</v>
      </c>
      <c r="H124" s="279" t="inlineStr">
        <is>
          <t>실적</t>
        </is>
      </c>
    </row>
    <row r="125">
      <c r="A125" s="344" t="n">
        <v>46126</v>
      </c>
      <c r="B125" s="279" t="n">
        <v>4</v>
      </c>
      <c r="C125" s="279" t="inlineStr">
        <is>
          <t>0008S0</t>
        </is>
      </c>
      <c r="D125" s="279" t="inlineStr">
        <is>
          <t>TIGER 미국배당다우존스타겟데일리커버드콜</t>
        </is>
      </c>
      <c r="E125" s="280" t="n">
        <v>303000</v>
      </c>
      <c r="F125" s="341" t="n"/>
      <c r="G125" s="280" t="n">
        <v>303000</v>
      </c>
      <c r="H125" s="279" t="inlineStr">
        <is>
          <t>실적</t>
        </is>
      </c>
    </row>
    <row r="126">
      <c r="A126" s="344" t="n">
        <v>46126</v>
      </c>
      <c r="B126" s="279" t="n">
        <v>4</v>
      </c>
      <c r="C126" s="279" t="inlineStr">
        <is>
          <t>474220</t>
        </is>
      </c>
      <c r="D126" s="279" t="inlineStr">
        <is>
          <t>TIGER미국테크TOP10커버드콜</t>
        </is>
      </c>
      <c r="E126" s="280" t="n">
        <v>575946</v>
      </c>
      <c r="F126" s="341" t="n"/>
      <c r="G126" s="280" t="n">
        <v>575946</v>
      </c>
      <c r="H126" s="279" t="inlineStr">
        <is>
          <t>실적</t>
        </is>
      </c>
    </row>
    <row r="127">
      <c r="A127" s="344" t="n">
        <v>46126</v>
      </c>
      <c r="B127" s="279" t="n">
        <v>4</v>
      </c>
      <c r="C127" s="279" t="inlineStr">
        <is>
          <t>481060</t>
        </is>
      </c>
      <c r="D127" s="279" t="inlineStr">
        <is>
          <t>KODEX 미국30년국채타겟커버드콜(H)</t>
        </is>
      </c>
      <c r="E127" s="280" t="n">
        <v>244800</v>
      </c>
      <c r="F127" s="341" t="n"/>
      <c r="G127" s="280" t="n">
        <v>244800</v>
      </c>
      <c r="H127" s="279" t="inlineStr">
        <is>
          <t>실적</t>
        </is>
      </c>
    </row>
    <row r="128">
      <c r="A128" s="344" t="n">
        <v>46126</v>
      </c>
      <c r="B128" s="279" t="n">
        <v>4</v>
      </c>
      <c r="C128" s="279" t="inlineStr">
        <is>
          <t>490490</t>
        </is>
      </c>
      <c r="D128" s="279" t="inlineStr">
        <is>
          <t>SOL미국배당미국채혼합50</t>
        </is>
      </c>
      <c r="E128" s="280" t="n">
        <v>114630</v>
      </c>
      <c r="F128" s="341" t="n"/>
      <c r="G128" s="280" t="n">
        <v>114630</v>
      </c>
      <c r="H128" s="279" t="inlineStr">
        <is>
          <t>실적</t>
        </is>
      </c>
    </row>
    <row r="129">
      <c r="A129" s="344" t="n">
        <v>46126</v>
      </c>
      <c r="B129" s="279" t="n">
        <v>4</v>
      </c>
      <c r="C129" s="279" t="inlineStr">
        <is>
          <t>498400</t>
        </is>
      </c>
      <c r="D129" s="279" t="inlineStr">
        <is>
          <t>KODEX 200타켓위클리커버드콜</t>
        </is>
      </c>
      <c r="E129" s="280" t="n">
        <v>160082</v>
      </c>
      <c r="F129" s="341" t="n"/>
      <c r="G129" s="280" t="n">
        <v>160082</v>
      </c>
      <c r="H129" s="279" t="inlineStr">
        <is>
          <t>실적</t>
        </is>
      </c>
    </row>
    <row r="130">
      <c r="A130" s="344" t="n">
        <v>46126</v>
      </c>
      <c r="B130" s="279" t="n">
        <v>4</v>
      </c>
      <c r="C130" s="279" t="inlineStr">
        <is>
          <t>AMT</t>
        </is>
      </c>
      <c r="D130" s="279" t="inlineStr">
        <is>
          <t>아메리칸타워</t>
        </is>
      </c>
      <c r="E130" s="280" t="n"/>
      <c r="F130" s="341" t="n">
        <v>8.949999999999999</v>
      </c>
      <c r="G130" s="280" t="n">
        <v>12279.4</v>
      </c>
      <c r="H130" s="279" t="inlineStr">
        <is>
          <t>실적</t>
        </is>
      </c>
    </row>
    <row r="131">
      <c r="A131" s="344" t="n">
        <v>46141</v>
      </c>
      <c r="B131" s="279" t="n">
        <v>4</v>
      </c>
      <c r="C131" s="279" t="inlineStr">
        <is>
          <t>133690</t>
        </is>
      </c>
      <c r="D131" s="279" t="inlineStr">
        <is>
          <t>TIGER 미국나스닥100</t>
        </is>
      </c>
      <c r="E131" s="280" t="n">
        <v>13395</v>
      </c>
      <c r="F131" s="341" t="n"/>
      <c r="G131" s="280" t="n">
        <v>13395</v>
      </c>
      <c r="H131" s="279" t="inlineStr">
        <is>
          <t>실적</t>
        </is>
      </c>
    </row>
    <row r="132">
      <c r="A132" s="344" t="n">
        <v>46141</v>
      </c>
      <c r="B132" s="279" t="n">
        <v>4</v>
      </c>
      <c r="C132" s="279" t="inlineStr">
        <is>
          <t>329200</t>
        </is>
      </c>
      <c r="D132" s="279" t="inlineStr">
        <is>
          <t>TIGER리츠부동산인프라</t>
        </is>
      </c>
      <c r="E132" s="280" t="n">
        <v>165000</v>
      </c>
      <c r="F132" s="341" t="n"/>
      <c r="G132" s="280" t="n">
        <v>165000</v>
      </c>
      <c r="H132" s="279" t="inlineStr">
        <is>
          <t>실적</t>
        </is>
      </c>
    </row>
    <row r="133">
      <c r="A133" s="344" t="n">
        <v>46141</v>
      </c>
      <c r="B133" s="279" t="n">
        <v>4</v>
      </c>
      <c r="C133" s="279" t="inlineStr">
        <is>
          <t>360750</t>
        </is>
      </c>
      <c r="D133" s="279" t="inlineStr">
        <is>
          <t>TIGER미국S&amp;P500</t>
        </is>
      </c>
      <c r="E133" s="280" t="n">
        <v>13578</v>
      </c>
      <c r="F133" s="341" t="n"/>
      <c r="G133" s="280" t="n">
        <v>13578</v>
      </c>
      <c r="H133" s="279" t="inlineStr">
        <is>
          <t>실적</t>
        </is>
      </c>
    </row>
    <row r="134">
      <c r="A134" s="345" t="n">
        <v>46141</v>
      </c>
      <c r="B134" s="288" t="n">
        <v>4</v>
      </c>
      <c r="C134" s="288" t="inlineStr">
        <is>
          <t>364980</t>
        </is>
      </c>
      <c r="D134" s="288" t="inlineStr">
        <is>
          <t>TIGER 2차전지TOP10</t>
        </is>
      </c>
      <c r="E134" s="289" t="n">
        <v>5104</v>
      </c>
      <c r="F134" s="343" t="n"/>
      <c r="G134" s="289" t="n">
        <v>5104</v>
      </c>
      <c r="H134" s="288" t="inlineStr">
        <is>
          <t>예측</t>
        </is>
      </c>
    </row>
    <row r="135">
      <c r="A135" s="344" t="n">
        <v>46141</v>
      </c>
      <c r="B135" s="279" t="n">
        <v>4</v>
      </c>
      <c r="C135" s="279" t="inlineStr">
        <is>
          <t>367380</t>
        </is>
      </c>
      <c r="D135" s="279" t="inlineStr">
        <is>
          <t>ACE 미국나스닥100</t>
        </is>
      </c>
      <c r="E135" s="280" t="n">
        <v>13520</v>
      </c>
      <c r="F135" s="341" t="n"/>
      <c r="G135" s="280" t="n">
        <v>13520</v>
      </c>
      <c r="H135" s="279" t="inlineStr">
        <is>
          <t>실적</t>
        </is>
      </c>
    </row>
    <row r="136">
      <c r="A136" s="344" t="n">
        <v>46141</v>
      </c>
      <c r="B136" s="279" t="n">
        <v>4</v>
      </c>
      <c r="C136" s="279" t="inlineStr">
        <is>
          <t>379810</t>
        </is>
      </c>
      <c r="D136" s="279" t="inlineStr">
        <is>
          <t>KODEX 미국나스닥100</t>
        </is>
      </c>
      <c r="E136" s="280" t="n">
        <v>26792</v>
      </c>
      <c r="F136" s="341" t="n"/>
      <c r="G136" s="280" t="n">
        <v>26792</v>
      </c>
      <c r="H136" s="279" t="inlineStr">
        <is>
          <t>실적</t>
        </is>
      </c>
    </row>
    <row r="137">
      <c r="A137" s="344" t="n">
        <v>46141</v>
      </c>
      <c r="B137" s="279" t="n">
        <v>4</v>
      </c>
      <c r="C137" s="279" t="inlineStr">
        <is>
          <t>433330</t>
        </is>
      </c>
      <c r="D137" s="279" t="inlineStr">
        <is>
          <t>SOL 미국 S&amp;P500</t>
        </is>
      </c>
      <c r="E137" s="280" t="n">
        <v>12740</v>
      </c>
      <c r="F137" s="341" t="n"/>
      <c r="G137" s="280" t="n">
        <v>12740</v>
      </c>
      <c r="H137" s="279" t="inlineStr">
        <is>
          <t>실적</t>
        </is>
      </c>
    </row>
    <row r="138">
      <c r="A138" s="344" t="n">
        <v>46141</v>
      </c>
      <c r="B138" s="279" t="n">
        <v>4</v>
      </c>
      <c r="C138" s="279" t="inlineStr">
        <is>
          <t>446720</t>
        </is>
      </c>
      <c r="D138" s="279" t="inlineStr">
        <is>
          <t>SOL 미국배당다우존스</t>
        </is>
      </c>
      <c r="E138" s="280" t="n">
        <v>39900</v>
      </c>
      <c r="F138" s="341" t="n"/>
      <c r="G138" s="280" t="n">
        <v>39900</v>
      </c>
      <c r="H138" s="279" t="inlineStr">
        <is>
          <t>실적</t>
        </is>
      </c>
    </row>
    <row r="139">
      <c r="A139" s="344" t="n">
        <v>46141</v>
      </c>
      <c r="B139" s="279" t="n">
        <v>4</v>
      </c>
      <c r="C139" s="279" t="inlineStr">
        <is>
          <t>458760</t>
        </is>
      </c>
      <c r="D139" s="279" t="inlineStr">
        <is>
          <t>TIGER 미배당다우커버드콜2호</t>
        </is>
      </c>
      <c r="E139" s="280" t="n">
        <v>1412476</v>
      </c>
      <c r="F139" s="341" t="n"/>
      <c r="G139" s="280" t="n">
        <v>1412476</v>
      </c>
      <c r="H139" s="279" t="inlineStr">
        <is>
          <t>실적</t>
        </is>
      </c>
    </row>
    <row r="140">
      <c r="A140" s="344" t="n">
        <v>46141</v>
      </c>
      <c r="B140" s="279" t="n">
        <v>4</v>
      </c>
      <c r="C140" s="279" t="inlineStr">
        <is>
          <t>468380</t>
        </is>
      </c>
      <c r="D140" s="279" t="inlineStr">
        <is>
          <t>KODEX iShares미국하이일드액티브</t>
        </is>
      </c>
      <c r="E140" s="280" t="n">
        <v>142000</v>
      </c>
      <c r="F140" s="341" t="n"/>
      <c r="G140" s="280" t="n">
        <v>142000</v>
      </c>
      <c r="H140" s="279" t="inlineStr">
        <is>
          <t>실적</t>
        </is>
      </c>
    </row>
    <row r="141">
      <c r="A141" s="344" t="n">
        <v>46141</v>
      </c>
      <c r="B141" s="279" t="n">
        <v>4</v>
      </c>
      <c r="C141" s="279" t="inlineStr">
        <is>
          <t>473330</t>
        </is>
      </c>
      <c r="D141" s="279" t="inlineStr">
        <is>
          <t>SOL 미국 30년국채커버드콜(합성)</t>
        </is>
      </c>
      <c r="E141" s="280" t="n">
        <v>91200</v>
      </c>
      <c r="F141" s="341" t="n"/>
      <c r="G141" s="280" t="n">
        <v>91200</v>
      </c>
      <c r="H141" s="279" t="inlineStr">
        <is>
          <t>실적</t>
        </is>
      </c>
    </row>
    <row r="142">
      <c r="A142" s="344" t="n">
        <v>46141</v>
      </c>
      <c r="B142" s="279" t="n">
        <v>4</v>
      </c>
      <c r="C142" s="279" t="inlineStr">
        <is>
          <t>475380</t>
        </is>
      </c>
      <c r="D142" s="279" t="inlineStr">
        <is>
          <t>RISE 글로벌리얼티인컴</t>
        </is>
      </c>
      <c r="E142" s="280" t="n">
        <v>3535</v>
      </c>
      <c r="F142" s="341" t="n"/>
      <c r="G142" s="280" t="n">
        <v>3535</v>
      </c>
      <c r="H142" s="279" t="inlineStr">
        <is>
          <t>실적</t>
        </is>
      </c>
    </row>
    <row r="143">
      <c r="A143" s="344" t="n">
        <v>46141</v>
      </c>
      <c r="B143" s="279" t="n">
        <v>4</v>
      </c>
      <c r="C143" s="279" t="inlineStr">
        <is>
          <t>476550</t>
        </is>
      </c>
      <c r="D143" s="279" t="inlineStr">
        <is>
          <t>TIGER 미국30년국채커버드콜액티브(H)</t>
        </is>
      </c>
      <c r="E143" s="280" t="n">
        <v>31894</v>
      </c>
      <c r="F143" s="341" t="n"/>
      <c r="G143" s="280" t="n">
        <v>31894</v>
      </c>
      <c r="H143" s="279" t="inlineStr">
        <is>
          <t>실적</t>
        </is>
      </c>
    </row>
    <row r="144">
      <c r="A144" s="344" t="n">
        <v>46141</v>
      </c>
      <c r="B144" s="279" t="n">
        <v>4</v>
      </c>
      <c r="C144" s="279" t="inlineStr">
        <is>
          <t>476690</t>
        </is>
      </c>
      <c r="D144" s="279" t="inlineStr">
        <is>
          <t>TIGER 글로벌비만치료제 TOP2 Plus</t>
        </is>
      </c>
      <c r="E144" s="280" t="n">
        <v>1200</v>
      </c>
      <c r="F144" s="341" t="n"/>
      <c r="G144" s="280" t="n">
        <v>1200</v>
      </c>
      <c r="H144" s="279" t="inlineStr">
        <is>
          <t>실적</t>
        </is>
      </c>
    </row>
    <row r="145">
      <c r="A145" s="344" t="n">
        <v>46141</v>
      </c>
      <c r="B145" s="279" t="n">
        <v>4</v>
      </c>
      <c r="C145" s="279" t="inlineStr">
        <is>
          <t>482730</t>
        </is>
      </c>
      <c r="D145" s="279" t="inlineStr">
        <is>
          <t>미국S&amp;P500타겟데일리커버드콜</t>
        </is>
      </c>
      <c r="E145" s="280" t="n">
        <v>42925</v>
      </c>
      <c r="F145" s="341" t="n"/>
      <c r="G145" s="280" t="n">
        <v>42925</v>
      </c>
      <c r="H145" s="279" t="inlineStr">
        <is>
          <t>실적</t>
        </is>
      </c>
    </row>
    <row r="146">
      <c r="A146" s="344" t="n">
        <v>46141</v>
      </c>
      <c r="B146" s="279" t="n">
        <v>4</v>
      </c>
      <c r="C146" s="279" t="inlineStr">
        <is>
          <t>483280</t>
        </is>
      </c>
      <c r="D146" s="279" t="inlineStr">
        <is>
          <t>KODEX 미국AI테크TOP10타겟커버드콜</t>
        </is>
      </c>
      <c r="E146" s="280" t="n">
        <v>356160</v>
      </c>
      <c r="F146" s="341" t="n"/>
      <c r="G146" s="280" t="n">
        <v>356160</v>
      </c>
      <c r="H146" s="279" t="inlineStr">
        <is>
          <t>실적</t>
        </is>
      </c>
    </row>
    <row r="147">
      <c r="A147" s="344" t="n">
        <v>46141</v>
      </c>
      <c r="B147" s="279" t="n">
        <v>4</v>
      </c>
      <c r="C147" s="279" t="inlineStr">
        <is>
          <t>498270</t>
        </is>
      </c>
      <c r="D147" s="279" t="inlineStr">
        <is>
          <t>KIWOOM 미국양자컴퓨팅</t>
        </is>
      </c>
      <c r="E147" s="280" t="n">
        <v>3564</v>
      </c>
      <c r="F147" s="341" t="n"/>
      <c r="G147" s="280" t="n">
        <v>3564</v>
      </c>
      <c r="H147" s="279" t="inlineStr">
        <is>
          <t>실적</t>
        </is>
      </c>
    </row>
    <row r="148">
      <c r="A148" s="344" t="n">
        <v>46141</v>
      </c>
      <c r="B148" s="279" t="n">
        <v>4</v>
      </c>
      <c r="C148" s="279" t="inlineStr">
        <is>
          <t>498410</t>
        </is>
      </c>
      <c r="D148" s="279" t="inlineStr">
        <is>
          <t>KODEX금융고배당TOP10타겟위클리커버드콜</t>
        </is>
      </c>
      <c r="E148" s="280" t="n">
        <v>392205</v>
      </c>
      <c r="F148" s="341" t="n"/>
      <c r="G148" s="280" t="n">
        <v>392205</v>
      </c>
      <c r="H148" s="279" t="inlineStr">
        <is>
          <t>실적</t>
        </is>
      </c>
    </row>
    <row r="149">
      <c r="A149" s="344" t="n">
        <v>46142</v>
      </c>
      <c r="B149" s="279" t="n">
        <v>4</v>
      </c>
      <c r="C149" s="279" t="inlineStr">
        <is>
          <t>O</t>
        </is>
      </c>
      <c r="D149" s="279" t="inlineStr">
        <is>
          <t>리얼티인컴</t>
        </is>
      </c>
      <c r="E149" s="280" t="n"/>
      <c r="F149" s="341" t="n">
        <v>14.363</v>
      </c>
      <c r="G149" s="280" t="n">
        <v>19706.036</v>
      </c>
      <c r="H149" s="279" t="inlineStr">
        <is>
          <t>실적</t>
        </is>
      </c>
    </row>
    <row r="150">
      <c r="A150" s="344" t="n">
        <v>46149</v>
      </c>
      <c r="B150" s="279" t="n">
        <v>5</v>
      </c>
      <c r="C150" s="279" t="n">
        <v>105560</v>
      </c>
      <c r="D150" s="279" t="inlineStr">
        <is>
          <t>KB금융</t>
        </is>
      </c>
      <c r="E150" s="280" t="n">
        <v>13716</v>
      </c>
      <c r="F150" s="341" t="n"/>
      <c r="G150" s="280" t="n">
        <v>13716</v>
      </c>
      <c r="H150" s="279" t="inlineStr">
        <is>
          <t>실적</t>
        </is>
      </c>
    </row>
    <row r="151">
      <c r="A151" s="344" t="n">
        <v>46153</v>
      </c>
      <c r="B151" s="279" t="n">
        <v>5</v>
      </c>
      <c r="C151" s="279" t="inlineStr">
        <is>
          <t>AAPL</t>
        </is>
      </c>
      <c r="D151" s="279" t="inlineStr">
        <is>
          <t>애플</t>
        </is>
      </c>
      <c r="E151" s="280" t="n"/>
      <c r="F151" s="341" t="n">
        <v>2.43</v>
      </c>
      <c r="G151" s="280" t="n">
        <v>3333.96</v>
      </c>
      <c r="H151" s="279" t="inlineStr">
        <is>
          <t>실적</t>
        </is>
      </c>
    </row>
    <row r="152">
      <c r="A152" s="344" t="n">
        <v>46156</v>
      </c>
      <c r="B152" s="279" t="n">
        <v>5</v>
      </c>
      <c r="C152" s="279" t="inlineStr">
        <is>
          <t>0008S0</t>
        </is>
      </c>
      <c r="D152" s="279" t="inlineStr">
        <is>
          <t>TIGER 미국배당다우존스타겟데일리커버드콜</t>
        </is>
      </c>
      <c r="E152" s="280" t="n">
        <v>306000</v>
      </c>
      <c r="F152" s="341" t="n"/>
      <c r="G152" s="280" t="n">
        <v>306000</v>
      </c>
      <c r="H152" s="279" t="inlineStr">
        <is>
          <t>실적</t>
        </is>
      </c>
    </row>
    <row r="153">
      <c r="A153" s="344" t="n">
        <v>46156</v>
      </c>
      <c r="B153" s="279" t="n">
        <v>5</v>
      </c>
      <c r="C153" s="279" t="inlineStr">
        <is>
          <t>474220</t>
        </is>
      </c>
      <c r="D153" s="279" t="inlineStr">
        <is>
          <t>TIGER미국테크TOP10커버드콜</t>
        </is>
      </c>
      <c r="E153" s="280" t="n">
        <v>630798</v>
      </c>
      <c r="F153" s="341" t="n"/>
      <c r="G153" s="280" t="n">
        <v>630798</v>
      </c>
      <c r="H153" s="279" t="inlineStr">
        <is>
          <t>실적</t>
        </is>
      </c>
    </row>
    <row r="154">
      <c r="A154" s="344" t="n">
        <v>46156</v>
      </c>
      <c r="B154" s="279" t="n">
        <v>5</v>
      </c>
      <c r="C154" s="279" t="inlineStr">
        <is>
          <t>481060</t>
        </is>
      </c>
      <c r="D154" s="279" t="inlineStr">
        <is>
          <t>KODEX 미국30년국채타겟커버드콜(H)</t>
        </is>
      </c>
      <c r="E154" s="280" t="n">
        <v>241740</v>
      </c>
      <c r="F154" s="341" t="n"/>
      <c r="G154" s="280" t="n">
        <v>241740</v>
      </c>
      <c r="H154" s="279" t="inlineStr">
        <is>
          <t>실적</t>
        </is>
      </c>
    </row>
    <row r="155">
      <c r="A155" s="344" t="n">
        <v>46156</v>
      </c>
      <c r="B155" s="279" t="n">
        <v>5</v>
      </c>
      <c r="C155" s="279" t="inlineStr">
        <is>
          <t>490490</t>
        </is>
      </c>
      <c r="D155" s="279" t="inlineStr">
        <is>
          <t>SOL미국배당미국채혼합50</t>
        </is>
      </c>
      <c r="E155" s="280" t="n">
        <v>84062</v>
      </c>
      <c r="F155" s="341" t="n"/>
      <c r="G155" s="280" t="n">
        <v>84062</v>
      </c>
      <c r="H155" s="279" t="inlineStr">
        <is>
          <t>실적</t>
        </is>
      </c>
    </row>
    <row r="156">
      <c r="A156" s="344" t="n">
        <v>46156</v>
      </c>
      <c r="B156" s="279" t="n">
        <v>5</v>
      </c>
      <c r="C156" s="279" t="inlineStr">
        <is>
          <t>498400</t>
        </is>
      </c>
      <c r="D156" s="279" t="inlineStr">
        <is>
          <t>KODEX 200타켓위클리커버드콜</t>
        </is>
      </c>
      <c r="E156" s="280" t="n">
        <v>212628</v>
      </c>
      <c r="F156" s="341" t="n"/>
      <c r="G156" s="280" t="n">
        <v>212628</v>
      </c>
      <c r="H156" s="279" t="inlineStr">
        <is>
          <t>실적</t>
        </is>
      </c>
    </row>
    <row r="157">
      <c r="A157" s="344" t="n">
        <v>46157</v>
      </c>
      <c r="B157" s="279" t="n">
        <v>5</v>
      </c>
      <c r="C157" s="279" t="inlineStr">
        <is>
          <t>SBUX</t>
        </is>
      </c>
      <c r="D157" s="279" t="inlineStr">
        <is>
          <t>스타벅스</t>
        </is>
      </c>
      <c r="E157" s="280" t="n"/>
      <c r="F157" s="341" t="n">
        <v>1.24</v>
      </c>
      <c r="G157" s="280" t="n">
        <v>1701.28</v>
      </c>
      <c r="H157" s="279" t="inlineStr">
        <is>
          <t>실적</t>
        </is>
      </c>
    </row>
    <row r="158">
      <c r="A158" s="344" t="n">
        <v>46157</v>
      </c>
      <c r="B158" s="279" t="n">
        <v>5</v>
      </c>
      <c r="C158" s="279" t="inlineStr">
        <is>
          <t>XOM</t>
        </is>
      </c>
      <c r="D158" s="279" t="inlineStr">
        <is>
          <t>엑슨모빌</t>
        </is>
      </c>
      <c r="E158" s="280" t="n"/>
      <c r="F158" s="341" t="n">
        <v>1.03</v>
      </c>
      <c r="G158" s="280" t="n">
        <v>1413.16</v>
      </c>
      <c r="H158" s="279" t="inlineStr">
        <is>
          <t>실적</t>
        </is>
      </c>
    </row>
    <row r="159">
      <c r="A159" s="344" t="n">
        <v>46161</v>
      </c>
      <c r="B159" s="279" t="n">
        <v>5</v>
      </c>
      <c r="C159" s="279" t="inlineStr">
        <is>
          <t>CVX</t>
        </is>
      </c>
      <c r="D159" s="279" t="inlineStr">
        <is>
          <t>셰브론</t>
        </is>
      </c>
      <c r="E159" s="280" t="n"/>
      <c r="F159" s="341" t="n">
        <v>1.78</v>
      </c>
      <c r="G159" s="280" t="n">
        <v>2442.16</v>
      </c>
      <c r="H159" s="279" t="inlineStr">
        <is>
          <t>실적</t>
        </is>
      </c>
    </row>
    <row r="160">
      <c r="A160" s="344" t="n">
        <v>46163</v>
      </c>
      <c r="B160" s="279" t="n">
        <v>5</v>
      </c>
      <c r="C160" s="279" t="inlineStr">
        <is>
          <t>MSFT</t>
        </is>
      </c>
      <c r="D160" s="279" t="inlineStr">
        <is>
          <t>마이크로소프트</t>
        </is>
      </c>
      <c r="E160" s="280" t="n"/>
      <c r="F160" s="341" t="n">
        <v>1.82</v>
      </c>
      <c r="G160" s="280" t="n">
        <v>2497.04</v>
      </c>
      <c r="H160" s="279" t="inlineStr">
        <is>
          <t>실적</t>
        </is>
      </c>
    </row>
    <row r="161">
      <c r="A161" s="344" t="n">
        <v>46170</v>
      </c>
      <c r="B161" s="279" t="n">
        <v>5</v>
      </c>
      <c r="C161" s="279" t="inlineStr">
        <is>
          <t>005389</t>
        </is>
      </c>
      <c r="D161" s="279" t="inlineStr">
        <is>
          <t>현대차3우B</t>
        </is>
      </c>
      <c r="E161" s="280" t="n">
        <v>32500</v>
      </c>
      <c r="F161" s="341" t="n"/>
      <c r="G161" s="280" t="n">
        <v>32500</v>
      </c>
      <c r="H161" s="279" t="inlineStr">
        <is>
          <t>실적</t>
        </is>
      </c>
    </row>
    <row r="162">
      <c r="A162" s="344" t="n">
        <v>46170</v>
      </c>
      <c r="B162" s="279" t="n">
        <v>5</v>
      </c>
      <c r="C162" s="279" t="inlineStr">
        <is>
          <t>329200</t>
        </is>
      </c>
      <c r="D162" s="279" t="inlineStr">
        <is>
          <t>TIGER리츠부동산인프라</t>
        </is>
      </c>
      <c r="E162" s="280" t="n">
        <v>165000</v>
      </c>
      <c r="F162" s="341" t="n"/>
      <c r="G162" s="280" t="n">
        <v>165000</v>
      </c>
      <c r="H162" s="279" t="inlineStr">
        <is>
          <t>실적</t>
        </is>
      </c>
    </row>
    <row r="163">
      <c r="A163" s="344" t="n">
        <v>46170</v>
      </c>
      <c r="B163" s="279" t="n">
        <v>5</v>
      </c>
      <c r="C163" s="279" t="inlineStr">
        <is>
          <t>433330</t>
        </is>
      </c>
      <c r="D163" s="279" t="inlineStr">
        <is>
          <t>SOL 미국 S&amp;P500</t>
        </is>
      </c>
      <c r="E163" s="280" t="n">
        <v>22932</v>
      </c>
      <c r="F163" s="341" t="n"/>
      <c r="G163" s="280" t="n">
        <v>22932</v>
      </c>
      <c r="H163" s="279" t="inlineStr">
        <is>
          <t>실적</t>
        </is>
      </c>
    </row>
    <row r="164">
      <c r="A164" s="344" t="n">
        <v>46170</v>
      </c>
      <c r="B164" s="279" t="n">
        <v>5</v>
      </c>
      <c r="C164" s="279" t="inlineStr">
        <is>
          <t>446720</t>
        </is>
      </c>
      <c r="D164" s="279" t="inlineStr">
        <is>
          <t>SOL 미국배당다우존스</t>
        </is>
      </c>
      <c r="E164" s="280" t="n">
        <v>43890</v>
      </c>
      <c r="F164" s="341" t="n"/>
      <c r="G164" s="280" t="n">
        <v>43890</v>
      </c>
      <c r="H164" s="279" t="inlineStr">
        <is>
          <t>실적</t>
        </is>
      </c>
    </row>
    <row r="165">
      <c r="A165" s="344" t="n">
        <v>46170</v>
      </c>
      <c r="B165" s="279" t="n">
        <v>5</v>
      </c>
      <c r="C165" s="279" t="inlineStr">
        <is>
          <t>458760</t>
        </is>
      </c>
      <c r="D165" s="279" t="inlineStr">
        <is>
          <t>TIGER 미배당다우커버드콜2호</t>
        </is>
      </c>
      <c r="E165" s="280" t="n">
        <v>1473888</v>
      </c>
      <c r="F165" s="341" t="n"/>
      <c r="G165" s="280" t="n">
        <v>1473888</v>
      </c>
      <c r="H165" s="279" t="inlineStr">
        <is>
          <t>실적</t>
        </is>
      </c>
    </row>
    <row r="166">
      <c r="A166" s="344" t="n">
        <v>46170</v>
      </c>
      <c r="B166" s="279" t="n">
        <v>5</v>
      </c>
      <c r="C166" s="279" t="inlineStr">
        <is>
          <t>468380</t>
        </is>
      </c>
      <c r="D166" s="279" t="inlineStr">
        <is>
          <t>KODEX iShares미국하이일드액티브</t>
        </is>
      </c>
      <c r="E166" s="280" t="n">
        <v>122000</v>
      </c>
      <c r="F166" s="341" t="n"/>
      <c r="G166" s="280" t="n">
        <v>122000</v>
      </c>
      <c r="H166" s="279" t="inlineStr">
        <is>
          <t>실적</t>
        </is>
      </c>
    </row>
    <row r="167">
      <c r="A167" s="344" t="n">
        <v>46170</v>
      </c>
      <c r="B167" s="279" t="n">
        <v>5</v>
      </c>
      <c r="C167" s="279" t="inlineStr">
        <is>
          <t>473330</t>
        </is>
      </c>
      <c r="D167" s="279" t="inlineStr">
        <is>
          <t>SOL 미국 30년국채커버드콜(합성)</t>
        </is>
      </c>
      <c r="E167" s="280" t="n">
        <v>72000</v>
      </c>
      <c r="F167" s="341" t="n"/>
      <c r="G167" s="280" t="n">
        <v>72000</v>
      </c>
      <c r="H167" s="279" t="inlineStr">
        <is>
          <t>실적</t>
        </is>
      </c>
    </row>
    <row r="168">
      <c r="A168" s="344" t="n">
        <v>46170</v>
      </c>
      <c r="B168" s="279" t="n">
        <v>5</v>
      </c>
      <c r="C168" s="279" t="inlineStr">
        <is>
          <t>475380</t>
        </is>
      </c>
      <c r="D168" s="279" t="inlineStr">
        <is>
          <t>RISE 글로벌리얼티인컴</t>
        </is>
      </c>
      <c r="E168" s="280" t="n">
        <v>3535</v>
      </c>
      <c r="F168" s="341" t="n"/>
      <c r="G168" s="280" t="n">
        <v>3535</v>
      </c>
      <c r="H168" s="279" t="inlineStr">
        <is>
          <t>실적</t>
        </is>
      </c>
    </row>
    <row r="169">
      <c r="A169" s="344" t="n">
        <v>46170</v>
      </c>
      <c r="B169" s="279" t="n">
        <v>5</v>
      </c>
      <c r="C169" s="279" t="inlineStr">
        <is>
          <t>476550</t>
        </is>
      </c>
      <c r="D169" s="279" t="inlineStr">
        <is>
          <t>TIGER 미국30년국채커버드콜액티브(H)</t>
        </is>
      </c>
      <c r="E169" s="280" t="n">
        <v>31032</v>
      </c>
      <c r="F169" s="341" t="n"/>
      <c r="G169" s="280" t="n">
        <v>31032</v>
      </c>
      <c r="H169" s="279" t="inlineStr">
        <is>
          <t>실적</t>
        </is>
      </c>
    </row>
    <row r="170">
      <c r="A170" s="344" t="n">
        <v>46170</v>
      </c>
      <c r="B170" s="279" t="n">
        <v>5</v>
      </c>
      <c r="C170" s="279" t="inlineStr">
        <is>
          <t>476690</t>
        </is>
      </c>
      <c r="D170" s="279" t="inlineStr">
        <is>
          <t>TIGER 글로벌비만치료제 TOP2 Plus</t>
        </is>
      </c>
      <c r="E170" s="280" t="n">
        <v>1200</v>
      </c>
      <c r="F170" s="341" t="n"/>
      <c r="G170" s="280" t="n">
        <v>1200</v>
      </c>
      <c r="H170" s="279" t="inlineStr">
        <is>
          <t>실적</t>
        </is>
      </c>
    </row>
    <row r="171">
      <c r="A171" s="344" t="n">
        <v>46170</v>
      </c>
      <c r="B171" s="279" t="n">
        <v>5</v>
      </c>
      <c r="C171" s="279" t="inlineStr">
        <is>
          <t>482730</t>
        </is>
      </c>
      <c r="D171" s="279" t="inlineStr">
        <is>
          <t>미국S&amp;P500타겟데일리커버드콜</t>
        </is>
      </c>
      <c r="E171" s="280" t="n">
        <v>45900</v>
      </c>
      <c r="F171" s="341" t="n"/>
      <c r="G171" s="280" t="n">
        <v>45900</v>
      </c>
      <c r="H171" s="279" t="inlineStr">
        <is>
          <t>실적</t>
        </is>
      </c>
    </row>
    <row r="172">
      <c r="A172" s="344" t="n">
        <v>46170</v>
      </c>
      <c r="B172" s="279" t="n">
        <v>5</v>
      </c>
      <c r="C172" s="279" t="inlineStr">
        <is>
          <t>483280</t>
        </is>
      </c>
      <c r="D172" s="279" t="inlineStr">
        <is>
          <t>KODEX 미국AI테크TOP10타겟커버드콜</t>
        </is>
      </c>
      <c r="E172" s="280" t="n">
        <v>376194</v>
      </c>
      <c r="F172" s="341" t="n"/>
      <c r="G172" s="280" t="n">
        <v>376194</v>
      </c>
      <c r="H172" s="279" t="inlineStr">
        <is>
          <t>실적</t>
        </is>
      </c>
    </row>
    <row r="173">
      <c r="A173" s="344" t="n">
        <v>46170</v>
      </c>
      <c r="B173" s="279" t="n">
        <v>5</v>
      </c>
      <c r="C173" s="279" t="inlineStr">
        <is>
          <t>498410</t>
        </is>
      </c>
      <c r="D173" s="279" t="inlineStr">
        <is>
          <t>KODEX금융고배당TOP10타겟위클리커버드콜</t>
        </is>
      </c>
      <c r="E173" s="280" t="n">
        <v>368435</v>
      </c>
      <c r="F173" s="341" t="n"/>
      <c r="G173" s="280" t="n">
        <v>368435</v>
      </c>
      <c r="H173" s="279" t="inlineStr">
        <is>
          <t>실적</t>
        </is>
      </c>
    </row>
    <row r="174">
      <c r="A174" s="344" t="n">
        <v>46171</v>
      </c>
      <c r="B174" s="279" t="n">
        <v>5</v>
      </c>
      <c r="C174" s="279" t="inlineStr">
        <is>
          <t>O</t>
        </is>
      </c>
      <c r="D174" s="279" t="inlineStr">
        <is>
          <t>리얼티인컴</t>
        </is>
      </c>
      <c r="E174" s="280" t="n"/>
      <c r="F174" s="341" t="n">
        <v>14.363</v>
      </c>
      <c r="G174" s="280" t="n">
        <v>19706.036</v>
      </c>
      <c r="H174" s="279" t="inlineStr">
        <is>
          <t>실적</t>
        </is>
      </c>
    </row>
    <row r="175">
      <c r="A175" s="344" t="n">
        <v>46171</v>
      </c>
      <c r="B175" s="279" t="n">
        <v>5</v>
      </c>
      <c r="C175" s="279" t="inlineStr">
        <is>
          <t>TMUS</t>
        </is>
      </c>
      <c r="D175" s="279" t="inlineStr">
        <is>
          <t>T-모바일</t>
        </is>
      </c>
      <c r="E175" s="280" t="n"/>
      <c r="F175" s="341" t="n">
        <v>4.08</v>
      </c>
      <c r="G175" s="280" t="n">
        <v>5597.76</v>
      </c>
      <c r="H175" s="279" t="inlineStr">
        <is>
          <t>실적</t>
        </is>
      </c>
    </row>
    <row r="176">
      <c r="A176" s="344" t="n">
        <v>46174</v>
      </c>
      <c r="B176" s="279" t="n">
        <v>6</v>
      </c>
      <c r="C176" s="279" t="inlineStr">
        <is>
          <t>NKE</t>
        </is>
      </c>
      <c r="D176" s="279" t="inlineStr">
        <is>
          <t>나이키</t>
        </is>
      </c>
      <c r="E176" s="280" t="n"/>
      <c r="F176" s="341" t="n">
        <v>4.1</v>
      </c>
      <c r="G176" s="280" t="n">
        <v>5625.2</v>
      </c>
      <c r="H176" s="279" t="inlineStr">
        <is>
          <t>실적</t>
        </is>
      </c>
    </row>
    <row r="177">
      <c r="A177" s="344" t="n">
        <v>46177</v>
      </c>
      <c r="B177" s="279" t="n">
        <v>6</v>
      </c>
      <c r="C177" s="279" t="inlineStr">
        <is>
          <t>NVDA</t>
        </is>
      </c>
      <c r="D177" s="279" t="inlineStr">
        <is>
          <t>엔비디아</t>
        </is>
      </c>
      <c r="E177" s="280" t="n"/>
      <c r="F177" s="341" t="n">
        <v>1</v>
      </c>
      <c r="G177" s="280" t="n">
        <v>1372</v>
      </c>
      <c r="H177" s="279" t="inlineStr">
        <is>
          <t>실적</t>
        </is>
      </c>
    </row>
    <row r="178">
      <c r="A178" s="344" t="n">
        <v>46184</v>
      </c>
      <c r="B178" s="279" t="n">
        <v>6</v>
      </c>
      <c r="C178" s="279" t="inlineStr">
        <is>
          <t>TSM</t>
        </is>
      </c>
      <c r="D178" s="279" t="inlineStr">
        <is>
          <t>TSMC</t>
        </is>
      </c>
      <c r="E178" s="280" t="n"/>
      <c r="F178" s="341" t="n">
        <v>0.955</v>
      </c>
      <c r="G178" s="280" t="n">
        <v>1310.26</v>
      </c>
      <c r="H178" s="279" t="inlineStr">
        <is>
          <t>실적</t>
        </is>
      </c>
    </row>
    <row r="179">
      <c r="A179" s="344" t="n">
        <v>46185</v>
      </c>
      <c r="B179" s="279" t="n">
        <v>6</v>
      </c>
      <c r="C179" s="279" t="inlineStr">
        <is>
          <t>0008S0</t>
        </is>
      </c>
      <c r="D179" s="279" t="inlineStr">
        <is>
          <t>TIGER 미국배당다우존스타겟데일리커버드콜</t>
        </is>
      </c>
      <c r="E179" s="280" t="n">
        <v>318000</v>
      </c>
      <c r="F179" s="341" t="n"/>
      <c r="G179" s="280" t="n">
        <v>318000</v>
      </c>
      <c r="H179" s="279" t="inlineStr">
        <is>
          <t>실적</t>
        </is>
      </c>
    </row>
    <row r="180">
      <c r="A180" s="344" t="n">
        <v>46185</v>
      </c>
      <c r="B180" s="279" t="n">
        <v>6</v>
      </c>
      <c r="C180" s="279" t="inlineStr">
        <is>
          <t>474220</t>
        </is>
      </c>
      <c r="D180" s="279" t="inlineStr">
        <is>
          <t>TIGER미국테크TOP10커버드콜</t>
        </is>
      </c>
      <c r="E180" s="280" t="n">
        <v>607943</v>
      </c>
      <c r="F180" s="341" t="n"/>
      <c r="G180" s="280" t="n">
        <v>607943</v>
      </c>
      <c r="H180" s="279" t="inlineStr">
        <is>
          <t>실적</t>
        </is>
      </c>
    </row>
    <row r="181">
      <c r="A181" s="344" t="n">
        <v>46185</v>
      </c>
      <c r="B181" s="279" t="n">
        <v>6</v>
      </c>
      <c r="C181" s="279" t="inlineStr">
        <is>
          <t>481060</t>
        </is>
      </c>
      <c r="D181" s="279" t="inlineStr">
        <is>
          <t>KODEX 미국30년국채타겟커버드콜(H)</t>
        </is>
      </c>
      <c r="E181" s="280" t="n">
        <v>238680</v>
      </c>
      <c r="F181" s="341" t="n"/>
      <c r="G181" s="280" t="n">
        <v>238680</v>
      </c>
      <c r="H181" s="279" t="inlineStr">
        <is>
          <t>실적</t>
        </is>
      </c>
    </row>
    <row r="182">
      <c r="A182" s="344" t="n">
        <v>46185</v>
      </c>
      <c r="B182" s="279" t="n">
        <v>6</v>
      </c>
      <c r="C182" s="279" t="inlineStr">
        <is>
          <t>490490</t>
        </is>
      </c>
      <c r="D182" s="279" t="inlineStr">
        <is>
          <t>SOL미국배당미국채혼합50</t>
        </is>
      </c>
      <c r="E182" s="280" t="n">
        <v>129914</v>
      </c>
      <c r="F182" s="341" t="n"/>
      <c r="G182" s="280" t="n">
        <v>129914</v>
      </c>
      <c r="H182" s="279" t="inlineStr">
        <is>
          <t>실적</t>
        </is>
      </c>
    </row>
    <row r="183">
      <c r="A183" s="344" t="n">
        <v>46185</v>
      </c>
      <c r="B183" s="279" t="n">
        <v>6</v>
      </c>
      <c r="C183" s="279" t="inlineStr">
        <is>
          <t>498400</t>
        </is>
      </c>
      <c r="D183" s="279" t="inlineStr">
        <is>
          <t>KODEX 200타켓위클리커버드콜</t>
        </is>
      </c>
      <c r="E183" s="280" t="n">
        <v>213850</v>
      </c>
      <c r="F183" s="341" t="n"/>
      <c r="G183" s="280" t="n">
        <v>213850</v>
      </c>
      <c r="H183" s="279" t="inlineStr">
        <is>
          <t>실적</t>
        </is>
      </c>
    </row>
    <row r="184">
      <c r="A184" s="344" t="n">
        <v>46185</v>
      </c>
      <c r="B184" s="279" t="n">
        <v>6</v>
      </c>
      <c r="C184" s="279" t="inlineStr">
        <is>
          <t>AMT</t>
        </is>
      </c>
      <c r="D184" s="279" t="inlineStr">
        <is>
          <t>아메리칸타워</t>
        </is>
      </c>
      <c r="E184" s="280" t="n"/>
      <c r="F184" s="341" t="n">
        <v>8.949999999999999</v>
      </c>
      <c r="G184" s="280" t="n">
        <v>12279.4</v>
      </c>
      <c r="H184" s="279" t="inlineStr">
        <is>
          <t>실적</t>
        </is>
      </c>
    </row>
    <row r="185">
      <c r="A185" s="344" t="n">
        <v>46197</v>
      </c>
      <c r="B185" s="279" t="n">
        <v>6</v>
      </c>
      <c r="C185" s="279" t="inlineStr">
        <is>
          <t>QLD</t>
        </is>
      </c>
      <c r="D185" s="279" t="inlineStr">
        <is>
          <t>QLD</t>
        </is>
      </c>
      <c r="E185" s="280" t="n"/>
      <c r="F185" s="341" t="n">
        <v>3.782</v>
      </c>
      <c r="G185" s="280" t="n">
        <v>5188.904</v>
      </c>
      <c r="H185" s="279" t="inlineStr">
        <is>
          <t>실적</t>
        </is>
      </c>
    </row>
    <row r="186">
      <c r="A186" s="344" t="n">
        <v>46197</v>
      </c>
      <c r="B186" s="279" t="n">
        <v>6</v>
      </c>
      <c r="C186" s="279" t="inlineStr">
        <is>
          <t>SCHD</t>
        </is>
      </c>
      <c r="D186" s="279" t="inlineStr">
        <is>
          <t>SCHD</t>
        </is>
      </c>
      <c r="E186" s="280" t="n"/>
      <c r="F186" s="341" t="n">
        <v>6.072</v>
      </c>
      <c r="G186" s="280" t="n">
        <v>8330.784</v>
      </c>
      <c r="H186" s="279" t="inlineStr">
        <is>
          <t>실적</t>
        </is>
      </c>
    </row>
    <row r="187">
      <c r="A187" s="345" t="n">
        <v>46200</v>
      </c>
      <c r="B187" s="288" t="n">
        <v>6</v>
      </c>
      <c r="C187" s="288" t="inlineStr">
        <is>
          <t>005389</t>
        </is>
      </c>
      <c r="D187" s="288" t="inlineStr">
        <is>
          <t>현대차3우B</t>
        </is>
      </c>
      <c r="E187" s="289" t="n">
        <v>26000</v>
      </c>
      <c r="F187" s="343" t="n"/>
      <c r="G187" s="289" t="n">
        <v>26000</v>
      </c>
      <c r="H187" s="288" t="inlineStr">
        <is>
          <t>예측</t>
        </is>
      </c>
    </row>
    <row r="188">
      <c r="A188" s="345" t="n">
        <v>46200</v>
      </c>
      <c r="B188" s="288" t="n">
        <v>6</v>
      </c>
      <c r="C188" s="288" t="n">
        <v>105560</v>
      </c>
      <c r="D188" s="288" t="inlineStr">
        <is>
          <t>KB금융</t>
        </is>
      </c>
      <c r="E188" s="289" t="n">
        <v>9492</v>
      </c>
      <c r="F188" s="343" t="n"/>
      <c r="G188" s="289" t="n">
        <v>9492</v>
      </c>
      <c r="H188" s="288" t="inlineStr">
        <is>
          <t>예측</t>
        </is>
      </c>
    </row>
    <row r="189">
      <c r="A189" s="344" t="n">
        <v>46202</v>
      </c>
      <c r="B189" s="279" t="n">
        <v>6</v>
      </c>
      <c r="C189" s="279" t="inlineStr">
        <is>
          <t>005930</t>
        </is>
      </c>
      <c r="D189" s="279" t="inlineStr">
        <is>
          <t>삼성전자</t>
        </is>
      </c>
      <c r="E189" s="280" t="n">
        <v>37026</v>
      </c>
      <c r="F189" s="341" t="n"/>
      <c r="G189" s="280" t="n">
        <v>37026</v>
      </c>
      <c r="H189" s="279" t="inlineStr">
        <is>
          <t>실적</t>
        </is>
      </c>
    </row>
    <row r="190">
      <c r="A190" s="344" t="n">
        <v>46202</v>
      </c>
      <c r="B190" s="279" t="n">
        <v>6</v>
      </c>
      <c r="C190" s="279" t="inlineStr">
        <is>
          <t>329200</t>
        </is>
      </c>
      <c r="D190" s="279" t="inlineStr">
        <is>
          <t>TIGER리츠부동산인프라</t>
        </is>
      </c>
      <c r="E190" s="280" t="n">
        <v>165000</v>
      </c>
      <c r="F190" s="341" t="n"/>
      <c r="G190" s="280" t="n">
        <v>165000</v>
      </c>
      <c r="H190" s="279" t="inlineStr">
        <is>
          <t>실적</t>
        </is>
      </c>
    </row>
    <row r="191">
      <c r="A191" s="344" t="n">
        <v>46202</v>
      </c>
      <c r="B191" s="279" t="n">
        <v>6</v>
      </c>
      <c r="C191" s="279" t="inlineStr">
        <is>
          <t>433330</t>
        </is>
      </c>
      <c r="D191" s="279" t="inlineStr">
        <is>
          <t>SOL 미국 S&amp;P500</t>
        </is>
      </c>
      <c r="E191" s="280" t="n">
        <v>30576</v>
      </c>
      <c r="F191" s="341" t="n"/>
      <c r="G191" s="280" t="n">
        <v>30576</v>
      </c>
      <c r="H191" s="279" t="inlineStr">
        <is>
          <t>실적</t>
        </is>
      </c>
    </row>
    <row r="192">
      <c r="A192" s="344" t="n">
        <v>46202</v>
      </c>
      <c r="B192" s="279" t="n">
        <v>6</v>
      </c>
      <c r="C192" s="279" t="inlineStr">
        <is>
          <t>446720</t>
        </is>
      </c>
      <c r="D192" s="279" t="inlineStr">
        <is>
          <t>SOL 미국배당다우존스</t>
        </is>
      </c>
      <c r="E192" s="280" t="n">
        <v>55860</v>
      </c>
      <c r="F192" s="341" t="n"/>
      <c r="G192" s="280" t="n">
        <v>55860</v>
      </c>
      <c r="H192" s="279" t="inlineStr">
        <is>
          <t>실적</t>
        </is>
      </c>
    </row>
    <row r="193">
      <c r="A193" s="344" t="n">
        <v>46202</v>
      </c>
      <c r="B193" s="279" t="n">
        <v>6</v>
      </c>
      <c r="C193" s="279" t="inlineStr">
        <is>
          <t>458760</t>
        </is>
      </c>
      <c r="D193" s="279" t="inlineStr">
        <is>
          <t>TIGER 미배당다우커버드콜2호</t>
        </is>
      </c>
      <c r="E193" s="280" t="n">
        <v>1489241</v>
      </c>
      <c r="F193" s="341" t="n"/>
      <c r="G193" s="280" t="n">
        <v>1489241</v>
      </c>
      <c r="H193" s="279" t="inlineStr">
        <is>
          <t>실적</t>
        </is>
      </c>
    </row>
    <row r="194">
      <c r="A194" s="344" t="n">
        <v>46202</v>
      </c>
      <c r="B194" s="279" t="n">
        <v>6</v>
      </c>
      <c r="C194" s="279" t="inlineStr">
        <is>
          <t>468380</t>
        </is>
      </c>
      <c r="D194" s="279" t="inlineStr">
        <is>
          <t>KODEX iShares미국하이일드액티브</t>
        </is>
      </c>
      <c r="E194" s="280" t="n">
        <v>130000</v>
      </c>
      <c r="F194" s="341" t="n"/>
      <c r="G194" s="280" t="n">
        <v>130000</v>
      </c>
      <c r="H194" s="279" t="inlineStr">
        <is>
          <t>실적</t>
        </is>
      </c>
    </row>
    <row r="195">
      <c r="A195" s="344" t="n">
        <v>46202</v>
      </c>
      <c r="B195" s="279" t="n">
        <v>6</v>
      </c>
      <c r="C195" s="279" t="inlineStr">
        <is>
          <t>473330</t>
        </is>
      </c>
      <c r="D195" s="279" t="inlineStr">
        <is>
          <t>SOL 미국 30년국채커버드콜(합성)</t>
        </is>
      </c>
      <c r="E195" s="280" t="n">
        <v>81600</v>
      </c>
      <c r="F195" s="341" t="n"/>
      <c r="G195" s="280" t="n">
        <v>81600</v>
      </c>
      <c r="H195" s="279" t="inlineStr">
        <is>
          <t>실적</t>
        </is>
      </c>
    </row>
    <row r="196">
      <c r="A196" s="344" t="n">
        <v>46202</v>
      </c>
      <c r="B196" s="279" t="n">
        <v>6</v>
      </c>
      <c r="C196" s="279" t="inlineStr">
        <is>
          <t>475380</t>
        </is>
      </c>
      <c r="D196" s="279" t="inlineStr">
        <is>
          <t>RISE 글로벌리얼티인컴</t>
        </is>
      </c>
      <c r="E196" s="280" t="n">
        <v>3535</v>
      </c>
      <c r="F196" s="341" t="n"/>
      <c r="G196" s="280" t="n">
        <v>3535</v>
      </c>
      <c r="H196" s="279" t="inlineStr">
        <is>
          <t>실적</t>
        </is>
      </c>
    </row>
    <row r="197">
      <c r="A197" s="344" t="n">
        <v>46202</v>
      </c>
      <c r="B197" s="279" t="n">
        <v>6</v>
      </c>
      <c r="C197" s="279" t="inlineStr">
        <is>
          <t>476550</t>
        </is>
      </c>
      <c r="D197" s="279" t="inlineStr">
        <is>
          <t>TIGER 미국30년국채커버드콜액티브(H)</t>
        </is>
      </c>
      <c r="E197" s="280" t="n">
        <v>31463</v>
      </c>
      <c r="F197" s="341" t="n"/>
      <c r="G197" s="280" t="n">
        <v>31463</v>
      </c>
      <c r="H197" s="279" t="inlineStr">
        <is>
          <t>실적</t>
        </is>
      </c>
    </row>
    <row r="198">
      <c r="A198" s="344" t="n">
        <v>46202</v>
      </c>
      <c r="B198" s="279" t="n">
        <v>6</v>
      </c>
      <c r="C198" s="279" t="inlineStr">
        <is>
          <t>476690</t>
        </is>
      </c>
      <c r="D198" s="279" t="inlineStr">
        <is>
          <t>TIGER 글로벌비만치료제 TOP2 Plus</t>
        </is>
      </c>
      <c r="E198" s="280" t="n">
        <v>1500</v>
      </c>
      <c r="F198" s="341" t="n"/>
      <c r="G198" s="280" t="n">
        <v>1500</v>
      </c>
      <c r="H198" s="279" t="inlineStr">
        <is>
          <t>실적</t>
        </is>
      </c>
    </row>
    <row r="199">
      <c r="A199" s="344" t="n">
        <v>46202</v>
      </c>
      <c r="B199" s="279" t="n">
        <v>6</v>
      </c>
      <c r="C199" s="279" t="inlineStr">
        <is>
          <t>482730</t>
        </is>
      </c>
      <c r="D199" s="279" t="inlineStr">
        <is>
          <t>미국S&amp;P500타겟데일리커버드콜</t>
        </is>
      </c>
      <c r="E199" s="280" t="n">
        <v>45900</v>
      </c>
      <c r="F199" s="341" t="n"/>
      <c r="G199" s="280" t="n">
        <v>45900</v>
      </c>
      <c r="H199" s="279" t="inlineStr">
        <is>
          <t>실적</t>
        </is>
      </c>
    </row>
    <row r="200">
      <c r="A200" s="344" t="n">
        <v>46202</v>
      </c>
      <c r="B200" s="279" t="n">
        <v>6</v>
      </c>
      <c r="C200" s="279" t="inlineStr">
        <is>
          <t>483280</t>
        </is>
      </c>
      <c r="D200" s="279" t="inlineStr">
        <is>
          <t>KODEX 미국AI테크TOP10타겟커버드콜</t>
        </is>
      </c>
      <c r="E200" s="280" t="n">
        <v>351708</v>
      </c>
      <c r="F200" s="341" t="n"/>
      <c r="G200" s="280" t="n">
        <v>351708</v>
      </c>
      <c r="H200" s="279" t="inlineStr">
        <is>
          <t>실적</t>
        </is>
      </c>
    </row>
    <row r="201">
      <c r="A201" s="344" t="n">
        <v>46202</v>
      </c>
      <c r="B201" s="279" t="n">
        <v>6</v>
      </c>
      <c r="C201" s="279" t="inlineStr">
        <is>
          <t>498410</t>
        </is>
      </c>
      <c r="D201" s="279" t="inlineStr">
        <is>
          <t>KODEX금융고배당TOP10타겟위클리커버드콜</t>
        </is>
      </c>
      <c r="E201" s="280" t="n">
        <v>332780</v>
      </c>
      <c r="F201" s="341" t="n"/>
      <c r="G201" s="280" t="n">
        <v>332780</v>
      </c>
      <c r="H201" s="279" t="inlineStr">
        <is>
          <t>실적</t>
        </is>
      </c>
    </row>
    <row r="202">
      <c r="A202" s="344" t="n">
        <v>46203</v>
      </c>
      <c r="B202" s="279" t="n">
        <v>6</v>
      </c>
      <c r="C202" s="279" t="inlineStr">
        <is>
          <t>O</t>
        </is>
      </c>
      <c r="D202" s="279" t="inlineStr">
        <is>
          <t>리얼티인컴</t>
        </is>
      </c>
      <c r="E202" s="280" t="n"/>
      <c r="F202" s="341" t="n">
        <v>14.363</v>
      </c>
      <c r="G202" s="280" t="n">
        <v>19706.036</v>
      </c>
      <c r="H202" s="279" t="inlineStr">
        <is>
          <t>실적</t>
        </is>
      </c>
    </row>
    <row r="203">
      <c r="A203" s="344" t="n">
        <v>46213</v>
      </c>
      <c r="B203" s="279" t="n">
        <v>7</v>
      </c>
      <c r="C203" s="279" t="inlineStr">
        <is>
          <t>ORCL</t>
        </is>
      </c>
      <c r="D203" s="279" t="inlineStr">
        <is>
          <t>오라클</t>
        </is>
      </c>
      <c r="E203" s="280" t="n"/>
      <c r="F203" s="341" t="n">
        <v>1</v>
      </c>
      <c r="G203" s="280" t="n">
        <v>1372</v>
      </c>
      <c r="H203" s="279" t="inlineStr">
        <is>
          <t>실적</t>
        </is>
      </c>
    </row>
    <row r="204">
      <c r="A204" s="344" t="n">
        <v>46217</v>
      </c>
      <c r="B204" s="279" t="n">
        <v>7</v>
      </c>
      <c r="C204" s="279" t="inlineStr">
        <is>
          <t>0008S0</t>
        </is>
      </c>
      <c r="D204" s="279" t="inlineStr">
        <is>
          <t>TIGER 미국배당다우존스타겟데일리커버드콜</t>
        </is>
      </c>
      <c r="E204" s="280" t="n">
        <v>312000</v>
      </c>
      <c r="F204" s="341" t="n"/>
      <c r="G204" s="280" t="n">
        <v>312000</v>
      </c>
      <c r="H204" s="279" t="inlineStr">
        <is>
          <t>실적</t>
        </is>
      </c>
    </row>
    <row r="205">
      <c r="A205" s="344" t="n">
        <v>46217</v>
      </c>
      <c r="B205" s="279" t="n">
        <v>7</v>
      </c>
      <c r="C205" s="279" t="inlineStr">
        <is>
          <t>474220</t>
        </is>
      </c>
      <c r="D205" s="279" t="inlineStr">
        <is>
          <t>TIGER미국테크TOP10커버드콜</t>
        </is>
      </c>
      <c r="E205" s="280" t="n">
        <v>603372</v>
      </c>
      <c r="F205" s="341" t="n"/>
      <c r="G205" s="280" t="n">
        <v>603372</v>
      </c>
      <c r="H205" s="279" t="inlineStr">
        <is>
          <t>실적</t>
        </is>
      </c>
    </row>
    <row r="206">
      <c r="A206" s="344" t="n">
        <v>46217</v>
      </c>
      <c r="B206" s="279" t="n">
        <v>7</v>
      </c>
      <c r="C206" s="279" t="inlineStr">
        <is>
          <t>481060</t>
        </is>
      </c>
      <c r="D206" s="279" t="inlineStr">
        <is>
          <t>KODEX 미국30년국채타겟커버드콜(H)</t>
        </is>
      </c>
      <c r="E206" s="280" t="n">
        <v>238680</v>
      </c>
      <c r="F206" s="341" t="n"/>
      <c r="G206" s="280" t="n">
        <v>238680</v>
      </c>
      <c r="H206" s="279" t="inlineStr">
        <is>
          <t>실적</t>
        </is>
      </c>
    </row>
    <row r="207">
      <c r="A207" s="344" t="n">
        <v>46217</v>
      </c>
      <c r="B207" s="279" t="n">
        <v>7</v>
      </c>
      <c r="C207" s="279" t="inlineStr">
        <is>
          <t>490490</t>
        </is>
      </c>
      <c r="D207" s="279" t="inlineStr">
        <is>
          <t>SOL미국배당미국채혼합50</t>
        </is>
      </c>
      <c r="E207" s="280" t="n">
        <v>103167</v>
      </c>
      <c r="F207" s="341" t="n"/>
      <c r="G207" s="280" t="n">
        <v>103167</v>
      </c>
      <c r="H207" s="279" t="inlineStr">
        <is>
          <t>실적</t>
        </is>
      </c>
    </row>
    <row r="208">
      <c r="A208" s="344" t="n">
        <v>46217</v>
      </c>
      <c r="B208" s="279" t="n">
        <v>7</v>
      </c>
      <c r="C208" s="279" t="inlineStr">
        <is>
          <t>498400</t>
        </is>
      </c>
      <c r="D208" s="279" t="inlineStr">
        <is>
          <t>KODEX 200타켓위클리커버드콜</t>
        </is>
      </c>
      <c r="E208" s="280" t="n">
        <v>197353</v>
      </c>
      <c r="F208" s="341" t="n"/>
      <c r="G208" s="280" t="n">
        <v>197353</v>
      </c>
      <c r="H208" s="279" t="inlineStr">
        <is>
          <t>실적</t>
        </is>
      </c>
    </row>
    <row r="209">
      <c r="A209" s="344" t="n">
        <v>46233</v>
      </c>
      <c r="B209" s="279" t="n">
        <v>7</v>
      </c>
      <c r="C209" s="279" t="inlineStr">
        <is>
          <t>0219E0</t>
        </is>
      </c>
      <c r="D209" s="279" t="inlineStr">
        <is>
          <t>KODEX 200커버드콜액티브</t>
        </is>
      </c>
      <c r="E209" s="280" t="n">
        <v>192168</v>
      </c>
      <c r="F209" s="341" t="n"/>
      <c r="G209" s="280" t="n">
        <v>192168</v>
      </c>
      <c r="H209" s="279" t="inlineStr">
        <is>
          <t>실적</t>
        </is>
      </c>
    </row>
    <row r="210">
      <c r="A210" s="344" t="n">
        <v>46233</v>
      </c>
      <c r="B210" s="279" t="n">
        <v>7</v>
      </c>
      <c r="C210" s="279" t="inlineStr">
        <is>
          <t>024110</t>
        </is>
      </c>
      <c r="D210" s="279" t="inlineStr">
        <is>
          <t>기업은행</t>
        </is>
      </c>
      <c r="E210" s="280" t="n">
        <v>37590</v>
      </c>
      <c r="F210" s="341" t="n"/>
      <c r="G210" s="280" t="n">
        <v>37590</v>
      </c>
      <c r="H210" s="279" t="inlineStr">
        <is>
          <t>실적</t>
        </is>
      </c>
    </row>
    <row r="211">
      <c r="A211" s="344" t="n">
        <v>46233</v>
      </c>
      <c r="B211" s="279" t="n">
        <v>7</v>
      </c>
      <c r="C211" s="279" t="inlineStr">
        <is>
          <t>133690</t>
        </is>
      </c>
      <c r="D211" s="279" t="inlineStr">
        <is>
          <t>TIGER 미국나스닥100</t>
        </is>
      </c>
      <c r="E211" s="280" t="n">
        <v>14535</v>
      </c>
      <c r="F211" s="341" t="n"/>
      <c r="G211" s="280" t="n">
        <v>14535</v>
      </c>
      <c r="H211" s="279" t="inlineStr">
        <is>
          <t>실적</t>
        </is>
      </c>
    </row>
    <row r="212">
      <c r="A212" s="344" t="n">
        <v>46233</v>
      </c>
      <c r="B212" s="279" t="n">
        <v>7</v>
      </c>
      <c r="C212" s="279" t="inlineStr">
        <is>
          <t>329200</t>
        </is>
      </c>
      <c r="D212" s="279" t="inlineStr">
        <is>
          <t>TIGER리츠부동산인프라</t>
        </is>
      </c>
      <c r="E212" s="280" t="n">
        <v>165000</v>
      </c>
      <c r="F212" s="341" t="n"/>
      <c r="G212" s="280" t="n">
        <v>165000</v>
      </c>
      <c r="H212" s="279" t="inlineStr">
        <is>
          <t>실적</t>
        </is>
      </c>
    </row>
    <row r="213">
      <c r="A213" s="344" t="n">
        <v>46233</v>
      </c>
      <c r="B213" s="279" t="n">
        <v>7</v>
      </c>
      <c r="C213" s="279" t="inlineStr">
        <is>
          <t>360750</t>
        </is>
      </c>
      <c r="D213" s="279" t="inlineStr">
        <is>
          <t>TIGER미국S&amp;P500</t>
        </is>
      </c>
      <c r="E213" s="280" t="n">
        <v>14454</v>
      </c>
      <c r="F213" s="341" t="n"/>
      <c r="G213" s="280" t="n">
        <v>14454</v>
      </c>
      <c r="H213" s="279" t="inlineStr">
        <is>
          <t>실적</t>
        </is>
      </c>
    </row>
    <row r="214">
      <c r="A214" s="344" t="n">
        <v>46233</v>
      </c>
      <c r="B214" s="279" t="n">
        <v>7</v>
      </c>
      <c r="C214" s="279" t="inlineStr">
        <is>
          <t>367380</t>
        </is>
      </c>
      <c r="D214" s="279" t="inlineStr">
        <is>
          <t>ACE 미국나스닥100</t>
        </is>
      </c>
      <c r="E214" s="280" t="n">
        <v>15210</v>
      </c>
      <c r="F214" s="341" t="n"/>
      <c r="G214" s="280" t="n">
        <v>15210</v>
      </c>
      <c r="H214" s="279" t="inlineStr">
        <is>
          <t>실적</t>
        </is>
      </c>
    </row>
    <row r="215">
      <c r="A215" s="344" t="n">
        <v>46233</v>
      </c>
      <c r="B215" s="279" t="n">
        <v>7</v>
      </c>
      <c r="C215" s="279" t="inlineStr">
        <is>
          <t>379810</t>
        </is>
      </c>
      <c r="D215" s="279" t="inlineStr">
        <is>
          <t>KODEX 미국나스닥100</t>
        </is>
      </c>
      <c r="E215" s="280" t="n">
        <v>32702</v>
      </c>
      <c r="F215" s="341" t="n"/>
      <c r="G215" s="280" t="n">
        <v>32702</v>
      </c>
      <c r="H215" s="279" t="inlineStr">
        <is>
          <t>실적</t>
        </is>
      </c>
    </row>
    <row r="216">
      <c r="A216" s="344" t="n">
        <v>46233</v>
      </c>
      <c r="B216" s="279" t="n">
        <v>7</v>
      </c>
      <c r="C216" s="279" t="inlineStr">
        <is>
          <t>433330</t>
        </is>
      </c>
      <c r="D216" s="279" t="inlineStr">
        <is>
          <t>SOL 미국 S&amp;P500</t>
        </is>
      </c>
      <c r="E216" s="280" t="n">
        <v>15288</v>
      </c>
      <c r="F216" s="341" t="n"/>
      <c r="G216" s="280" t="n">
        <v>15288</v>
      </c>
      <c r="H216" s="279" t="inlineStr">
        <is>
          <t>실적</t>
        </is>
      </c>
    </row>
    <row r="217">
      <c r="A217" s="344" t="n">
        <v>46233</v>
      </c>
      <c r="B217" s="279" t="n">
        <v>7</v>
      </c>
      <c r="C217" s="279" t="inlineStr">
        <is>
          <t>446720</t>
        </is>
      </c>
      <c r="D217" s="279" t="inlineStr">
        <is>
          <t>SOL 미국배당다우존스</t>
        </is>
      </c>
      <c r="E217" s="280" t="n">
        <v>46550</v>
      </c>
      <c r="F217" s="341" t="n"/>
      <c r="G217" s="280" t="n">
        <v>46550</v>
      </c>
      <c r="H217" s="279" t="inlineStr">
        <is>
          <t>실적</t>
        </is>
      </c>
    </row>
    <row r="218">
      <c r="A218" s="344" t="n">
        <v>46233</v>
      </c>
      <c r="B218" s="279" t="n">
        <v>7</v>
      </c>
      <c r="C218" s="279" t="inlineStr">
        <is>
          <t>458760</t>
        </is>
      </c>
      <c r="D218" s="279" t="inlineStr">
        <is>
          <t>TIGER 미배당다우커버드콜2호</t>
        </is>
      </c>
      <c r="E218" s="280" t="n">
        <v>1427829</v>
      </c>
      <c r="F218" s="341" t="n"/>
      <c r="G218" s="280" t="n">
        <v>1427829</v>
      </c>
      <c r="H218" s="279" t="inlineStr">
        <is>
          <t>실적</t>
        </is>
      </c>
    </row>
    <row r="219">
      <c r="A219" s="344" t="n">
        <v>46233</v>
      </c>
      <c r="B219" s="279" t="n">
        <v>7</v>
      </c>
      <c r="C219" s="279" t="inlineStr">
        <is>
          <t>468380</t>
        </is>
      </c>
      <c r="D219" s="279" t="inlineStr">
        <is>
          <t>KODEX iShares미국하이일드액티브</t>
        </is>
      </c>
      <c r="E219" s="280" t="n">
        <v>130000</v>
      </c>
      <c r="F219" s="341" t="n"/>
      <c r="G219" s="280" t="n">
        <v>130000</v>
      </c>
      <c r="H219" s="279" t="inlineStr">
        <is>
          <t>실적</t>
        </is>
      </c>
    </row>
    <row r="220">
      <c r="A220" s="344" t="n">
        <v>46233</v>
      </c>
      <c r="B220" s="279" t="n">
        <v>7</v>
      </c>
      <c r="C220" s="279" t="inlineStr">
        <is>
          <t>473330</t>
        </is>
      </c>
      <c r="D220" s="279" t="inlineStr">
        <is>
          <t>SOL 미국 30년국채커버드콜(합성)</t>
        </is>
      </c>
      <c r="E220" s="280" t="n">
        <v>62400</v>
      </c>
      <c r="F220" s="341" t="n"/>
      <c r="G220" s="280" t="n">
        <v>62400</v>
      </c>
      <c r="H220" s="279" t="inlineStr">
        <is>
          <t>실적</t>
        </is>
      </c>
    </row>
    <row r="221">
      <c r="A221" s="344" t="n">
        <v>46233</v>
      </c>
      <c r="B221" s="279" t="n">
        <v>7</v>
      </c>
      <c r="C221" s="279" t="inlineStr">
        <is>
          <t>475380</t>
        </is>
      </c>
      <c r="D221" s="279" t="inlineStr">
        <is>
          <t>RISE 글로벌리얼티인컴</t>
        </is>
      </c>
      <c r="E221" s="280" t="n">
        <v>3333</v>
      </c>
      <c r="F221" s="341" t="n"/>
      <c r="G221" s="280" t="n">
        <v>3333</v>
      </c>
      <c r="H221" s="279" t="inlineStr">
        <is>
          <t>실적</t>
        </is>
      </c>
    </row>
    <row r="222">
      <c r="A222" s="344" t="n">
        <v>46233</v>
      </c>
      <c r="B222" s="279" t="n">
        <v>7</v>
      </c>
      <c r="C222" s="279" t="inlineStr">
        <is>
          <t>476550</t>
        </is>
      </c>
      <c r="D222" s="279" t="inlineStr">
        <is>
          <t>TIGER 미국30년국채커버드콜액티브(H)</t>
        </is>
      </c>
      <c r="E222" s="280" t="n">
        <v>30170</v>
      </c>
      <c r="F222" s="341" t="n"/>
      <c r="G222" s="280" t="n">
        <v>30170</v>
      </c>
      <c r="H222" s="279" t="inlineStr">
        <is>
          <t>실적</t>
        </is>
      </c>
    </row>
    <row r="223">
      <c r="A223" s="344" t="n">
        <v>46233</v>
      </c>
      <c r="B223" s="279" t="n">
        <v>7</v>
      </c>
      <c r="C223" s="279" t="inlineStr">
        <is>
          <t>476690</t>
        </is>
      </c>
      <c r="D223" s="279" t="inlineStr">
        <is>
          <t>TIGER 글로벌비만치료제 TOP2 Plus</t>
        </is>
      </c>
      <c r="E223" s="280" t="n">
        <v>1100</v>
      </c>
      <c r="F223" s="341" t="n"/>
      <c r="G223" s="280" t="n">
        <v>1100</v>
      </c>
      <c r="H223" s="279" t="inlineStr">
        <is>
          <t>실적</t>
        </is>
      </c>
    </row>
    <row r="224">
      <c r="A224" s="344" t="n">
        <v>46233</v>
      </c>
      <c r="B224" s="279" t="n">
        <v>7</v>
      </c>
      <c r="C224" s="279" t="inlineStr">
        <is>
          <t>482730</t>
        </is>
      </c>
      <c r="D224" s="279" t="inlineStr">
        <is>
          <t>미국S&amp;P500타겟데일리커버드콜</t>
        </is>
      </c>
      <c r="E224" s="280" t="n">
        <v>43350</v>
      </c>
      <c r="F224" s="341" t="n"/>
      <c r="G224" s="280" t="n">
        <v>43350</v>
      </c>
      <c r="H224" s="279" t="inlineStr">
        <is>
          <t>실적</t>
        </is>
      </c>
    </row>
    <row r="225">
      <c r="A225" s="344" t="n">
        <v>46233</v>
      </c>
      <c r="B225" s="279" t="n">
        <v>7</v>
      </c>
      <c r="C225" s="279" t="inlineStr">
        <is>
          <t>483280</t>
        </is>
      </c>
      <c r="D225" s="279" t="inlineStr">
        <is>
          <t>KODEX 미국AI테크TOP10타겟커버드콜</t>
        </is>
      </c>
      <c r="E225" s="280" t="n">
        <v>260442</v>
      </c>
      <c r="F225" s="341" t="n"/>
      <c r="G225" s="280" t="n">
        <v>260442</v>
      </c>
      <c r="H225" s="279" t="inlineStr">
        <is>
          <t>실적</t>
        </is>
      </c>
    </row>
    <row r="226">
      <c r="A226" s="344" t="n">
        <v>46233</v>
      </c>
      <c r="B226" s="279" t="n">
        <v>7</v>
      </c>
      <c r="C226" s="279" t="inlineStr">
        <is>
          <t>498270</t>
        </is>
      </c>
      <c r="D226" s="279" t="inlineStr">
        <is>
          <t>KIWOOM 미국양자컴퓨팅</t>
        </is>
      </c>
      <c r="E226" s="280" t="n">
        <v>4158</v>
      </c>
      <c r="F226" s="341" t="n"/>
      <c r="G226" s="280" t="n">
        <v>4158</v>
      </c>
      <c r="H226" s="279" t="inlineStr">
        <is>
          <t>실적</t>
        </is>
      </c>
    </row>
    <row r="227">
      <c r="A227" s="344" t="n">
        <v>46233</v>
      </c>
      <c r="B227" s="279" t="n">
        <v>7</v>
      </c>
      <c r="C227" s="279" t="inlineStr">
        <is>
          <t>498410</t>
        </is>
      </c>
      <c r="D227" s="279" t="inlineStr">
        <is>
          <t>KODEX금융고배당TOP10타겟위클리커버드콜</t>
        </is>
      </c>
      <c r="E227" s="280" t="n">
        <v>366058</v>
      </c>
      <c r="F227" s="341" t="n"/>
      <c r="G227" s="280" t="n">
        <v>366058</v>
      </c>
      <c r="H227" s="279" t="inlineStr">
        <is>
          <t>실적</t>
        </is>
      </c>
    </row>
    <row r="228">
      <c r="A228" s="344" t="n">
        <v>46234</v>
      </c>
      <c r="B228" s="279" t="n">
        <v>7</v>
      </c>
      <c r="C228" s="279" t="inlineStr">
        <is>
          <t>O</t>
        </is>
      </c>
      <c r="D228" s="279" t="inlineStr">
        <is>
          <t>리얼티인컴</t>
        </is>
      </c>
      <c r="E228" s="280" t="n"/>
      <c r="F228" s="341" t="n">
        <v>14.363</v>
      </c>
      <c r="G228" s="280" t="n">
        <v>19706.036</v>
      </c>
      <c r="H228" s="279" t="inlineStr">
        <is>
          <t>실적</t>
        </is>
      </c>
    </row>
    <row r="229">
      <c r="A229" s="344" t="n">
        <v>46240</v>
      </c>
      <c r="B229" s="279" t="n">
        <v>8</v>
      </c>
      <c r="C229" s="279" t="n">
        <v>105560</v>
      </c>
      <c r="D229" s="279" t="inlineStr">
        <is>
          <t>KB금융</t>
        </is>
      </c>
      <c r="E229" s="280" t="n">
        <v>13860</v>
      </c>
      <c r="F229" s="341" t="n"/>
      <c r="G229" s="280" t="n">
        <v>13860</v>
      </c>
      <c r="H229" s="279" t="inlineStr">
        <is>
          <t>실적</t>
        </is>
      </c>
    </row>
    <row r="230">
      <c r="A230" s="344" t="n">
        <v>46244</v>
      </c>
      <c r="B230" s="279" t="n">
        <v>8</v>
      </c>
      <c r="C230" s="279" t="inlineStr">
        <is>
          <t>AAPL</t>
        </is>
      </c>
      <c r="D230" s="279" t="inlineStr">
        <is>
          <t>애플</t>
        </is>
      </c>
      <c r="E230" s="280" t="n"/>
      <c r="F230" s="341" t="n">
        <v>2.43</v>
      </c>
      <c r="G230" s="280" t="n">
        <v>3333.96</v>
      </c>
      <c r="H230" s="279" t="inlineStr">
        <is>
          <t>실적</t>
        </is>
      </c>
    </row>
    <row r="231">
      <c r="A231" s="344" t="n">
        <v>46247</v>
      </c>
      <c r="B231" s="279" t="n">
        <v>8</v>
      </c>
      <c r="C231" s="279" t="inlineStr">
        <is>
          <t>0008S0</t>
        </is>
      </c>
      <c r="D231" s="279" t="inlineStr">
        <is>
          <t>TIGER 미국배당다우존스타겟데일리커버드콜</t>
        </is>
      </c>
      <c r="E231" s="280" t="n">
        <v>309000</v>
      </c>
      <c r="F231" s="341" t="n"/>
      <c r="G231" s="280" t="n">
        <v>309000</v>
      </c>
      <c r="H231" s="279" t="inlineStr">
        <is>
          <t>실적</t>
        </is>
      </c>
    </row>
    <row r="232">
      <c r="A232" s="344" t="n">
        <v>46247</v>
      </c>
      <c r="B232" s="279" t="n">
        <v>8</v>
      </c>
      <c r="C232" s="279" t="inlineStr">
        <is>
          <t>474220</t>
        </is>
      </c>
      <c r="D232" s="279" t="inlineStr">
        <is>
          <t>TIGER미국테크TOP10커버드콜</t>
        </is>
      </c>
      <c r="E232" s="280" t="n">
        <v>594230</v>
      </c>
      <c r="F232" s="341" t="n"/>
      <c r="G232" s="280" t="n">
        <v>594230</v>
      </c>
      <c r="H232" s="279" t="inlineStr">
        <is>
          <t>실적</t>
        </is>
      </c>
    </row>
    <row r="233">
      <c r="A233" s="344" t="n">
        <v>46247</v>
      </c>
      <c r="B233" s="279" t="n">
        <v>8</v>
      </c>
      <c r="C233" s="279" t="inlineStr">
        <is>
          <t>481060</t>
        </is>
      </c>
      <c r="D233" s="279" t="inlineStr">
        <is>
          <t>KODEX 미국30년국채타겟커버드콜(H)</t>
        </is>
      </c>
      <c r="E233" s="280" t="n">
        <v>226440</v>
      </c>
      <c r="F233" s="341" t="n"/>
      <c r="G233" s="280" t="n">
        <v>226440</v>
      </c>
      <c r="H233" s="279" t="inlineStr">
        <is>
          <t>실적</t>
        </is>
      </c>
    </row>
    <row r="234">
      <c r="A234" s="344" t="n">
        <v>46247</v>
      </c>
      <c r="B234" s="279" t="n">
        <v>8</v>
      </c>
      <c r="C234" s="279" t="inlineStr">
        <is>
          <t>490490</t>
        </is>
      </c>
      <c r="D234" s="279" t="inlineStr">
        <is>
          <t>SOL미국배당미국채혼합50</t>
        </is>
      </c>
      <c r="E234" s="280" t="n">
        <v>80241</v>
      </c>
      <c r="F234" s="341" t="n"/>
      <c r="G234" s="280" t="n">
        <v>80241</v>
      </c>
      <c r="H234" s="279" t="inlineStr">
        <is>
          <t>실적</t>
        </is>
      </c>
    </row>
    <row r="235">
      <c r="A235" s="344" t="n">
        <v>46247</v>
      </c>
      <c r="B235" s="279" t="n">
        <v>8</v>
      </c>
      <c r="C235" s="279" t="inlineStr">
        <is>
          <t>498400</t>
        </is>
      </c>
      <c r="D235" s="279" t="inlineStr">
        <is>
          <t>KODEX 200타켓위클리커버드콜</t>
        </is>
      </c>
      <c r="E235" s="280" t="n">
        <v>164970</v>
      </c>
      <c r="F235" s="341" t="n"/>
      <c r="G235" s="280" t="n">
        <v>164970</v>
      </c>
      <c r="H235" s="279" t="inlineStr">
        <is>
          <t>실적</t>
        </is>
      </c>
    </row>
    <row r="236">
      <c r="A236" s="344" t="n">
        <v>46248</v>
      </c>
      <c r="B236" s="279" t="n">
        <v>8</v>
      </c>
      <c r="C236" s="279" t="inlineStr">
        <is>
          <t>SBUX</t>
        </is>
      </c>
      <c r="D236" s="279" t="inlineStr">
        <is>
          <t>스타벅스</t>
        </is>
      </c>
      <c r="E236" s="280" t="n"/>
      <c r="F236" s="341" t="n">
        <v>1.24</v>
      </c>
      <c r="G236" s="280" t="n">
        <v>1701.28</v>
      </c>
      <c r="H236" s="279" t="inlineStr">
        <is>
          <t>실적</t>
        </is>
      </c>
    </row>
    <row r="237">
      <c r="A237" s="344" t="n">
        <v>46251</v>
      </c>
      <c r="B237" s="279" t="n">
        <v>8</v>
      </c>
      <c r="C237" s="279" t="inlineStr">
        <is>
          <t>NVO</t>
        </is>
      </c>
      <c r="D237" s="279" t="inlineStr">
        <is>
          <t>노보 노디스크</t>
        </is>
      </c>
      <c r="E237" s="280" t="n"/>
      <c r="F237" s="341" t="n">
        <v>8.685</v>
      </c>
      <c r="G237" s="280" t="n">
        <v>11915.82</v>
      </c>
      <c r="H237" s="279" t="inlineStr">
        <is>
          <t>실적</t>
        </is>
      </c>
    </row>
    <row r="238">
      <c r="A238" s="344" t="n">
        <v>46251</v>
      </c>
      <c r="B238" s="279" t="n">
        <v>8</v>
      </c>
      <c r="C238" s="279" t="inlineStr">
        <is>
          <t>XOM</t>
        </is>
      </c>
      <c r="D238" s="279" t="inlineStr">
        <is>
          <t>엑슨모빌</t>
        </is>
      </c>
      <c r="E238" s="280" t="n"/>
      <c r="F238" s="341" t="n">
        <v>1.03</v>
      </c>
      <c r="G238" s="280" t="n">
        <v>1413.16</v>
      </c>
      <c r="H238" s="279" t="inlineStr">
        <is>
          <t>실적</t>
        </is>
      </c>
    </row>
    <row r="239">
      <c r="A239" s="344" t="n">
        <v>46253</v>
      </c>
      <c r="B239" s="279" t="n">
        <v>8</v>
      </c>
      <c r="C239" s="279" t="inlineStr">
        <is>
          <t>CVX</t>
        </is>
      </c>
      <c r="D239" s="279" t="inlineStr">
        <is>
          <t>셰브론</t>
        </is>
      </c>
      <c r="E239" s="280" t="n"/>
      <c r="F239" s="341" t="n">
        <v>1.78</v>
      </c>
      <c r="G239" s="280" t="n">
        <v>2442.16</v>
      </c>
      <c r="H239" s="279" t="inlineStr">
        <is>
          <t>실적</t>
        </is>
      </c>
    </row>
    <row r="240">
      <c r="A240" s="344" t="n">
        <v>46254</v>
      </c>
      <c r="B240" s="279" t="n">
        <v>8</v>
      </c>
      <c r="C240" s="279" t="inlineStr">
        <is>
          <t>MSFT</t>
        </is>
      </c>
      <c r="D240" s="279" t="inlineStr">
        <is>
          <t>마이크로소프트</t>
        </is>
      </c>
      <c r="E240" s="280" t="n"/>
      <c r="F240" s="341" t="n">
        <v>1.82</v>
      </c>
      <c r="G240" s="280" t="n">
        <v>2497.04</v>
      </c>
      <c r="H240" s="279" t="inlineStr">
        <is>
          <t>실적</t>
        </is>
      </c>
    </row>
    <row r="241">
      <c r="A241" s="344" t="n">
        <v>46262</v>
      </c>
      <c r="B241" s="279" t="n">
        <v>8</v>
      </c>
      <c r="C241" s="279" t="inlineStr">
        <is>
          <t>005389</t>
        </is>
      </c>
      <c r="D241" s="279" t="inlineStr">
        <is>
          <t>현대차3우B</t>
        </is>
      </c>
      <c r="E241" s="280" t="n">
        <v>32500</v>
      </c>
      <c r="F241" s="341" t="n"/>
      <c r="G241" s="280" t="n">
        <v>32500</v>
      </c>
      <c r="H241" s="279" t="inlineStr">
        <is>
          <t>실적</t>
        </is>
      </c>
    </row>
    <row r="242">
      <c r="A242" s="344" t="n">
        <v>46262</v>
      </c>
      <c r="B242" s="279" t="n">
        <v>8</v>
      </c>
      <c r="C242" s="279" t="inlineStr">
        <is>
          <t>0219E0</t>
        </is>
      </c>
      <c r="D242" s="279" t="inlineStr">
        <is>
          <t>KODEX 200커버드콜액티브</t>
        </is>
      </c>
      <c r="E242" s="280" t="n">
        <v>209752</v>
      </c>
      <c r="F242" s="341" t="n"/>
      <c r="G242" s="280" t="n">
        <v>209752</v>
      </c>
      <c r="H242" s="279" t="inlineStr">
        <is>
          <t>실적</t>
        </is>
      </c>
    </row>
    <row r="243">
      <c r="A243" s="344" t="n">
        <v>46262</v>
      </c>
      <c r="B243" s="279" t="n">
        <v>8</v>
      </c>
      <c r="C243" s="279" t="inlineStr">
        <is>
          <t>329200</t>
        </is>
      </c>
      <c r="D243" s="279" t="inlineStr">
        <is>
          <t>TIGER리츠부동산인프라</t>
        </is>
      </c>
      <c r="E243" s="280" t="n">
        <v>165000</v>
      </c>
      <c r="F243" s="341" t="n"/>
      <c r="G243" s="280" t="n">
        <v>165000</v>
      </c>
      <c r="H243" s="279" t="inlineStr">
        <is>
          <t>실적</t>
        </is>
      </c>
    </row>
    <row r="244">
      <c r="A244" s="344" t="n">
        <v>46262</v>
      </c>
      <c r="B244" s="279" t="n">
        <v>8</v>
      </c>
      <c r="C244" s="279" t="inlineStr">
        <is>
          <t>433330</t>
        </is>
      </c>
      <c r="D244" s="279" t="inlineStr">
        <is>
          <t>SOL 미국 S&amp;P500</t>
        </is>
      </c>
      <c r="E244" s="280" t="n">
        <v>24206</v>
      </c>
      <c r="F244" s="341" t="n"/>
      <c r="G244" s="280" t="n">
        <v>24206</v>
      </c>
      <c r="H244" s="279" t="inlineStr">
        <is>
          <t>실적</t>
        </is>
      </c>
    </row>
    <row r="245">
      <c r="A245" s="344" t="n">
        <v>46262</v>
      </c>
      <c r="B245" s="279" t="n">
        <v>8</v>
      </c>
      <c r="C245" s="279" t="inlineStr">
        <is>
          <t>446720</t>
        </is>
      </c>
      <c r="D245" s="279" t="inlineStr">
        <is>
          <t>SOL 미국배당다우존스</t>
        </is>
      </c>
      <c r="E245" s="280" t="n">
        <v>35910</v>
      </c>
      <c r="F245" s="341" t="n"/>
      <c r="G245" s="280" t="n">
        <v>35910</v>
      </c>
      <c r="H245" s="279" t="inlineStr">
        <is>
          <t>실적</t>
        </is>
      </c>
    </row>
    <row r="246">
      <c r="A246" s="344" t="n">
        <v>46262</v>
      </c>
      <c r="B246" s="279" t="n">
        <v>8</v>
      </c>
      <c r="C246" s="279" t="inlineStr">
        <is>
          <t>458760</t>
        </is>
      </c>
      <c r="D246" s="279" t="inlineStr">
        <is>
          <t>TIGER 미배당다우커버드콜2호</t>
        </is>
      </c>
      <c r="E246" s="280" t="n">
        <v>1381770</v>
      </c>
      <c r="F246" s="341" t="n"/>
      <c r="G246" s="280" t="n">
        <v>1381770</v>
      </c>
      <c r="H246" s="279" t="inlineStr">
        <is>
          <t>실적</t>
        </is>
      </c>
    </row>
    <row r="247">
      <c r="A247" s="344" t="n">
        <v>46262</v>
      </c>
      <c r="B247" s="279" t="n">
        <v>8</v>
      </c>
      <c r="C247" s="279" t="inlineStr">
        <is>
          <t>468380</t>
        </is>
      </c>
      <c r="D247" s="279" t="inlineStr">
        <is>
          <t>KODEX iShares미국하이일드액티브</t>
        </is>
      </c>
      <c r="E247" s="280" t="n">
        <v>126000</v>
      </c>
      <c r="F247" s="341" t="n"/>
      <c r="G247" s="280" t="n">
        <v>126000</v>
      </c>
      <c r="H247" s="279" t="inlineStr">
        <is>
          <t>실적</t>
        </is>
      </c>
    </row>
    <row r="248">
      <c r="A248" s="344" t="n">
        <v>46262</v>
      </c>
      <c r="B248" s="279" t="n">
        <v>8</v>
      </c>
      <c r="C248" s="279" t="inlineStr">
        <is>
          <t>473330</t>
        </is>
      </c>
      <c r="D248" s="279" t="inlineStr">
        <is>
          <t>SOL 미국 30년국채커버드콜(합성)</t>
        </is>
      </c>
      <c r="E248" s="280" t="n">
        <v>57600</v>
      </c>
      <c r="F248" s="341" t="n"/>
      <c r="G248" s="280" t="n">
        <v>57600</v>
      </c>
      <c r="H248" s="279" t="inlineStr">
        <is>
          <t>실적</t>
        </is>
      </c>
    </row>
    <row r="249">
      <c r="A249" s="344" t="n">
        <v>46262</v>
      </c>
      <c r="B249" s="279" t="n">
        <v>8</v>
      </c>
      <c r="C249" s="279" t="inlineStr">
        <is>
          <t>475380</t>
        </is>
      </c>
      <c r="D249" s="279" t="inlineStr">
        <is>
          <t>RISE 글로벌리얼티인컴</t>
        </is>
      </c>
      <c r="E249" s="280" t="n">
        <v>3232</v>
      </c>
      <c r="F249" s="341" t="n"/>
      <c r="G249" s="280" t="n">
        <v>3232</v>
      </c>
      <c r="H249" s="279" t="inlineStr">
        <is>
          <t>실적</t>
        </is>
      </c>
    </row>
    <row r="250">
      <c r="A250" s="344" t="n">
        <v>46262</v>
      </c>
      <c r="B250" s="279" t="n">
        <v>8</v>
      </c>
      <c r="C250" s="279" t="inlineStr">
        <is>
          <t>476550</t>
        </is>
      </c>
      <c r="D250" s="279" t="inlineStr">
        <is>
          <t>TIGER 미국30년국채커버드콜액티브(H)</t>
        </is>
      </c>
      <c r="E250" s="280" t="n">
        <v>29739</v>
      </c>
      <c r="F250" s="341" t="n"/>
      <c r="G250" s="280" t="n">
        <v>29739</v>
      </c>
      <c r="H250" s="279" t="inlineStr">
        <is>
          <t>실적</t>
        </is>
      </c>
    </row>
    <row r="251">
      <c r="A251" s="344" t="n">
        <v>46262</v>
      </c>
      <c r="B251" s="279" t="n">
        <v>8</v>
      </c>
      <c r="C251" s="279" t="inlineStr">
        <is>
          <t>476690</t>
        </is>
      </c>
      <c r="D251" s="279" t="inlineStr">
        <is>
          <t>TIGER 글로벌비만치료제 TOP2 Plus</t>
        </is>
      </c>
      <c r="E251" s="280" t="n">
        <v>1100</v>
      </c>
      <c r="F251" s="341" t="n"/>
      <c r="G251" s="280" t="n">
        <v>1100</v>
      </c>
      <c r="H251" s="279" t="inlineStr">
        <is>
          <t>실적</t>
        </is>
      </c>
    </row>
    <row r="252">
      <c r="A252" s="344" t="n">
        <v>46262</v>
      </c>
      <c r="B252" s="279" t="n">
        <v>8</v>
      </c>
      <c r="C252" s="279" t="inlineStr">
        <is>
          <t>482730</t>
        </is>
      </c>
      <c r="D252" s="279" t="inlineStr">
        <is>
          <t>미국S&amp;P500타겟데일리커버드콜</t>
        </is>
      </c>
      <c r="E252" s="280" t="n">
        <v>42500</v>
      </c>
      <c r="F252" s="341" t="n"/>
      <c r="G252" s="280" t="n">
        <v>42500</v>
      </c>
      <c r="H252" s="279" t="inlineStr">
        <is>
          <t>실적</t>
        </is>
      </c>
    </row>
    <row r="253">
      <c r="A253" s="344" t="n">
        <v>46262</v>
      </c>
      <c r="B253" s="279" t="n">
        <v>8</v>
      </c>
      <c r="C253" s="279" t="inlineStr">
        <is>
          <t>483280</t>
        </is>
      </c>
      <c r="D253" s="279" t="inlineStr">
        <is>
          <t>KODEX 미국AI테크TOP10타겟커버드콜</t>
        </is>
      </c>
      <c r="E253" s="280" t="n">
        <v>318318</v>
      </c>
      <c r="F253" s="341" t="n"/>
      <c r="G253" s="280" t="n">
        <v>318318</v>
      </c>
      <c r="H253" s="279" t="inlineStr">
        <is>
          <t>실적</t>
        </is>
      </c>
    </row>
    <row r="254">
      <c r="A254" s="344" t="n">
        <v>46262</v>
      </c>
      <c r="B254" s="279" t="n">
        <v>8</v>
      </c>
      <c r="C254" s="279" t="inlineStr">
        <is>
          <t>498410</t>
        </is>
      </c>
      <c r="D254" s="279" t="inlineStr">
        <is>
          <t>KODEX금융고배당TOP10타겟위클리커버드콜</t>
        </is>
      </c>
      <c r="E254" s="280" t="n">
        <v>342288</v>
      </c>
      <c r="F254" s="341" t="n"/>
      <c r="G254" s="280" t="n">
        <v>342288</v>
      </c>
      <c r="H254" s="279" t="inlineStr">
        <is>
          <t>실적</t>
        </is>
      </c>
    </row>
    <row r="255">
      <c r="A255" s="344" t="n">
        <v>46262</v>
      </c>
      <c r="B255" s="279" t="n">
        <v>8</v>
      </c>
      <c r="C255" s="279" t="inlineStr">
        <is>
          <t>TMUS</t>
        </is>
      </c>
      <c r="D255" s="279" t="inlineStr">
        <is>
          <t>T-모바일</t>
        </is>
      </c>
      <c r="E255" s="280" t="n"/>
      <c r="F255" s="341" t="n">
        <v>4.08</v>
      </c>
      <c r="G255" s="280" t="n">
        <v>5597.76</v>
      </c>
      <c r="H255" s="279" t="inlineStr">
        <is>
          <t>실적</t>
        </is>
      </c>
    </row>
    <row r="256">
      <c r="A256" s="344" t="n">
        <v>46265</v>
      </c>
      <c r="B256" s="279" t="n">
        <v>8</v>
      </c>
      <c r="C256" s="279" t="inlineStr">
        <is>
          <t>O</t>
        </is>
      </c>
      <c r="D256" s="279" t="inlineStr">
        <is>
          <t>리얼티인컴</t>
        </is>
      </c>
      <c r="E256" s="280" t="n"/>
      <c r="F256" s="341" t="n">
        <v>14.363</v>
      </c>
      <c r="G256" s="280" t="n">
        <v>19706.036</v>
      </c>
      <c r="H256" s="279" t="inlineStr">
        <is>
          <t>실적</t>
        </is>
      </c>
    </row>
    <row r="257">
      <c r="A257" s="345" t="n">
        <v>46267</v>
      </c>
      <c r="B257" s="288" t="n">
        <v>9</v>
      </c>
      <c r="C257" s="288" t="inlineStr">
        <is>
          <t>NKE</t>
        </is>
      </c>
      <c r="D257" s="288" t="inlineStr">
        <is>
          <t>나이키</t>
        </is>
      </c>
      <c r="E257" s="289" t="n"/>
      <c r="F257" s="343" t="n">
        <v>3.85</v>
      </c>
      <c r="G257" s="289" t="n">
        <v>5282.2</v>
      </c>
      <c r="H257" s="288" t="inlineStr">
        <is>
          <t>예측</t>
        </is>
      </c>
    </row>
    <row r="258">
      <c r="A258" s="345" t="n">
        <v>46267</v>
      </c>
      <c r="B258" s="288" t="n">
        <v>9</v>
      </c>
      <c r="C258" s="288" t="inlineStr">
        <is>
          <t>O</t>
        </is>
      </c>
      <c r="D258" s="288" t="inlineStr">
        <is>
          <t>리얼티인컴</t>
        </is>
      </c>
      <c r="E258" s="289" t="n"/>
      <c r="F258" s="343" t="n">
        <v>14.098</v>
      </c>
      <c r="G258" s="289" t="n">
        <v>19342.456</v>
      </c>
      <c r="H258" s="288" t="inlineStr">
        <is>
          <t>예측</t>
        </is>
      </c>
    </row>
    <row r="259">
      <c r="A259" s="345" t="n">
        <v>46277</v>
      </c>
      <c r="B259" s="288" t="n">
        <v>9</v>
      </c>
      <c r="C259" s="288" t="inlineStr">
        <is>
          <t>0008S0</t>
        </is>
      </c>
      <c r="D259" s="288" t="inlineStr">
        <is>
          <t>TIGER 미국배당다우존스타겟데일리커버드콜</t>
        </is>
      </c>
      <c r="E259" s="289" t="n">
        <v>264000</v>
      </c>
      <c r="F259" s="343" t="n"/>
      <c r="G259" s="289" t="n">
        <v>264000</v>
      </c>
      <c r="H259" s="288" t="inlineStr">
        <is>
          <t>예측</t>
        </is>
      </c>
    </row>
    <row r="260">
      <c r="A260" s="345" t="n">
        <v>46277</v>
      </c>
      <c r="B260" s="288" t="n">
        <v>9</v>
      </c>
      <c r="C260" s="288" t="inlineStr">
        <is>
          <t>474220</t>
        </is>
      </c>
      <c r="D260" s="288" t="inlineStr">
        <is>
          <t>TIGER미국테크TOP10커버드콜</t>
        </is>
      </c>
      <c r="E260" s="289" t="n">
        <v>495954</v>
      </c>
      <c r="F260" s="343" t="n"/>
      <c r="G260" s="289" t="n">
        <v>495954</v>
      </c>
      <c r="H260" s="288" t="inlineStr">
        <is>
          <t>예측</t>
        </is>
      </c>
    </row>
    <row r="261">
      <c r="A261" s="345" t="n">
        <v>46277</v>
      </c>
      <c r="B261" s="288" t="n">
        <v>9</v>
      </c>
      <c r="C261" s="288" t="inlineStr">
        <is>
          <t>490490</t>
        </is>
      </c>
      <c r="D261" s="288" t="inlineStr">
        <is>
          <t>SOL미국배당미국채혼합50</t>
        </is>
      </c>
      <c r="E261" s="289" t="n">
        <v>137556</v>
      </c>
      <c r="F261" s="343" t="n"/>
      <c r="G261" s="289" t="n">
        <v>137556</v>
      </c>
      <c r="H261" s="288" t="inlineStr">
        <is>
          <t>예측</t>
        </is>
      </c>
    </row>
    <row r="262">
      <c r="A262" s="345" t="n">
        <v>46277</v>
      </c>
      <c r="B262" s="288" t="n">
        <v>9</v>
      </c>
      <c r="C262" s="288" t="inlineStr">
        <is>
          <t>498400</t>
        </is>
      </c>
      <c r="D262" s="288" t="inlineStr">
        <is>
          <t>KODEX 200타켓위클리커버드콜</t>
        </is>
      </c>
      <c r="E262" s="289" t="n">
        <v>98371</v>
      </c>
      <c r="F262" s="343" t="n"/>
      <c r="G262" s="289" t="n">
        <v>98371</v>
      </c>
      <c r="H262" s="288" t="inlineStr">
        <is>
          <t>예측</t>
        </is>
      </c>
    </row>
    <row r="263">
      <c r="A263" s="345" t="n">
        <v>46285</v>
      </c>
      <c r="B263" s="288" t="n">
        <v>9</v>
      </c>
      <c r="C263" s="288" t="inlineStr">
        <is>
          <t>481060</t>
        </is>
      </c>
      <c r="D263" s="288" t="inlineStr">
        <is>
          <t>KODEX 미국30년국채타겟커버드콜(H)</t>
        </is>
      </c>
      <c r="E263" s="289" t="n">
        <v>296820</v>
      </c>
      <c r="F263" s="343" t="n"/>
      <c r="G263" s="289" t="n">
        <v>296820</v>
      </c>
      <c r="H263" s="288" t="inlineStr">
        <is>
          <t>예측</t>
        </is>
      </c>
    </row>
    <row r="264">
      <c r="A264" s="345" t="n">
        <v>46289</v>
      </c>
      <c r="B264" s="288" t="n">
        <v>9</v>
      </c>
      <c r="C264" s="288" t="inlineStr">
        <is>
          <t>QLD</t>
        </is>
      </c>
      <c r="D264" s="288" t="inlineStr">
        <is>
          <t>QLD</t>
        </is>
      </c>
      <c r="E264" s="289" t="n"/>
      <c r="F264" s="343" t="n">
        <v>1.426</v>
      </c>
      <c r="G264" s="289" t="n">
        <v>1956.472</v>
      </c>
      <c r="H264" s="288" t="inlineStr">
        <is>
          <t>예측</t>
        </is>
      </c>
    </row>
    <row r="265">
      <c r="A265" s="345" t="n">
        <v>46289</v>
      </c>
      <c r="B265" s="288" t="n">
        <v>9</v>
      </c>
      <c r="C265" s="288" t="inlineStr">
        <is>
          <t>SCHD</t>
        </is>
      </c>
      <c r="D265" s="288" t="inlineStr">
        <is>
          <t>SCHD</t>
        </is>
      </c>
      <c r="E265" s="289" t="n"/>
      <c r="F265" s="343" t="n">
        <v>6.14</v>
      </c>
      <c r="G265" s="289" t="n">
        <v>8424.08</v>
      </c>
      <c r="H265" s="288" t="inlineStr">
        <is>
          <t>예측</t>
        </is>
      </c>
    </row>
    <row r="266">
      <c r="A266" s="345" t="n">
        <v>46292</v>
      </c>
      <c r="B266" s="288" t="n">
        <v>9</v>
      </c>
      <c r="C266" s="288" t="inlineStr">
        <is>
          <t>005389</t>
        </is>
      </c>
      <c r="D266" s="288" t="inlineStr">
        <is>
          <t>현대차3우B</t>
        </is>
      </c>
      <c r="E266" s="289" t="n">
        <v>26000</v>
      </c>
      <c r="F266" s="343" t="n"/>
      <c r="G266" s="289" t="n">
        <v>26000</v>
      </c>
      <c r="H266" s="288" t="inlineStr">
        <is>
          <t>예측</t>
        </is>
      </c>
    </row>
    <row r="267">
      <c r="A267" s="345" t="n">
        <v>46292</v>
      </c>
      <c r="B267" s="288" t="n">
        <v>9</v>
      </c>
      <c r="C267" s="288" t="n">
        <v>105560</v>
      </c>
      <c r="D267" s="288" t="inlineStr">
        <is>
          <t>KB금융</t>
        </is>
      </c>
      <c r="E267" s="289" t="n">
        <v>9540</v>
      </c>
      <c r="F267" s="343" t="n"/>
      <c r="G267" s="289" t="n">
        <v>9540</v>
      </c>
      <c r="H267" s="288" t="inlineStr">
        <is>
          <t>예측</t>
        </is>
      </c>
    </row>
    <row r="268">
      <c r="A268" s="345" t="n">
        <v>46293</v>
      </c>
      <c r="B268" s="288" t="n">
        <v>9</v>
      </c>
      <c r="C268" s="288" t="inlineStr">
        <is>
          <t>005930</t>
        </is>
      </c>
      <c r="D268" s="288" t="inlineStr">
        <is>
          <t>삼성전자</t>
        </is>
      </c>
      <c r="E268" s="289" t="n">
        <v>36184</v>
      </c>
      <c r="F268" s="343" t="n"/>
      <c r="G268" s="289" t="n">
        <v>36184</v>
      </c>
      <c r="H268" s="288" t="inlineStr">
        <is>
          <t>예측</t>
        </is>
      </c>
    </row>
    <row r="269">
      <c r="A269" s="345" t="n">
        <v>46293</v>
      </c>
      <c r="B269" s="288" t="n">
        <v>9</v>
      </c>
      <c r="C269" s="288" t="inlineStr">
        <is>
          <t>329200</t>
        </is>
      </c>
      <c r="D269" s="288" t="inlineStr">
        <is>
          <t>TIGER리츠부동산인프라</t>
        </is>
      </c>
      <c r="E269" s="289" t="n">
        <v>195000</v>
      </c>
      <c r="F269" s="343" t="n"/>
      <c r="G269" s="289" t="n">
        <v>195000</v>
      </c>
      <c r="H269" s="288" t="inlineStr">
        <is>
          <t>예측</t>
        </is>
      </c>
    </row>
    <row r="270">
      <c r="A270" s="345" t="n">
        <v>46293</v>
      </c>
      <c r="B270" s="288" t="n">
        <v>9</v>
      </c>
      <c r="C270" s="288" t="inlineStr">
        <is>
          <t>433330</t>
        </is>
      </c>
      <c r="D270" s="288" t="inlineStr">
        <is>
          <t>SOL 미국 S&amp;P500</t>
        </is>
      </c>
      <c r="E270" s="289" t="n">
        <v>19747</v>
      </c>
      <c r="F270" s="343" t="n"/>
      <c r="G270" s="289" t="n">
        <v>19747</v>
      </c>
      <c r="H270" s="288" t="inlineStr">
        <is>
          <t>예측</t>
        </is>
      </c>
    </row>
    <row r="271">
      <c r="A271" s="345" t="n">
        <v>46293</v>
      </c>
      <c r="B271" s="288" t="n">
        <v>9</v>
      </c>
      <c r="C271" s="288" t="inlineStr">
        <is>
          <t>446720</t>
        </is>
      </c>
      <c r="D271" s="288" t="inlineStr">
        <is>
          <t>SOL 미국배당다우존스</t>
        </is>
      </c>
      <c r="E271" s="289" t="n">
        <v>43225</v>
      </c>
      <c r="F271" s="343" t="n"/>
      <c r="G271" s="289" t="n">
        <v>43225</v>
      </c>
      <c r="H271" s="288" t="inlineStr">
        <is>
          <t>예측</t>
        </is>
      </c>
    </row>
    <row r="272">
      <c r="A272" s="345" t="n">
        <v>46293</v>
      </c>
      <c r="B272" s="288" t="n">
        <v>9</v>
      </c>
      <c r="C272" s="288" t="inlineStr">
        <is>
          <t>458760</t>
        </is>
      </c>
      <c r="D272" s="288" t="inlineStr">
        <is>
          <t>TIGER 미배당다우커버드콜2호</t>
        </is>
      </c>
      <c r="E272" s="289" t="n">
        <v>1366417</v>
      </c>
      <c r="F272" s="343" t="n"/>
      <c r="G272" s="289" t="n">
        <v>1366417</v>
      </c>
      <c r="H272" s="288" t="inlineStr">
        <is>
          <t>예측</t>
        </is>
      </c>
    </row>
    <row r="273">
      <c r="A273" s="345" t="n">
        <v>46293</v>
      </c>
      <c r="B273" s="288" t="n">
        <v>9</v>
      </c>
      <c r="C273" s="288" t="inlineStr">
        <is>
          <t>468380</t>
        </is>
      </c>
      <c r="D273" s="288" t="inlineStr">
        <is>
          <t>KODEX iShares미국하이일드액티브</t>
        </is>
      </c>
      <c r="E273" s="289" t="n">
        <v>119000</v>
      </c>
      <c r="F273" s="343" t="n"/>
      <c r="G273" s="289" t="n">
        <v>119000</v>
      </c>
      <c r="H273" s="288" t="inlineStr">
        <is>
          <t>예측</t>
        </is>
      </c>
    </row>
    <row r="274">
      <c r="A274" s="345" t="n">
        <v>46293</v>
      </c>
      <c r="B274" s="288" t="n">
        <v>9</v>
      </c>
      <c r="C274" s="288" t="inlineStr">
        <is>
          <t>473330</t>
        </is>
      </c>
      <c r="D274" s="288" t="inlineStr">
        <is>
          <t>SOL 미국 30년국채커버드콜(합성)</t>
        </is>
      </c>
      <c r="E274" s="289" t="n">
        <v>89280</v>
      </c>
      <c r="F274" s="343" t="n"/>
      <c r="G274" s="289" t="n">
        <v>89280</v>
      </c>
      <c r="H274" s="288" t="inlineStr">
        <is>
          <t>예측</t>
        </is>
      </c>
    </row>
    <row r="275">
      <c r="A275" s="345" t="n">
        <v>46293</v>
      </c>
      <c r="B275" s="288" t="n">
        <v>9</v>
      </c>
      <c r="C275" s="288" t="inlineStr">
        <is>
          <t>475380</t>
        </is>
      </c>
      <c r="D275" s="288" t="inlineStr">
        <is>
          <t>RISE 글로벌리얼티인컴</t>
        </is>
      </c>
      <c r="E275" s="289" t="n">
        <v>3737</v>
      </c>
      <c r="F275" s="343" t="n"/>
      <c r="G275" s="289" t="n">
        <v>3737</v>
      </c>
      <c r="H275" s="288" t="inlineStr">
        <is>
          <t>예측</t>
        </is>
      </c>
    </row>
    <row r="276">
      <c r="A276" s="345" t="n">
        <v>46293</v>
      </c>
      <c r="B276" s="288" t="n">
        <v>9</v>
      </c>
      <c r="C276" s="288" t="inlineStr">
        <is>
          <t>476550</t>
        </is>
      </c>
      <c r="D276" s="288" t="inlineStr">
        <is>
          <t>TIGER 미국30년국채커버드콜액티브(H)</t>
        </is>
      </c>
      <c r="E276" s="289" t="n">
        <v>38790</v>
      </c>
      <c r="F276" s="343" t="n"/>
      <c r="G276" s="289" t="n">
        <v>38790</v>
      </c>
      <c r="H276" s="288" t="inlineStr">
        <is>
          <t>예측</t>
        </is>
      </c>
    </row>
    <row r="277">
      <c r="A277" s="345" t="n">
        <v>46293</v>
      </c>
      <c r="B277" s="288" t="n">
        <v>9</v>
      </c>
      <c r="C277" s="288" t="inlineStr">
        <is>
          <t>476690</t>
        </is>
      </c>
      <c r="D277" s="288" t="inlineStr">
        <is>
          <t>TIGER 글로벌비만치료제 TOP2 Plus</t>
        </is>
      </c>
      <c r="E277" s="289" t="n">
        <v>1250</v>
      </c>
      <c r="F277" s="343" t="n"/>
      <c r="G277" s="289" t="n">
        <v>1250</v>
      </c>
      <c r="H277" s="288" t="inlineStr">
        <is>
          <t>예측</t>
        </is>
      </c>
    </row>
    <row r="278">
      <c r="A278" s="345" t="n">
        <v>46293</v>
      </c>
      <c r="B278" s="288" t="n">
        <v>9</v>
      </c>
      <c r="C278" s="288" t="inlineStr">
        <is>
          <t>482730</t>
        </is>
      </c>
      <c r="D278" s="288" t="inlineStr">
        <is>
          <t>미국S&amp;P500타겟데일리커버드콜</t>
        </is>
      </c>
      <c r="E278" s="289" t="n">
        <v>38250</v>
      </c>
      <c r="F278" s="343" t="n"/>
      <c r="G278" s="289" t="n">
        <v>38250</v>
      </c>
      <c r="H278" s="288" t="inlineStr">
        <is>
          <t>예측</t>
        </is>
      </c>
    </row>
    <row r="279">
      <c r="A279" s="345" t="n">
        <v>46293</v>
      </c>
      <c r="B279" s="288" t="n">
        <v>9</v>
      </c>
      <c r="C279" s="288" t="inlineStr">
        <is>
          <t>483280</t>
        </is>
      </c>
      <c r="D279" s="288" t="inlineStr">
        <is>
          <t>KODEX 미국AI테크TOP10타겟커버드콜</t>
        </is>
      </c>
      <c r="E279" s="289" t="n">
        <v>309414</v>
      </c>
      <c r="F279" s="343" t="n"/>
      <c r="G279" s="289" t="n">
        <v>309414</v>
      </c>
      <c r="H279" s="288" t="inlineStr">
        <is>
          <t>예측</t>
        </is>
      </c>
    </row>
    <row r="280">
      <c r="A280" s="345" t="n">
        <v>46294</v>
      </c>
      <c r="B280" s="288" t="n">
        <v>9</v>
      </c>
      <c r="C280" s="288" t="inlineStr">
        <is>
          <t>498410</t>
        </is>
      </c>
      <c r="D280" s="288" t="inlineStr">
        <is>
          <t>KODEX금융고배당TOP10타겟위클리커버드콜</t>
        </is>
      </c>
      <c r="E280" s="289" t="n">
        <v>375566</v>
      </c>
      <c r="F280" s="343" t="n"/>
      <c r="G280" s="289" t="n">
        <v>375566</v>
      </c>
      <c r="H280" s="288" t="inlineStr">
        <is>
          <t>예측</t>
        </is>
      </c>
    </row>
    <row r="281">
      <c r="A281" s="345" t="n">
        <v>46295</v>
      </c>
      <c r="B281" s="288" t="n">
        <v>9</v>
      </c>
      <c r="C281" s="288" t="inlineStr">
        <is>
          <t>0219E0</t>
        </is>
      </c>
      <c r="D281" s="288" t="inlineStr">
        <is>
          <t>KODEX 200커버드콜액티브</t>
        </is>
      </c>
      <c r="E281" s="289" t="n">
        <v>200960</v>
      </c>
      <c r="F281" s="343" t="n"/>
      <c r="G281" s="289" t="n">
        <v>200960</v>
      </c>
      <c r="H281" s="288" t="inlineStr">
        <is>
          <t>예측</t>
        </is>
      </c>
    </row>
    <row r="282">
      <c r="A282" s="345" t="n">
        <v>46295</v>
      </c>
      <c r="B282" s="288" t="n">
        <v>9</v>
      </c>
      <c r="C282" s="288" t="inlineStr">
        <is>
          <t>AMT</t>
        </is>
      </c>
      <c r="D282" s="288" t="inlineStr">
        <is>
          <t>아메리칸타워</t>
        </is>
      </c>
      <c r="E282" s="289" t="n"/>
      <c r="F282" s="343" t="n">
        <v>8.5</v>
      </c>
      <c r="G282" s="289" t="n">
        <v>11662</v>
      </c>
      <c r="H282" s="288" t="inlineStr">
        <is>
          <t>예측</t>
        </is>
      </c>
    </row>
    <row r="283">
      <c r="A283" s="345" t="n">
        <v>46304</v>
      </c>
      <c r="B283" s="288" t="n">
        <v>10</v>
      </c>
      <c r="C283" s="288" t="inlineStr">
        <is>
          <t>AMT</t>
        </is>
      </c>
      <c r="D283" s="288" t="inlineStr">
        <is>
          <t>아메리칸타워</t>
        </is>
      </c>
      <c r="E283" s="289" t="n"/>
      <c r="F283" s="343" t="n">
        <v>8.1</v>
      </c>
      <c r="G283" s="289" t="n">
        <v>11113.2</v>
      </c>
      <c r="H283" s="288" t="inlineStr">
        <is>
          <t>예측</t>
        </is>
      </c>
    </row>
    <row r="284">
      <c r="A284" s="345" t="n">
        <v>46305</v>
      </c>
      <c r="B284" s="288" t="n">
        <v>10</v>
      </c>
      <c r="C284" s="288" t="inlineStr">
        <is>
          <t>ORCL</t>
        </is>
      </c>
      <c r="D284" s="288" t="inlineStr">
        <is>
          <t>오라클</t>
        </is>
      </c>
      <c r="E284" s="289" t="n"/>
      <c r="F284" s="343" t="n">
        <v>0.9</v>
      </c>
      <c r="G284" s="289" t="n">
        <v>1234.8</v>
      </c>
      <c r="H284" s="288" t="inlineStr">
        <is>
          <t>예측</t>
        </is>
      </c>
    </row>
    <row r="285">
      <c r="A285" s="345" t="n">
        <v>46306</v>
      </c>
      <c r="B285" s="288" t="n">
        <v>10</v>
      </c>
      <c r="C285" s="288" t="inlineStr">
        <is>
          <t>O</t>
        </is>
      </c>
      <c r="D285" s="288" t="inlineStr">
        <is>
          <t>리얼티인컴</t>
        </is>
      </c>
      <c r="E285" s="289" t="n"/>
      <c r="F285" s="343" t="n">
        <v>14.204</v>
      </c>
      <c r="G285" s="289" t="n">
        <v>19487.888</v>
      </c>
      <c r="H285" s="288" t="inlineStr">
        <is>
          <t>예측</t>
        </is>
      </c>
    </row>
    <row r="286">
      <c r="A286" s="345" t="n">
        <v>46309</v>
      </c>
      <c r="B286" s="288" t="n">
        <v>10</v>
      </c>
      <c r="C286" s="288" t="inlineStr">
        <is>
          <t>0008S0</t>
        </is>
      </c>
      <c r="D286" s="288" t="inlineStr">
        <is>
          <t>TIGER 미국배당다우존스타겟데일리커버드콜</t>
        </is>
      </c>
      <c r="E286" s="289" t="n">
        <v>261000</v>
      </c>
      <c r="F286" s="343" t="n"/>
      <c r="G286" s="289" t="n">
        <v>261000</v>
      </c>
      <c r="H286" s="288" t="inlineStr">
        <is>
          <t>예측</t>
        </is>
      </c>
    </row>
    <row r="287">
      <c r="A287" s="345" t="n">
        <v>46309</v>
      </c>
      <c r="B287" s="288" t="n">
        <v>10</v>
      </c>
      <c r="C287" s="288" t="inlineStr">
        <is>
          <t>474220</t>
        </is>
      </c>
      <c r="D287" s="288" t="inlineStr">
        <is>
          <t>TIGER미국테크TOP10커버드콜</t>
        </is>
      </c>
      <c r="E287" s="289" t="n">
        <v>523380</v>
      </c>
      <c r="F287" s="343" t="n"/>
      <c r="G287" s="289" t="n">
        <v>523380</v>
      </c>
      <c r="H287" s="288" t="inlineStr">
        <is>
          <t>예측</t>
        </is>
      </c>
    </row>
    <row r="288">
      <c r="A288" s="345" t="n">
        <v>46309</v>
      </c>
      <c r="B288" s="288" t="n">
        <v>10</v>
      </c>
      <c r="C288" s="288" t="inlineStr">
        <is>
          <t>481060</t>
        </is>
      </c>
      <c r="D288" s="288" t="inlineStr">
        <is>
          <t>KODEX 미국30년국채타겟커버드콜(H)</t>
        </is>
      </c>
      <c r="E288" s="289" t="n">
        <v>287640</v>
      </c>
      <c r="F288" s="343" t="n"/>
      <c r="G288" s="289" t="n">
        <v>287640</v>
      </c>
      <c r="H288" s="288" t="inlineStr">
        <is>
          <t>예측</t>
        </is>
      </c>
    </row>
    <row r="289">
      <c r="A289" s="345" t="n">
        <v>46309</v>
      </c>
      <c r="B289" s="288" t="n">
        <v>10</v>
      </c>
      <c r="C289" s="288" t="inlineStr">
        <is>
          <t>490490</t>
        </is>
      </c>
      <c r="D289" s="288" t="inlineStr">
        <is>
          <t>SOL미국배당미국채혼합50</t>
        </is>
      </c>
      <c r="E289" s="289" t="n">
        <v>80241</v>
      </c>
      <c r="F289" s="343" t="n"/>
      <c r="G289" s="289" t="n">
        <v>80241</v>
      </c>
      <c r="H289" s="288" t="inlineStr">
        <is>
          <t>예측</t>
        </is>
      </c>
    </row>
    <row r="290">
      <c r="A290" s="345" t="n">
        <v>46309</v>
      </c>
      <c r="B290" s="288" t="n">
        <v>10</v>
      </c>
      <c r="C290" s="288" t="inlineStr">
        <is>
          <t>498400</t>
        </is>
      </c>
      <c r="D290" s="288" t="inlineStr">
        <is>
          <t>KODEX 200타켓위클리커버드콜</t>
        </is>
      </c>
      <c r="E290" s="289" t="n">
        <v>105092</v>
      </c>
      <c r="F290" s="343" t="n"/>
      <c r="G290" s="289" t="n">
        <v>105092</v>
      </c>
      <c r="H290" s="288" t="inlineStr">
        <is>
          <t>예측</t>
        </is>
      </c>
    </row>
    <row r="291">
      <c r="A291" s="345" t="n">
        <v>46325</v>
      </c>
      <c r="B291" s="288" t="n">
        <v>10</v>
      </c>
      <c r="C291" s="288" t="inlineStr">
        <is>
          <t>133690</t>
        </is>
      </c>
      <c r="D291" s="288" t="inlineStr">
        <is>
          <t>TIGER 미국나스닥100</t>
        </is>
      </c>
      <c r="E291" s="289" t="n">
        <v>11457</v>
      </c>
      <c r="F291" s="343" t="n"/>
      <c r="G291" s="289" t="n">
        <v>11457</v>
      </c>
      <c r="H291" s="288" t="inlineStr">
        <is>
          <t>예측</t>
        </is>
      </c>
    </row>
    <row r="292">
      <c r="A292" s="345" t="n">
        <v>46325</v>
      </c>
      <c r="B292" s="288" t="n">
        <v>10</v>
      </c>
      <c r="C292" s="288" t="inlineStr">
        <is>
          <t>329200</t>
        </is>
      </c>
      <c r="D292" s="288" t="inlineStr">
        <is>
          <t>TIGER리츠부동산인프라</t>
        </is>
      </c>
      <c r="E292" s="289" t="n">
        <v>155000</v>
      </c>
      <c r="F292" s="343" t="n"/>
      <c r="G292" s="289" t="n">
        <v>155000</v>
      </c>
      <c r="H292" s="288" t="inlineStr">
        <is>
          <t>예측</t>
        </is>
      </c>
    </row>
    <row r="293">
      <c r="A293" s="345" t="n">
        <v>46325</v>
      </c>
      <c r="B293" s="288" t="n">
        <v>10</v>
      </c>
      <c r="C293" s="288" t="inlineStr">
        <is>
          <t>360750</t>
        </is>
      </c>
      <c r="D293" s="288" t="inlineStr">
        <is>
          <t>TIGER미국S&amp;P500</t>
        </is>
      </c>
      <c r="E293" s="289" t="n">
        <v>13688</v>
      </c>
      <c r="F293" s="343" t="n"/>
      <c r="G293" s="289" t="n">
        <v>13688</v>
      </c>
      <c r="H293" s="288" t="inlineStr">
        <is>
          <t>예측</t>
        </is>
      </c>
    </row>
    <row r="294">
      <c r="A294" s="345" t="n">
        <v>46325</v>
      </c>
      <c r="B294" s="288" t="n">
        <v>10</v>
      </c>
      <c r="C294" s="288" t="inlineStr">
        <is>
          <t>367380</t>
        </is>
      </c>
      <c r="D294" s="288" t="inlineStr">
        <is>
          <t>ACE 미국나스닥100</t>
        </is>
      </c>
      <c r="E294" s="289" t="n">
        <v>12337</v>
      </c>
      <c r="F294" s="343" t="n"/>
      <c r="G294" s="289" t="n">
        <v>12337</v>
      </c>
      <c r="H294" s="288" t="inlineStr">
        <is>
          <t>예측</t>
        </is>
      </c>
    </row>
    <row r="295">
      <c r="A295" s="345" t="n">
        <v>46325</v>
      </c>
      <c r="B295" s="288" t="n">
        <v>10</v>
      </c>
      <c r="C295" s="288" t="inlineStr">
        <is>
          <t>379810</t>
        </is>
      </c>
      <c r="D295" s="288" t="inlineStr">
        <is>
          <t>KODEX 미국나스닥100</t>
        </is>
      </c>
      <c r="E295" s="289" t="n">
        <v>24822</v>
      </c>
      <c r="F295" s="343" t="n"/>
      <c r="G295" s="289" t="n">
        <v>24822</v>
      </c>
      <c r="H295" s="288" t="inlineStr">
        <is>
          <t>예측</t>
        </is>
      </c>
    </row>
    <row r="296">
      <c r="A296" s="345" t="n">
        <v>46325</v>
      </c>
      <c r="B296" s="288" t="n">
        <v>10</v>
      </c>
      <c r="C296" s="288" t="inlineStr">
        <is>
          <t>433330</t>
        </is>
      </c>
      <c r="D296" s="288" t="inlineStr">
        <is>
          <t>SOL 미국 S&amp;P500</t>
        </is>
      </c>
      <c r="E296" s="289" t="n">
        <v>14014</v>
      </c>
      <c r="F296" s="343" t="n"/>
      <c r="G296" s="289" t="n">
        <v>14014</v>
      </c>
      <c r="H296" s="288" t="inlineStr">
        <is>
          <t>예측</t>
        </is>
      </c>
    </row>
    <row r="297">
      <c r="A297" s="345" t="n">
        <v>46325</v>
      </c>
      <c r="B297" s="288" t="n">
        <v>10</v>
      </c>
      <c r="C297" s="288" t="inlineStr">
        <is>
          <t>446720</t>
        </is>
      </c>
      <c r="D297" s="288" t="inlineStr">
        <is>
          <t>SOL 미국배당다우존스</t>
        </is>
      </c>
      <c r="E297" s="289" t="n">
        <v>43890</v>
      </c>
      <c r="F297" s="343" t="n"/>
      <c r="G297" s="289" t="n">
        <v>43890</v>
      </c>
      <c r="H297" s="288" t="inlineStr">
        <is>
          <t>예측</t>
        </is>
      </c>
    </row>
    <row r="298">
      <c r="A298" s="345" t="n">
        <v>46325</v>
      </c>
      <c r="B298" s="288" t="n">
        <v>10</v>
      </c>
      <c r="C298" s="288" t="inlineStr">
        <is>
          <t>458760</t>
        </is>
      </c>
      <c r="D298" s="288" t="inlineStr">
        <is>
          <t>TIGER 미배당다우커버드콜2호</t>
        </is>
      </c>
      <c r="E298" s="289" t="n">
        <v>1343388</v>
      </c>
      <c r="F298" s="343" t="n"/>
      <c r="G298" s="289" t="n">
        <v>1343388</v>
      </c>
      <c r="H298" s="288" t="inlineStr">
        <is>
          <t>예측</t>
        </is>
      </c>
    </row>
    <row r="299">
      <c r="A299" s="345" t="n">
        <v>46325</v>
      </c>
      <c r="B299" s="288" t="n">
        <v>10</v>
      </c>
      <c r="C299" s="288" t="inlineStr">
        <is>
          <t>468380</t>
        </is>
      </c>
      <c r="D299" s="288" t="inlineStr">
        <is>
          <t>KODEX iShares미국하이일드액티브</t>
        </is>
      </c>
      <c r="E299" s="289" t="n">
        <v>120000</v>
      </c>
      <c r="F299" s="343" t="n"/>
      <c r="G299" s="289" t="n">
        <v>120000</v>
      </c>
      <c r="H299" s="288" t="inlineStr">
        <is>
          <t>예측</t>
        </is>
      </c>
    </row>
    <row r="300">
      <c r="A300" s="345" t="n">
        <v>46325</v>
      </c>
      <c r="B300" s="288" t="n">
        <v>10</v>
      </c>
      <c r="C300" s="288" t="inlineStr">
        <is>
          <t>473330</t>
        </is>
      </c>
      <c r="D300" s="288" t="inlineStr">
        <is>
          <t>SOL 미국 30년국채커버드콜(합성)</t>
        </is>
      </c>
      <c r="E300" s="289" t="n">
        <v>78720</v>
      </c>
      <c r="F300" s="343" t="n"/>
      <c r="G300" s="289" t="n">
        <v>78720</v>
      </c>
      <c r="H300" s="288" t="inlineStr">
        <is>
          <t>예측</t>
        </is>
      </c>
    </row>
    <row r="301">
      <c r="A301" s="345" t="n">
        <v>46325</v>
      </c>
      <c r="B301" s="288" t="n">
        <v>10</v>
      </c>
      <c r="C301" s="288" t="inlineStr">
        <is>
          <t>475380</t>
        </is>
      </c>
      <c r="D301" s="288" t="inlineStr">
        <is>
          <t>RISE 글로벌리얼티인컴</t>
        </is>
      </c>
      <c r="E301" s="289" t="n">
        <v>3737</v>
      </c>
      <c r="F301" s="343" t="n"/>
      <c r="G301" s="289" t="n">
        <v>3737</v>
      </c>
      <c r="H301" s="288" t="inlineStr">
        <is>
          <t>예측</t>
        </is>
      </c>
    </row>
    <row r="302">
      <c r="A302" s="345" t="n">
        <v>46325</v>
      </c>
      <c r="B302" s="288" t="n">
        <v>10</v>
      </c>
      <c r="C302" s="288" t="inlineStr">
        <is>
          <t>476550</t>
        </is>
      </c>
      <c r="D302" s="288" t="inlineStr">
        <is>
          <t>TIGER 미국30년국채커버드콜액티브(H)</t>
        </is>
      </c>
      <c r="E302" s="289" t="n">
        <v>37928</v>
      </c>
      <c r="F302" s="343" t="n"/>
      <c r="G302" s="289" t="n">
        <v>37928</v>
      </c>
      <c r="H302" s="288" t="inlineStr">
        <is>
          <t>예측</t>
        </is>
      </c>
    </row>
    <row r="303">
      <c r="A303" s="345" t="n">
        <v>46325</v>
      </c>
      <c r="B303" s="288" t="n">
        <v>10</v>
      </c>
      <c r="C303" s="288" t="inlineStr">
        <is>
          <t>476690</t>
        </is>
      </c>
      <c r="D303" s="288" t="inlineStr">
        <is>
          <t>TIGER 글로벌비만치료제 TOP2 Plus</t>
        </is>
      </c>
      <c r="E303" s="289" t="n">
        <v>1200</v>
      </c>
      <c r="F303" s="343" t="n"/>
      <c r="G303" s="289" t="n">
        <v>1200</v>
      </c>
      <c r="H303" s="288" t="inlineStr">
        <is>
          <t>예측</t>
        </is>
      </c>
    </row>
    <row r="304">
      <c r="A304" s="345" t="n">
        <v>46325</v>
      </c>
      <c r="B304" s="288" t="n">
        <v>10</v>
      </c>
      <c r="C304" s="288" t="inlineStr">
        <is>
          <t>482730</t>
        </is>
      </c>
      <c r="D304" s="288" t="inlineStr">
        <is>
          <t>미국S&amp;P500타겟데일리커버드콜</t>
        </is>
      </c>
      <c r="E304" s="289" t="n">
        <v>40375</v>
      </c>
      <c r="F304" s="343" t="n"/>
      <c r="G304" s="289" t="n">
        <v>40375</v>
      </c>
      <c r="H304" s="288" t="inlineStr">
        <is>
          <t>예측</t>
        </is>
      </c>
    </row>
    <row r="305">
      <c r="A305" s="345" t="n">
        <v>46325</v>
      </c>
      <c r="B305" s="288" t="n">
        <v>10</v>
      </c>
      <c r="C305" s="288" t="inlineStr">
        <is>
          <t>483280</t>
        </is>
      </c>
      <c r="D305" s="288" t="inlineStr">
        <is>
          <t>KODEX 미국AI테크TOP10타겟커버드콜</t>
        </is>
      </c>
      <c r="E305" s="289" t="n">
        <v>324996</v>
      </c>
      <c r="F305" s="343" t="n"/>
      <c r="G305" s="289" t="n">
        <v>324996</v>
      </c>
      <c r="H305" s="288" t="inlineStr">
        <is>
          <t>예측</t>
        </is>
      </c>
    </row>
    <row r="306">
      <c r="A306" s="345" t="n">
        <v>46325</v>
      </c>
      <c r="B306" s="288" t="n">
        <v>10</v>
      </c>
      <c r="C306" s="288" t="inlineStr">
        <is>
          <t>498410</t>
        </is>
      </c>
      <c r="D306" s="288" t="inlineStr">
        <is>
          <t>KODEX금융고배당TOP10타겟위클리커버드콜</t>
        </is>
      </c>
      <c r="E306" s="289" t="n">
        <v>366058</v>
      </c>
      <c r="F306" s="343" t="n"/>
      <c r="G306" s="289" t="n">
        <v>366058</v>
      </c>
      <c r="H306" s="288" t="inlineStr">
        <is>
          <t>예측</t>
        </is>
      </c>
    </row>
    <row r="307">
      <c r="A307" s="345" t="n">
        <v>46326</v>
      </c>
      <c r="B307" s="288" t="n">
        <v>10</v>
      </c>
      <c r="C307" s="288" t="inlineStr">
        <is>
          <t>0219E0</t>
        </is>
      </c>
      <c r="D307" s="288" t="inlineStr">
        <is>
          <t>KODEX 200커버드콜액티브</t>
        </is>
      </c>
      <c r="E307" s="289" t="n">
        <v>200960</v>
      </c>
      <c r="F307" s="343" t="n"/>
      <c r="G307" s="289" t="n">
        <v>200960</v>
      </c>
      <c r="H307" s="288" t="inlineStr">
        <is>
          <t>예측</t>
        </is>
      </c>
    </row>
    <row r="308">
      <c r="A308" s="345" t="n">
        <v>46335</v>
      </c>
      <c r="B308" s="288" t="n">
        <v>11</v>
      </c>
      <c r="C308" s="288" t="inlineStr">
        <is>
          <t>AAPL</t>
        </is>
      </c>
      <c r="D308" s="288" t="inlineStr">
        <is>
          <t>애플</t>
        </is>
      </c>
      <c r="E308" s="289" t="n"/>
      <c r="F308" s="343" t="n">
        <v>2.295</v>
      </c>
      <c r="G308" s="289" t="n">
        <v>3148.74</v>
      </c>
      <c r="H308" s="288" t="inlineStr">
        <is>
          <t>예측</t>
        </is>
      </c>
    </row>
    <row r="309">
      <c r="A309" s="345" t="n">
        <v>46339</v>
      </c>
      <c r="B309" s="288" t="n">
        <v>11</v>
      </c>
      <c r="C309" s="288" t="inlineStr">
        <is>
          <t>0008S0</t>
        </is>
      </c>
      <c r="D309" s="288" t="inlineStr">
        <is>
          <t>TIGER 미국배당다우존스타겟데일리커버드콜</t>
        </is>
      </c>
      <c r="E309" s="289" t="n">
        <v>267000</v>
      </c>
      <c r="F309" s="343" t="n"/>
      <c r="G309" s="289" t="n">
        <v>267000</v>
      </c>
      <c r="H309" s="288" t="inlineStr">
        <is>
          <t>예측</t>
        </is>
      </c>
    </row>
    <row r="310">
      <c r="A310" s="345" t="n">
        <v>46339</v>
      </c>
      <c r="B310" s="288" t="n">
        <v>11</v>
      </c>
      <c r="C310" s="288" t="n">
        <v>105560</v>
      </c>
      <c r="D310" s="288" t="inlineStr">
        <is>
          <t>KB금융</t>
        </is>
      </c>
      <c r="E310" s="289" t="n">
        <v>11160</v>
      </c>
      <c r="F310" s="343" t="n"/>
      <c r="G310" s="289" t="n">
        <v>11160</v>
      </c>
      <c r="H310" s="288" t="inlineStr">
        <is>
          <t>예측</t>
        </is>
      </c>
    </row>
    <row r="311">
      <c r="A311" s="345" t="n">
        <v>46339</v>
      </c>
      <c r="B311" s="288" t="n">
        <v>11</v>
      </c>
      <c r="C311" s="288" t="inlineStr">
        <is>
          <t>498400</t>
        </is>
      </c>
      <c r="D311" s="288" t="inlineStr">
        <is>
          <t>KODEX 200타켓위클리커버드콜</t>
        </is>
      </c>
      <c r="E311" s="289" t="n">
        <v>119756</v>
      </c>
      <c r="F311" s="343" t="n"/>
      <c r="G311" s="289" t="n">
        <v>119756</v>
      </c>
      <c r="H311" s="288" t="inlineStr">
        <is>
          <t>예측</t>
        </is>
      </c>
    </row>
    <row r="312">
      <c r="A312" s="345" t="n">
        <v>46340</v>
      </c>
      <c r="B312" s="288" t="n">
        <v>11</v>
      </c>
      <c r="C312" s="288" t="inlineStr">
        <is>
          <t>474220</t>
        </is>
      </c>
      <c r="D312" s="288" t="inlineStr">
        <is>
          <t>TIGER미국테크TOP10커버드콜</t>
        </is>
      </c>
      <c r="E312" s="289" t="n">
        <v>571375</v>
      </c>
      <c r="F312" s="343" t="n"/>
      <c r="G312" s="289" t="n">
        <v>571375</v>
      </c>
      <c r="H312" s="288" t="inlineStr">
        <is>
          <t>예측</t>
        </is>
      </c>
    </row>
    <row r="313">
      <c r="A313" s="345" t="n">
        <v>46340</v>
      </c>
      <c r="B313" s="288" t="n">
        <v>11</v>
      </c>
      <c r="C313" s="288" t="inlineStr">
        <is>
          <t>481060</t>
        </is>
      </c>
      <c r="D313" s="288" t="inlineStr">
        <is>
          <t>KODEX 미국30년국채타겟커버드콜(H)</t>
        </is>
      </c>
      <c r="E313" s="289" t="n">
        <v>278460</v>
      </c>
      <c r="F313" s="343" t="n"/>
      <c r="G313" s="289" t="n">
        <v>278460</v>
      </c>
      <c r="H313" s="288" t="inlineStr">
        <is>
          <t>예측</t>
        </is>
      </c>
    </row>
    <row r="314">
      <c r="A314" s="345" t="n">
        <v>46340</v>
      </c>
      <c r="B314" s="288" t="n">
        <v>11</v>
      </c>
      <c r="C314" s="288" t="inlineStr">
        <is>
          <t>490490</t>
        </is>
      </c>
      <c r="D314" s="288" t="inlineStr">
        <is>
          <t>SOL미국배당미국채혼합50</t>
        </is>
      </c>
      <c r="E314" s="289" t="n">
        <v>122272</v>
      </c>
      <c r="F314" s="343" t="n"/>
      <c r="G314" s="289" t="n">
        <v>122272</v>
      </c>
      <c r="H314" s="288" t="inlineStr">
        <is>
          <t>예측</t>
        </is>
      </c>
    </row>
    <row r="315">
      <c r="A315" s="345" t="n">
        <v>46340</v>
      </c>
      <c r="B315" s="288" t="n">
        <v>11</v>
      </c>
      <c r="C315" s="288" t="inlineStr">
        <is>
          <t>O</t>
        </is>
      </c>
      <c r="D315" s="288" t="inlineStr">
        <is>
          <t>리얼티인컴</t>
        </is>
      </c>
      <c r="E315" s="289" t="n"/>
      <c r="F315" s="343" t="n">
        <v>14.151</v>
      </c>
      <c r="G315" s="289" t="n">
        <v>19415.172</v>
      </c>
      <c r="H315" s="288" t="inlineStr">
        <is>
          <t>예측</t>
        </is>
      </c>
    </row>
    <row r="316">
      <c r="A316" s="345" t="n">
        <v>46340</v>
      </c>
      <c r="B316" s="288" t="n">
        <v>11</v>
      </c>
      <c r="C316" s="288" t="inlineStr">
        <is>
          <t>SBUX</t>
        </is>
      </c>
      <c r="D316" s="288" t="inlineStr">
        <is>
          <t>스타벅스</t>
        </is>
      </c>
      <c r="E316" s="289" t="n"/>
      <c r="F316" s="343" t="n">
        <v>1.23</v>
      </c>
      <c r="G316" s="289" t="n">
        <v>1687.56</v>
      </c>
      <c r="H316" s="288" t="inlineStr">
        <is>
          <t>예측</t>
        </is>
      </c>
    </row>
    <row r="317">
      <c r="A317" s="345" t="n">
        <v>46340</v>
      </c>
      <c r="B317" s="288" t="n">
        <v>11</v>
      </c>
      <c r="C317" s="288" t="inlineStr">
        <is>
          <t>XOM</t>
        </is>
      </c>
      <c r="D317" s="288" t="inlineStr">
        <is>
          <t>엑슨모빌</t>
        </is>
      </c>
      <c r="E317" s="289" t="n"/>
      <c r="F317" s="343" t="n">
        <v>1.01</v>
      </c>
      <c r="G317" s="289" t="n">
        <v>1385.72</v>
      </c>
      <c r="H317" s="288" t="inlineStr">
        <is>
          <t>예측</t>
        </is>
      </c>
    </row>
    <row r="318">
      <c r="A318" s="345" t="n">
        <v>46344</v>
      </c>
      <c r="B318" s="288" t="n">
        <v>11</v>
      </c>
      <c r="C318" s="288" t="inlineStr">
        <is>
          <t>CVX</t>
        </is>
      </c>
      <c r="D318" s="288" t="inlineStr">
        <is>
          <t>셰브론</t>
        </is>
      </c>
      <c r="E318" s="289" t="n"/>
      <c r="F318" s="343" t="n">
        <v>1.67</v>
      </c>
      <c r="G318" s="289" t="n">
        <v>2291.24</v>
      </c>
      <c r="H318" s="288" t="inlineStr">
        <is>
          <t>예측</t>
        </is>
      </c>
    </row>
    <row r="319">
      <c r="A319" s="345" t="n">
        <v>46346</v>
      </c>
      <c r="B319" s="288" t="n">
        <v>11</v>
      </c>
      <c r="C319" s="288" t="inlineStr">
        <is>
          <t>MSFT</t>
        </is>
      </c>
      <c r="D319" s="288" t="inlineStr">
        <is>
          <t>마이크로소프트</t>
        </is>
      </c>
      <c r="E319" s="289" t="n"/>
      <c r="F319" s="343" t="n">
        <v>1.74</v>
      </c>
      <c r="G319" s="289" t="n">
        <v>2387.28</v>
      </c>
      <c r="H319" s="288" t="inlineStr">
        <is>
          <t>예측</t>
        </is>
      </c>
    </row>
    <row r="320">
      <c r="A320" s="345" t="n">
        <v>46352</v>
      </c>
      <c r="B320" s="288" t="n">
        <v>11</v>
      </c>
      <c r="C320" s="288" t="inlineStr">
        <is>
          <t>TMUS</t>
        </is>
      </c>
      <c r="D320" s="288" t="inlineStr">
        <is>
          <t>T-모바일</t>
        </is>
      </c>
      <c r="E320" s="289" t="n"/>
      <c r="F320" s="343" t="n">
        <v>3.8</v>
      </c>
      <c r="G320" s="289" t="n">
        <v>5213.599999999999</v>
      </c>
      <c r="H320" s="288" t="inlineStr">
        <is>
          <t>예측</t>
        </is>
      </c>
    </row>
    <row r="321">
      <c r="A321" s="345" t="n">
        <v>46353</v>
      </c>
      <c r="B321" s="288" t="n">
        <v>11</v>
      </c>
      <c r="C321" s="288" t="inlineStr">
        <is>
          <t>005389</t>
        </is>
      </c>
      <c r="D321" s="288" t="inlineStr">
        <is>
          <t>현대차3우B</t>
        </is>
      </c>
      <c r="E321" s="289" t="n">
        <v>32500</v>
      </c>
      <c r="F321" s="343" t="n"/>
      <c r="G321" s="289" t="n">
        <v>32500</v>
      </c>
      <c r="H321" s="288" t="inlineStr">
        <is>
          <t>예측</t>
        </is>
      </c>
    </row>
    <row r="322">
      <c r="A322" s="345" t="n">
        <v>46353</v>
      </c>
      <c r="B322" s="288" t="n">
        <v>11</v>
      </c>
      <c r="C322" s="288" t="inlineStr">
        <is>
          <t>472170</t>
        </is>
      </c>
      <c r="D322" s="288" t="inlineStr">
        <is>
          <t>TIGER 미국테크TOP10채권혼합</t>
        </is>
      </c>
      <c r="E322" s="289" t="n">
        <v>100521</v>
      </c>
      <c r="F322" s="343" t="n"/>
      <c r="G322" s="289" t="n">
        <v>100521</v>
      </c>
      <c r="H322" s="288" t="inlineStr">
        <is>
          <t>예측</t>
        </is>
      </c>
    </row>
    <row r="323">
      <c r="A323" s="345" t="n">
        <v>46353</v>
      </c>
      <c r="B323" s="288" t="n">
        <v>11</v>
      </c>
      <c r="C323" s="288" t="inlineStr">
        <is>
          <t>498410</t>
        </is>
      </c>
      <c r="D323" s="288" t="inlineStr">
        <is>
          <t>KODEX금융고배당TOP10타겟위클리커버드콜</t>
        </is>
      </c>
      <c r="E323" s="289" t="n">
        <v>366058</v>
      </c>
      <c r="F323" s="343" t="n"/>
      <c r="G323" s="289" t="n">
        <v>366058</v>
      </c>
      <c r="H323" s="288" t="inlineStr">
        <is>
          <t>예측</t>
        </is>
      </c>
    </row>
    <row r="324">
      <c r="A324" s="345" t="n">
        <v>46354</v>
      </c>
      <c r="B324" s="288" t="n">
        <v>11</v>
      </c>
      <c r="C324" s="288" t="inlineStr">
        <is>
          <t>329200</t>
        </is>
      </c>
      <c r="D324" s="288" t="inlineStr">
        <is>
          <t>TIGER리츠부동산인프라</t>
        </is>
      </c>
      <c r="E324" s="289" t="n">
        <v>107500</v>
      </c>
      <c r="F324" s="343" t="n"/>
      <c r="G324" s="289" t="n">
        <v>107500</v>
      </c>
      <c r="H324" s="288" t="inlineStr">
        <is>
          <t>예측</t>
        </is>
      </c>
    </row>
    <row r="325">
      <c r="A325" s="345" t="n">
        <v>46354</v>
      </c>
      <c r="B325" s="288" t="n">
        <v>11</v>
      </c>
      <c r="C325" s="288" t="inlineStr">
        <is>
          <t>433330</t>
        </is>
      </c>
      <c r="D325" s="288" t="inlineStr">
        <is>
          <t>SOL 미국 S&amp;P500</t>
        </is>
      </c>
      <c r="E325" s="289" t="n">
        <v>22295</v>
      </c>
      <c r="F325" s="343" t="n"/>
      <c r="G325" s="289" t="n">
        <v>22295</v>
      </c>
      <c r="H325" s="288" t="inlineStr">
        <is>
          <t>예측</t>
        </is>
      </c>
    </row>
    <row r="326">
      <c r="A326" s="345" t="n">
        <v>46354</v>
      </c>
      <c r="B326" s="288" t="n">
        <v>11</v>
      </c>
      <c r="C326" s="288" t="inlineStr">
        <is>
          <t>446720</t>
        </is>
      </c>
      <c r="D326" s="288" t="inlineStr">
        <is>
          <t>SOL 미국배당다우존스</t>
        </is>
      </c>
      <c r="E326" s="289" t="n">
        <v>53865</v>
      </c>
      <c r="F326" s="343" t="n"/>
      <c r="G326" s="289" t="n">
        <v>53865</v>
      </c>
      <c r="H326" s="288" t="inlineStr">
        <is>
          <t>예측</t>
        </is>
      </c>
    </row>
    <row r="327">
      <c r="A327" s="345" t="n">
        <v>46354</v>
      </c>
      <c r="B327" s="288" t="n">
        <v>11</v>
      </c>
      <c r="C327" s="288" t="inlineStr">
        <is>
          <t>458760</t>
        </is>
      </c>
      <c r="D327" s="288" t="inlineStr">
        <is>
          <t>TIGER 미배당다우커버드콜2호</t>
        </is>
      </c>
      <c r="E327" s="289" t="n">
        <v>1435506</v>
      </c>
      <c r="F327" s="343" t="n"/>
      <c r="G327" s="289" t="n">
        <v>1435506</v>
      </c>
      <c r="H327" s="288" t="inlineStr">
        <is>
          <t>예측</t>
        </is>
      </c>
    </row>
    <row r="328">
      <c r="A328" s="345" t="n">
        <v>46354</v>
      </c>
      <c r="B328" s="288" t="n">
        <v>11</v>
      </c>
      <c r="C328" s="288" t="inlineStr">
        <is>
          <t>468380</t>
        </is>
      </c>
      <c r="D328" s="288" t="inlineStr">
        <is>
          <t>KODEX iShares미국하이일드액티브</t>
        </is>
      </c>
      <c r="E328" s="289" t="n">
        <v>124000</v>
      </c>
      <c r="F328" s="343" t="n"/>
      <c r="G328" s="289" t="n">
        <v>124000</v>
      </c>
      <c r="H328" s="288" t="inlineStr">
        <is>
          <t>예측</t>
        </is>
      </c>
    </row>
    <row r="329">
      <c r="A329" s="345" t="n">
        <v>46354</v>
      </c>
      <c r="B329" s="288" t="n">
        <v>11</v>
      </c>
      <c r="C329" s="288" t="inlineStr">
        <is>
          <t>473330</t>
        </is>
      </c>
      <c r="D329" s="288" t="inlineStr">
        <is>
          <t>SOL 미국 30년국채커버드콜(합성)</t>
        </is>
      </c>
      <c r="E329" s="289" t="n">
        <v>108000</v>
      </c>
      <c r="F329" s="343" t="n"/>
      <c r="G329" s="289" t="n">
        <v>108000</v>
      </c>
      <c r="H329" s="288" t="inlineStr">
        <is>
          <t>예측</t>
        </is>
      </c>
    </row>
    <row r="330">
      <c r="A330" s="345" t="n">
        <v>46354</v>
      </c>
      <c r="B330" s="288" t="n">
        <v>11</v>
      </c>
      <c r="C330" s="288" t="inlineStr">
        <is>
          <t>475380</t>
        </is>
      </c>
      <c r="D330" s="288" t="inlineStr">
        <is>
          <t>RISE 글로벌리얼티인컴</t>
        </is>
      </c>
      <c r="E330" s="289" t="n">
        <v>3737</v>
      </c>
      <c r="F330" s="343" t="n"/>
      <c r="G330" s="289" t="n">
        <v>3737</v>
      </c>
      <c r="H330" s="288" t="inlineStr">
        <is>
          <t>예측</t>
        </is>
      </c>
    </row>
    <row r="331">
      <c r="A331" s="345" t="n">
        <v>46354</v>
      </c>
      <c r="B331" s="288" t="n">
        <v>11</v>
      </c>
      <c r="C331" s="288" t="inlineStr">
        <is>
          <t>476550</t>
        </is>
      </c>
      <c r="D331" s="288" t="inlineStr">
        <is>
          <t>TIGER 미국30년국채커버드콜액티브(H)</t>
        </is>
      </c>
      <c r="E331" s="289" t="n">
        <v>37066</v>
      </c>
      <c r="F331" s="343" t="n"/>
      <c r="G331" s="289" t="n">
        <v>37066</v>
      </c>
      <c r="H331" s="288" t="inlineStr">
        <is>
          <t>예측</t>
        </is>
      </c>
    </row>
    <row r="332">
      <c r="A332" s="345" t="n">
        <v>46354</v>
      </c>
      <c r="B332" s="288" t="n">
        <v>11</v>
      </c>
      <c r="C332" s="288" t="inlineStr">
        <is>
          <t>476690</t>
        </is>
      </c>
      <c r="D332" s="288" t="inlineStr">
        <is>
          <t>TIGER 글로벌비만치료제 TOP2 Plus</t>
        </is>
      </c>
      <c r="E332" s="289" t="n">
        <v>1200</v>
      </c>
      <c r="F332" s="343" t="n"/>
      <c r="G332" s="289" t="n">
        <v>1200</v>
      </c>
      <c r="H332" s="288" t="inlineStr">
        <is>
          <t>예측</t>
        </is>
      </c>
    </row>
    <row r="333">
      <c r="A333" s="345" t="n">
        <v>46354</v>
      </c>
      <c r="B333" s="288" t="n">
        <v>11</v>
      </c>
      <c r="C333" s="288" t="inlineStr">
        <is>
          <t>482730</t>
        </is>
      </c>
      <c r="D333" s="288" t="inlineStr">
        <is>
          <t>미국S&amp;P500타겟데일리커버드콜</t>
        </is>
      </c>
      <c r="E333" s="289" t="n">
        <v>40800</v>
      </c>
      <c r="F333" s="343" t="n"/>
      <c r="G333" s="289" t="n">
        <v>40800</v>
      </c>
      <c r="H333" s="288" t="inlineStr">
        <is>
          <t>예측</t>
        </is>
      </c>
    </row>
    <row r="334">
      <c r="A334" s="345" t="n">
        <v>46354</v>
      </c>
      <c r="B334" s="288" t="n">
        <v>11</v>
      </c>
      <c r="C334" s="288" t="inlineStr">
        <is>
          <t>483280</t>
        </is>
      </c>
      <c r="D334" s="288" t="inlineStr">
        <is>
          <t>KODEX 미국AI테크TOP10타겟커버드콜</t>
        </is>
      </c>
      <c r="E334" s="289" t="n">
        <v>329448</v>
      </c>
      <c r="F334" s="343" t="n"/>
      <c r="G334" s="289" t="n">
        <v>329448</v>
      </c>
      <c r="H334" s="288" t="inlineStr">
        <is>
          <t>예측</t>
        </is>
      </c>
    </row>
    <row r="335">
      <c r="A335" s="345" t="n">
        <v>46356</v>
      </c>
      <c r="B335" s="288" t="n">
        <v>11</v>
      </c>
      <c r="C335" s="288" t="inlineStr">
        <is>
          <t>0219E0</t>
        </is>
      </c>
      <c r="D335" s="288" t="inlineStr">
        <is>
          <t>KODEX 200커버드콜액티브</t>
        </is>
      </c>
      <c r="E335" s="289" t="n">
        <v>200960</v>
      </c>
      <c r="F335" s="343" t="n"/>
      <c r="G335" s="289" t="n">
        <v>200960</v>
      </c>
      <c r="H335" s="288" t="inlineStr">
        <is>
          <t>예측</t>
        </is>
      </c>
    </row>
    <row r="336">
      <c r="A336" s="345" t="n">
        <v>46358</v>
      </c>
      <c r="B336" s="288" t="n">
        <v>12</v>
      </c>
      <c r="C336" s="288" t="inlineStr">
        <is>
          <t>NKE</t>
        </is>
      </c>
      <c r="D336" s="288" t="inlineStr">
        <is>
          <t>나이키</t>
        </is>
      </c>
      <c r="E336" s="289" t="n"/>
      <c r="F336" s="343" t="n">
        <v>4.05</v>
      </c>
      <c r="G336" s="289" t="n">
        <v>5556.599999999999</v>
      </c>
      <c r="H336" s="288" t="inlineStr">
        <is>
          <t>예측</t>
        </is>
      </c>
    </row>
    <row r="337">
      <c r="A337" s="345" t="n">
        <v>46366</v>
      </c>
      <c r="B337" s="288" t="n">
        <v>12</v>
      </c>
      <c r="C337" s="288" t="inlineStr">
        <is>
          <t>SCHD</t>
        </is>
      </c>
      <c r="D337" s="288" t="inlineStr">
        <is>
          <t>SCHD</t>
        </is>
      </c>
      <c r="E337" s="289" t="n"/>
      <c r="F337" s="343" t="n">
        <v>6.516</v>
      </c>
      <c r="G337" s="289" t="n">
        <v>8939.951999999999</v>
      </c>
      <c r="H337" s="288" t="inlineStr">
        <is>
          <t>예측</t>
        </is>
      </c>
    </row>
    <row r="338">
      <c r="A338" s="345" t="n">
        <v>46368</v>
      </c>
      <c r="B338" s="288" t="n">
        <v>12</v>
      </c>
      <c r="C338" s="288" t="inlineStr">
        <is>
          <t>0008S0</t>
        </is>
      </c>
      <c r="D338" s="288" t="inlineStr">
        <is>
          <t>TIGER 미국배당다우존스타겟데일리커버드콜</t>
        </is>
      </c>
      <c r="E338" s="289" t="n">
        <v>273000</v>
      </c>
      <c r="F338" s="343" t="n"/>
      <c r="G338" s="289" t="n">
        <v>273000</v>
      </c>
      <c r="H338" s="288" t="inlineStr">
        <is>
          <t>예측</t>
        </is>
      </c>
    </row>
    <row r="339">
      <c r="A339" s="345" t="n">
        <v>46368</v>
      </c>
      <c r="B339" s="288" t="n">
        <v>12</v>
      </c>
      <c r="C339" s="288" t="inlineStr">
        <is>
          <t>474220</t>
        </is>
      </c>
      <c r="D339" s="288" t="inlineStr">
        <is>
          <t>TIGER미국테크TOP10커버드콜</t>
        </is>
      </c>
      <c r="E339" s="289" t="n">
        <v>582802</v>
      </c>
      <c r="F339" s="343" t="n"/>
      <c r="G339" s="289" t="n">
        <v>582802</v>
      </c>
      <c r="H339" s="288" t="inlineStr">
        <is>
          <t>예측</t>
        </is>
      </c>
    </row>
    <row r="340">
      <c r="A340" s="345" t="n">
        <v>46368</v>
      </c>
      <c r="B340" s="288" t="n">
        <v>12</v>
      </c>
      <c r="C340" s="288" t="inlineStr">
        <is>
          <t>481060</t>
        </is>
      </c>
      <c r="D340" s="288" t="inlineStr">
        <is>
          <t>KODEX 미국30년국채타겟커버드콜(H)</t>
        </is>
      </c>
      <c r="E340" s="289" t="n">
        <v>278460</v>
      </c>
      <c r="F340" s="343" t="n"/>
      <c r="G340" s="289" t="n">
        <v>278460</v>
      </c>
      <c r="H340" s="288" t="inlineStr">
        <is>
          <t>예측</t>
        </is>
      </c>
    </row>
    <row r="341">
      <c r="A341" s="345" t="n">
        <v>46368</v>
      </c>
      <c r="B341" s="288" t="n">
        <v>12</v>
      </c>
      <c r="C341" s="288" t="inlineStr">
        <is>
          <t>490490</t>
        </is>
      </c>
      <c r="D341" s="288" t="inlineStr">
        <is>
          <t>SOL미국배당미국채혼합50</t>
        </is>
      </c>
      <c r="E341" s="289" t="n">
        <v>114630</v>
      </c>
      <c r="F341" s="343" t="n"/>
      <c r="G341" s="289" t="n">
        <v>114630</v>
      </c>
      <c r="H341" s="288" t="inlineStr">
        <is>
          <t>예측</t>
        </is>
      </c>
    </row>
    <row r="342">
      <c r="A342" s="345" t="n">
        <v>46368</v>
      </c>
      <c r="B342" s="288" t="n">
        <v>12</v>
      </c>
      <c r="C342" s="288" t="inlineStr">
        <is>
          <t>498400</t>
        </is>
      </c>
      <c r="D342" s="288" t="inlineStr">
        <is>
          <t>KODEX 200타켓위클리커버드콜</t>
        </is>
      </c>
      <c r="E342" s="289" t="n">
        <v>119756</v>
      </c>
      <c r="F342" s="343" t="n"/>
      <c r="G342" s="289" t="n">
        <v>119756</v>
      </c>
      <c r="H342" s="288" t="inlineStr">
        <is>
          <t>예측</t>
        </is>
      </c>
    </row>
    <row r="343">
      <c r="A343" s="345" t="n">
        <v>46372</v>
      </c>
      <c r="B343" s="288" t="n">
        <v>12</v>
      </c>
      <c r="C343" s="288" t="inlineStr">
        <is>
          <t>O</t>
        </is>
      </c>
      <c r="D343" s="288" t="inlineStr">
        <is>
          <t>리얼티인컴</t>
        </is>
      </c>
      <c r="E343" s="289" t="n"/>
      <c r="F343" s="343" t="n">
        <v>14.151</v>
      </c>
      <c r="G343" s="289" t="n">
        <v>19415.172</v>
      </c>
      <c r="H343" s="288" t="inlineStr">
        <is>
          <t>예측</t>
        </is>
      </c>
    </row>
    <row r="344">
      <c r="A344" s="345" t="n">
        <v>46380</v>
      </c>
      <c r="B344" s="288" t="n">
        <v>12</v>
      </c>
      <c r="C344" s="288" t="inlineStr">
        <is>
          <t>QLD</t>
        </is>
      </c>
      <c r="D344" s="288" t="inlineStr">
        <is>
          <t>QLD</t>
        </is>
      </c>
      <c r="E344" s="289" t="n"/>
      <c r="F344" s="343" t="n">
        <v>1.6585</v>
      </c>
      <c r="G344" s="289" t="n">
        <v>2275.462</v>
      </c>
      <c r="H344" s="288" t="inlineStr">
        <is>
          <t>예측</t>
        </is>
      </c>
    </row>
    <row r="345">
      <c r="A345" s="345" t="n">
        <v>46383</v>
      </c>
      <c r="B345" s="288" t="n">
        <v>12</v>
      </c>
      <c r="C345" s="288" t="inlineStr">
        <is>
          <t>472170</t>
        </is>
      </c>
      <c r="D345" s="288" t="inlineStr">
        <is>
          <t>TIGER 미국테크TOP10채권혼합</t>
        </is>
      </c>
      <c r="E345" s="289" t="n">
        <v>473040</v>
      </c>
      <c r="F345" s="343" t="n"/>
      <c r="G345" s="289" t="n">
        <v>473040</v>
      </c>
      <c r="H345" s="288" t="inlineStr">
        <is>
          <t>예측</t>
        </is>
      </c>
    </row>
    <row r="346">
      <c r="A346" s="345" t="n">
        <v>46384</v>
      </c>
      <c r="B346" s="288" t="n">
        <v>12</v>
      </c>
      <c r="C346" s="288" t="inlineStr">
        <is>
          <t>005930</t>
        </is>
      </c>
      <c r="D346" s="288" t="inlineStr">
        <is>
          <t>삼성전자</t>
        </is>
      </c>
      <c r="E346" s="289" t="n">
        <v>45986</v>
      </c>
      <c r="F346" s="343" t="n"/>
      <c r="G346" s="289" t="n">
        <v>45986</v>
      </c>
      <c r="H346" s="288" t="inlineStr">
        <is>
          <t>예측</t>
        </is>
      </c>
    </row>
    <row r="347">
      <c r="A347" s="345" t="n">
        <v>46384</v>
      </c>
      <c r="B347" s="288" t="n">
        <v>12</v>
      </c>
      <c r="C347" s="288" t="inlineStr">
        <is>
          <t>329200</t>
        </is>
      </c>
      <c r="D347" s="288" t="inlineStr">
        <is>
          <t>TIGER리츠부동산인프라</t>
        </is>
      </c>
      <c r="E347" s="289" t="n">
        <v>120000</v>
      </c>
      <c r="F347" s="343" t="n"/>
      <c r="G347" s="289" t="n">
        <v>120000</v>
      </c>
      <c r="H347" s="288" t="inlineStr">
        <is>
          <t>예측</t>
        </is>
      </c>
    </row>
    <row r="348">
      <c r="A348" s="345" t="n">
        <v>46384</v>
      </c>
      <c r="B348" s="288" t="n">
        <v>12</v>
      </c>
      <c r="C348" s="288" t="inlineStr">
        <is>
          <t>433330</t>
        </is>
      </c>
      <c r="D348" s="288" t="inlineStr">
        <is>
          <t>SOL 미국 S&amp;P500</t>
        </is>
      </c>
      <c r="E348" s="289" t="n">
        <v>22932</v>
      </c>
      <c r="F348" s="343" t="n"/>
      <c r="G348" s="289" t="n">
        <v>22932</v>
      </c>
      <c r="H348" s="288" t="inlineStr">
        <is>
          <t>예측</t>
        </is>
      </c>
    </row>
    <row r="349">
      <c r="A349" s="345" t="n">
        <v>46384</v>
      </c>
      <c r="B349" s="288" t="n">
        <v>12</v>
      </c>
      <c r="C349" s="288" t="inlineStr">
        <is>
          <t>446720</t>
        </is>
      </c>
      <c r="D349" s="288" t="inlineStr">
        <is>
          <t>SOL 미국배당다우존스</t>
        </is>
      </c>
      <c r="E349" s="289" t="n">
        <v>47880</v>
      </c>
      <c r="F349" s="343" t="n"/>
      <c r="G349" s="289" t="n">
        <v>47880</v>
      </c>
      <c r="H349" s="288" t="inlineStr">
        <is>
          <t>예측</t>
        </is>
      </c>
    </row>
    <row r="350">
      <c r="A350" s="345" t="n">
        <v>46384</v>
      </c>
      <c r="B350" s="288" t="n">
        <v>12</v>
      </c>
      <c r="C350" s="288" t="inlineStr">
        <is>
          <t>458760</t>
        </is>
      </c>
      <c r="D350" s="288" t="inlineStr">
        <is>
          <t>TIGER 미배당다우커버드콜2호</t>
        </is>
      </c>
      <c r="E350" s="289" t="n">
        <v>1412476</v>
      </c>
      <c r="F350" s="343" t="n"/>
      <c r="G350" s="289" t="n">
        <v>1412476</v>
      </c>
      <c r="H350" s="288" t="inlineStr">
        <is>
          <t>예측</t>
        </is>
      </c>
    </row>
    <row r="351">
      <c r="A351" s="345" t="n">
        <v>46384</v>
      </c>
      <c r="B351" s="288" t="n">
        <v>12</v>
      </c>
      <c r="C351" s="288" t="inlineStr">
        <is>
          <t>468380</t>
        </is>
      </c>
      <c r="D351" s="288" t="inlineStr">
        <is>
          <t>KODEX iShares미국하이일드액티브</t>
        </is>
      </c>
      <c r="E351" s="289" t="n">
        <v>133000</v>
      </c>
      <c r="F351" s="343" t="n"/>
      <c r="G351" s="289" t="n">
        <v>133000</v>
      </c>
      <c r="H351" s="288" t="inlineStr">
        <is>
          <t>예측</t>
        </is>
      </c>
    </row>
    <row r="352">
      <c r="A352" s="345" t="n">
        <v>46384</v>
      </c>
      <c r="B352" s="288" t="n">
        <v>12</v>
      </c>
      <c r="C352" s="288" t="inlineStr">
        <is>
          <t>473330</t>
        </is>
      </c>
      <c r="D352" s="288" t="inlineStr">
        <is>
          <t>SOL 미국 30년국채커버드콜(합성)</t>
        </is>
      </c>
      <c r="E352" s="289" t="n">
        <v>129600</v>
      </c>
      <c r="F352" s="343" t="n"/>
      <c r="G352" s="289" t="n">
        <v>129600</v>
      </c>
      <c r="H352" s="288" t="inlineStr">
        <is>
          <t>예측</t>
        </is>
      </c>
    </row>
    <row r="353">
      <c r="A353" s="345" t="n">
        <v>46384</v>
      </c>
      <c r="B353" s="288" t="n">
        <v>12</v>
      </c>
      <c r="C353" s="288" t="inlineStr">
        <is>
          <t>475380</t>
        </is>
      </c>
      <c r="D353" s="288" t="inlineStr">
        <is>
          <t>RISE 글로벌리얼티인컴</t>
        </is>
      </c>
      <c r="E353" s="289" t="n">
        <v>3737</v>
      </c>
      <c r="F353" s="343" t="n"/>
      <c r="G353" s="289" t="n">
        <v>3737</v>
      </c>
      <c r="H353" s="288" t="inlineStr">
        <is>
          <t>예측</t>
        </is>
      </c>
    </row>
    <row r="354">
      <c r="A354" s="345" t="n">
        <v>46384</v>
      </c>
      <c r="B354" s="288" t="n">
        <v>12</v>
      </c>
      <c r="C354" s="288" t="inlineStr">
        <is>
          <t>476550</t>
        </is>
      </c>
      <c r="D354" s="288" t="inlineStr">
        <is>
          <t>TIGER 미국30년국채커버드콜액티브(H)</t>
        </is>
      </c>
      <c r="E354" s="289" t="n">
        <v>34911</v>
      </c>
      <c r="F354" s="343" t="n"/>
      <c r="G354" s="289" t="n">
        <v>34911</v>
      </c>
      <c r="H354" s="288" t="inlineStr">
        <is>
          <t>예측</t>
        </is>
      </c>
    </row>
    <row r="355">
      <c r="A355" s="345" t="n">
        <v>46384</v>
      </c>
      <c r="B355" s="288" t="n">
        <v>12</v>
      </c>
      <c r="C355" s="288" t="inlineStr">
        <is>
          <t>476690</t>
        </is>
      </c>
      <c r="D355" s="288" t="inlineStr">
        <is>
          <t>TIGER 글로벌비만치료제 TOP2 Plus</t>
        </is>
      </c>
      <c r="E355" s="289" t="n">
        <v>1350</v>
      </c>
      <c r="F355" s="343" t="n"/>
      <c r="G355" s="289" t="n">
        <v>1350</v>
      </c>
      <c r="H355" s="288" t="inlineStr">
        <is>
          <t>예측</t>
        </is>
      </c>
    </row>
    <row r="356">
      <c r="A356" s="345" t="n">
        <v>46384</v>
      </c>
      <c r="B356" s="288" t="n">
        <v>12</v>
      </c>
      <c r="C356" s="288" t="inlineStr">
        <is>
          <t>482730</t>
        </is>
      </c>
      <c r="D356" s="288" t="inlineStr">
        <is>
          <t>미국S&amp;P500타겟데일리커버드콜</t>
        </is>
      </c>
      <c r="E356" s="289" t="n">
        <v>41650</v>
      </c>
      <c r="F356" s="343" t="n"/>
      <c r="G356" s="289" t="n">
        <v>41650</v>
      </c>
      <c r="H356" s="288" t="inlineStr">
        <is>
          <t>예측</t>
        </is>
      </c>
    </row>
    <row r="357">
      <c r="A357" s="345" t="n">
        <v>46384</v>
      </c>
      <c r="B357" s="288" t="n">
        <v>12</v>
      </c>
      <c r="C357" s="288" t="inlineStr">
        <is>
          <t>483280</t>
        </is>
      </c>
      <c r="D357" s="288" t="inlineStr">
        <is>
          <t>KODEX 미국AI테크TOP10타겟커버드콜</t>
        </is>
      </c>
      <c r="E357" s="289" t="n">
        <v>342804</v>
      </c>
      <c r="F357" s="343" t="n"/>
      <c r="G357" s="289" t="n">
        <v>342804</v>
      </c>
      <c r="H357" s="288" t="inlineStr">
        <is>
          <t>예측</t>
        </is>
      </c>
    </row>
    <row r="358">
      <c r="A358" s="345" t="n">
        <v>46384</v>
      </c>
      <c r="B358" s="288" t="n">
        <v>12</v>
      </c>
      <c r="C358" s="288" t="inlineStr">
        <is>
          <t>AMT</t>
        </is>
      </c>
      <c r="D358" s="288" t="inlineStr">
        <is>
          <t>아메리칸타워</t>
        </is>
      </c>
      <c r="E358" s="289" t="n"/>
      <c r="F358" s="343" t="n">
        <v>8.300000000000001</v>
      </c>
      <c r="G358" s="289" t="n">
        <v>11387.6</v>
      </c>
      <c r="H358" s="288" t="inlineStr">
        <is>
          <t>예측</t>
        </is>
      </c>
    </row>
    <row r="359">
      <c r="A359" s="345" t="n">
        <v>46385</v>
      </c>
      <c r="B359" s="288" t="n">
        <v>12</v>
      </c>
      <c r="C359" s="288" t="inlineStr">
        <is>
          <t>381170</t>
        </is>
      </c>
      <c r="D359" s="288" t="inlineStr">
        <is>
          <t>TIGER 미국테크TOP10 INDXX</t>
        </is>
      </c>
      <c r="E359" s="289" t="n">
        <v>24871</v>
      </c>
      <c r="F359" s="343" t="n"/>
      <c r="G359" s="289" t="n">
        <v>24871</v>
      </c>
      <c r="H359" s="288" t="inlineStr">
        <is>
          <t>예측</t>
        </is>
      </c>
    </row>
    <row r="360">
      <c r="A360" s="345" t="n">
        <v>46385</v>
      </c>
      <c r="B360" s="288" t="n">
        <v>12</v>
      </c>
      <c r="C360" s="288" t="inlineStr">
        <is>
          <t>438100</t>
        </is>
      </c>
      <c r="D360" s="288" t="inlineStr">
        <is>
          <t>ACE미국나스닥100미국채혼합50액티브</t>
        </is>
      </c>
      <c r="E360" s="289" t="n">
        <v>228672</v>
      </c>
      <c r="F360" s="343" t="n"/>
      <c r="G360" s="289" t="n">
        <v>228672</v>
      </c>
      <c r="H360" s="288" t="inlineStr">
        <is>
          <t>예측</t>
        </is>
      </c>
    </row>
    <row r="361">
      <c r="A361" s="345" t="n">
        <v>46385</v>
      </c>
      <c r="B361" s="288" t="n">
        <v>12</v>
      </c>
      <c r="C361" s="288" t="inlineStr">
        <is>
          <t>457480</t>
        </is>
      </c>
      <c r="D361" s="288" t="inlineStr">
        <is>
          <t>ACE테슬라밸류체인액티브</t>
        </is>
      </c>
      <c r="E361" s="289" t="n">
        <v>184325</v>
      </c>
      <c r="F361" s="343" t="n"/>
      <c r="G361" s="289" t="n">
        <v>184325</v>
      </c>
      <c r="H361" s="288" t="inlineStr">
        <is>
          <t>예측</t>
        </is>
      </c>
    </row>
    <row r="362">
      <c r="A362" s="345" t="n">
        <v>46385</v>
      </c>
      <c r="B362" s="288" t="n">
        <v>12</v>
      </c>
      <c r="C362" s="288" t="inlineStr">
        <is>
          <t>498410</t>
        </is>
      </c>
      <c r="D362" s="288" t="inlineStr">
        <is>
          <t>KODEX금융고배당TOP10타겟위클리커버드콜</t>
        </is>
      </c>
      <c r="E362" s="289" t="n">
        <v>361304</v>
      </c>
      <c r="F362" s="343" t="n"/>
      <c r="G362" s="289" t="n">
        <v>361304</v>
      </c>
      <c r="H362" s="288" t="inlineStr">
        <is>
          <t>예측</t>
        </is>
      </c>
    </row>
    <row r="363">
      <c r="A363" s="345" t="n">
        <v>46387</v>
      </c>
      <c r="B363" s="288" t="n">
        <v>12</v>
      </c>
      <c r="C363" s="288" t="inlineStr">
        <is>
          <t>0219E0</t>
        </is>
      </c>
      <c r="D363" s="288" t="inlineStr">
        <is>
          <t>KODEX 200커버드콜액티브</t>
        </is>
      </c>
      <c r="E363" s="289" t="n">
        <v>200960</v>
      </c>
      <c r="F363" s="343" t="n"/>
      <c r="G363" s="289" t="n">
        <v>200960</v>
      </c>
      <c r="H363" s="288" t="inlineStr">
        <is>
          <t>예측</t>
        </is>
      </c>
    </row>
  </sheetData>
  <autoFilter ref="A43:H363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2026-09-02T01:09:01Z</dcterms:modified>
  <cp:lastModifiedBy>Hyoyol Park</cp:lastModifiedBy>
</cp:coreProperties>
</file>