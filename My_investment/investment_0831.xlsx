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￦1,360</t>
        </is>
      </c>
      <c r="J5" s="73" t="n">
        <v>1359.58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11025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11015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10015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12245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13800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10745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7445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4070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26225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14815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11020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13800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21590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11595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30150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25855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11410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11020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14815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18235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7845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127400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13675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6775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13010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181500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10440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10585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10170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250250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250250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19750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357.010009765625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61.5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37.63999938964844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324.9599914550781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21100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176000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88.30999755859375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178200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8055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75600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140.7100067138672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172.9199981689453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224.4100036621094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35.0099983215332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496.8200073242188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187.3000030517578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46.77000045776367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169.4600067138672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63.09999847412109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10.52000045776367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38.2400016784668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415.5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174.9600067138672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171.4900054931641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145.75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6.820000171661377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106.7200012207031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9.560000419616699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15140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39.52000045776367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14875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175380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30410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21590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211.7799987792969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164.1499938964844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106.0899963378906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8" t="n">
        <v>13</v>
      </c>
      <c r="B32" s="288">
        <f>IFERROR(INDEX('계좌현황'!A:A,INDEX($L$20:$L$95,MATCH(LARGE($N$20:$N$95,13),$N$20:$N$95,0))),"")</f>
        <v/>
      </c>
      <c r="C32" s="288">
        <f>IFERROR(INDEX('계좌현황'!C:C,INDEX($L$20:$L$95,MATCH(LARGE($N$20:$N$95,13),$N$20:$N$95,0))),"")</f>
        <v/>
      </c>
      <c r="D32" s="288">
        <f>IFERROR(INDEX('계좌현황'!D:D,INDEX($L$20:$L$95,MATCH(LARGE($N$20:$N$95,13),$N$20:$N$95,0))),"")</f>
        <v/>
      </c>
      <c r="E32" s="288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2" t="n">
        <v>14</v>
      </c>
      <c r="B33" s="282">
        <f>IFERROR(INDEX('계좌현황'!A:A,INDEX($L$20:$L$95,MATCH(LARGE($N$20:$N$95,14),$N$20:$N$95,0))),"")</f>
        <v/>
      </c>
      <c r="C33" s="282">
        <f>IFERROR(INDEX('계좌현황'!C:C,INDEX($L$20:$L$95,MATCH(LARGE($N$20:$N$95,14),$N$20:$N$95,0))),"")</f>
        <v/>
      </c>
      <c r="D33" s="282">
        <f>IFERROR(INDEX('계좌현황'!D:D,INDEX($L$20:$L$95,MATCH(LARGE($N$20:$N$95,14),$N$20:$N$95,0))),"")</f>
        <v/>
      </c>
      <c r="E33" s="282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79" t="n">
        <v>20</v>
      </c>
      <c r="B39" s="279">
        <f>IFERROR(INDEX('계좌현황'!A:A,INDEX($L$20:$L$95,MATCH(LARGE($N$20:$N$95,20),$N$20:$N$95,0))),"")</f>
        <v/>
      </c>
      <c r="C39" s="279">
        <f>IFERROR(INDEX('계좌현황'!C:C,INDEX($L$20:$L$95,MATCH(LARGE($N$20:$N$95,20),$N$20:$N$95,0))),"")</f>
        <v/>
      </c>
      <c r="D39" s="279">
        <f>IFERROR(INDEX('계좌현황'!D:D,INDEX($L$20:$L$95,MATCH(LARGE($N$20:$N$95,20),$N$20:$N$95,0))),"")</f>
        <v/>
      </c>
      <c r="E39" s="279">
        <f>IFERROR(INDEX('계좌현황'!E:E,INDEX($L$20:$L$95,MATCH(LARGE($N$20:$N$95,20),$N$20:$N$95,0))),"")</f>
        <v/>
      </c>
      <c r="F39" s="309">
        <f>IFERROR(INDEX('계좌현황'!F:F,INDEX($L$20:$L$95,MATCH(LARGE($N$20:$N$95,20),$N$20:$N$95,0))),"")</f>
        <v/>
      </c>
      <c r="G39" s="310">
        <f>IFERROR(INDEX('계좌현황'!K:K,INDEX($L$20:$L$95,MATCH(LARGE($N$20:$N$95,20),$N$20:$N$95,0))),0)</f>
        <v/>
      </c>
      <c r="H39" s="311">
        <f>IF($B$3=0,0,G39/$B$3)</f>
        <v/>
      </c>
      <c r="I39" s="311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5" t="n">
        <v>21</v>
      </c>
      <c r="B40" s="285">
        <f>IFERROR(INDEX('계좌현황'!A:A,INDEX($L$20:$L$95,MATCH(LARGE($N$20:$N$95,21),$N$20:$N$95,0))),"")</f>
        <v/>
      </c>
      <c r="C40" s="285">
        <f>IFERROR(INDEX('계좌현황'!C:C,INDEX($L$20:$L$95,MATCH(LARGE($N$20:$N$95,21),$N$20:$N$95,0))),"")</f>
        <v/>
      </c>
      <c r="D40" s="285">
        <f>IFERROR(INDEX('계좌현황'!D:D,INDEX($L$20:$L$95,MATCH(LARGE($N$20:$N$95,21),$N$20:$N$95,0))),"")</f>
        <v/>
      </c>
      <c r="E40" s="285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1" t="n">
        <v>22</v>
      </c>
      <c r="B41" s="291">
        <f>IFERROR(INDEX('계좌현황'!A:A,INDEX($L$20:$L$95,MATCH(LARGE($N$20:$N$95,22),$N$20:$N$95,0))),"")</f>
        <v/>
      </c>
      <c r="C41" s="291">
        <f>IFERROR(INDEX('계좌현황'!C:C,INDEX($L$20:$L$95,MATCH(LARGE($N$20:$N$95,22),$N$20:$N$95,0))),"")</f>
        <v/>
      </c>
      <c r="D41" s="291">
        <f>IFERROR(INDEX('계좌현황'!D:D,INDEX($L$20:$L$95,MATCH(LARGE($N$20:$N$95,22),$N$20:$N$95,0))),"")</f>
        <v/>
      </c>
      <c r="E41" s="291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7" t="n">
        <v>23</v>
      </c>
      <c r="B42" s="297">
        <f>IFERROR(INDEX('계좌현황'!A:A,INDEX($L$20:$L$95,MATCH(LARGE($N$20:$N$95,23),$N$20:$N$95,0))),"")</f>
        <v/>
      </c>
      <c r="C42" s="297">
        <f>IFERROR(INDEX('계좌현황'!C:C,INDEX($L$20:$L$95,MATCH(LARGE($N$20:$N$95,23),$N$20:$N$95,0))),"")</f>
        <v/>
      </c>
      <c r="D42" s="297">
        <f>IFERROR(INDEX('계좌현황'!D:D,INDEX($L$20:$L$95,MATCH(LARGE($N$20:$N$95,23),$N$20:$N$95,0))),"")</f>
        <v/>
      </c>
      <c r="E42" s="297">
        <f>IFERROR(INDEX('계좌현황'!E:E,INDEX($L$20:$L$95,MATCH(LARGE($N$20:$N$95,23),$N$20:$N$95,0))),"")</f>
        <v/>
      </c>
      <c r="F42" s="321">
        <f>IFERROR(INDEX('계좌현황'!F:F,INDEX($L$20:$L$95,MATCH(LARGE($N$20:$N$95,23),$N$20:$N$95,0))),"")</f>
        <v/>
      </c>
      <c r="G42" s="322">
        <f>IFERROR(INDEX('계좌현황'!K:K,INDEX($L$20:$L$95,MATCH(LARGE($N$20:$N$95,23),$N$20:$N$95,0))),0)</f>
        <v/>
      </c>
      <c r="H42" s="323">
        <f>IF($B$3=0,0,G42/$B$3)</f>
        <v/>
      </c>
      <c r="I42" s="323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1" t="n">
        <v>26</v>
      </c>
      <c r="B45" s="291">
        <f>IFERROR(INDEX('계좌현황'!A:A,INDEX($L$20:$L$95,MATCH(LARGE($N$20:$N$95,26),$N$20:$N$95,0))),"")</f>
        <v/>
      </c>
      <c r="C45" s="291">
        <f>IFERROR(INDEX('계좌현황'!C:C,INDEX($L$20:$L$95,MATCH(LARGE($N$20:$N$95,26),$N$20:$N$95,0))),"")</f>
        <v/>
      </c>
      <c r="D45" s="291">
        <f>IFERROR(INDEX('계좌현황'!D:D,INDEX($L$20:$L$95,MATCH(LARGE($N$20:$N$95,26),$N$20:$N$95,0))),"")</f>
        <v/>
      </c>
      <c r="E45" s="291">
        <f>IFERROR(INDEX('계좌현황'!E:E,INDEX($L$20:$L$95,MATCH(LARGE($N$20:$N$95,26),$N$20:$N$95,0))),"")</f>
        <v/>
      </c>
      <c r="F45" s="318">
        <f>IFERROR(INDEX('계좌현황'!F:F,INDEX($L$20:$L$95,MATCH(LARGE($N$20:$N$95,26),$N$20:$N$95,0))),"")</f>
        <v/>
      </c>
      <c r="G45" s="319">
        <f>IFERROR(INDEX('계좌현황'!K:K,INDEX($L$20:$L$95,MATCH(LARGE($N$20:$N$95,26),$N$20:$N$95,0))),0)</f>
        <v/>
      </c>
      <c r="H45" s="320">
        <f>IF($B$3=0,0,G45/$B$3)</f>
        <v/>
      </c>
      <c r="I45" s="320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7" t="n">
        <v>27</v>
      </c>
      <c r="B46" s="297">
        <f>IFERROR(INDEX('계좌현황'!A:A,INDEX($L$20:$L$95,MATCH(LARGE($N$20:$N$95,27),$N$20:$N$95,0))),"")</f>
        <v/>
      </c>
      <c r="C46" s="297">
        <f>IFERROR(INDEX('계좌현황'!C:C,INDEX($L$20:$L$95,MATCH(LARGE($N$20:$N$95,27),$N$20:$N$95,0))),"")</f>
        <v/>
      </c>
      <c r="D46" s="297">
        <f>IFERROR(INDEX('계좌현황'!D:D,INDEX($L$20:$L$95,MATCH(LARGE($N$20:$N$95,27),$N$20:$N$95,0))),"")</f>
        <v/>
      </c>
      <c r="E46" s="297">
        <f>IFERROR(INDEX('계좌현황'!E:E,INDEX($L$20:$L$95,MATCH(LARGE($N$20:$N$95,27),$N$20:$N$95,0))),"")</f>
        <v/>
      </c>
      <c r="F46" s="321">
        <f>IFERROR(INDEX('계좌현황'!F:F,INDEX($L$20:$L$95,MATCH(LARGE($N$20:$N$95,27),$N$20:$N$95,0))),"")</f>
        <v/>
      </c>
      <c r="G46" s="322">
        <f>IFERROR(INDEX('계좌현황'!K:K,INDEX($L$20:$L$95,MATCH(LARGE($N$20:$N$95,27),$N$20:$N$95,0))),0)</f>
        <v/>
      </c>
      <c r="H46" s="323">
        <f>IF($B$3=0,0,G46/$B$3)</f>
        <v/>
      </c>
      <c r="I46" s="32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91" t="n">
        <v>29</v>
      </c>
      <c r="B48" s="291">
        <f>IFERROR(INDEX('계좌현황'!A:A,INDEX($L$20:$L$95,MATCH(LARGE($N$20:$N$95,29),$N$20:$N$95,0))),"")</f>
        <v/>
      </c>
      <c r="C48" s="291">
        <f>IFERROR(INDEX('계좌현황'!C:C,INDEX($L$20:$L$95,MATCH(LARGE($N$20:$N$95,29),$N$20:$N$95,0))),"")</f>
        <v/>
      </c>
      <c r="D48" s="291">
        <f>IFERROR(INDEX('계좌현황'!D:D,INDEX($L$20:$L$95,MATCH(LARGE($N$20:$N$95,29),$N$20:$N$95,0))),"")</f>
        <v/>
      </c>
      <c r="E48" s="291">
        <f>IFERROR(INDEX('계좌현황'!E:E,INDEX($L$20:$L$95,MATCH(LARGE($N$20:$N$95,29),$N$20:$N$95,0))),"")</f>
        <v/>
      </c>
      <c r="F48" s="318">
        <f>IFERROR(INDEX('계좌현황'!F:F,INDEX($L$20:$L$95,MATCH(LARGE($N$20:$N$95,29),$N$20:$N$95,0))),"")</f>
        <v/>
      </c>
      <c r="G48" s="319">
        <f>IFERROR(INDEX('계좌현황'!K:K,INDEX($L$20:$L$95,MATCH(LARGE($N$20:$N$95,29),$N$20:$N$95,0))),0)</f>
        <v/>
      </c>
      <c r="H48" s="320">
        <f>IF($B$3=0,0,G48/$B$3)</f>
        <v/>
      </c>
      <c r="I48" s="32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1" t="n">
        <v>33</v>
      </c>
      <c r="B52" s="291">
        <f>IFERROR(INDEX('계좌현황'!A:A,INDEX($L$20:$L$95,MATCH(LARGE($N$20:$N$95,33),$N$20:$N$95,0))),"")</f>
        <v/>
      </c>
      <c r="C52" s="291">
        <f>IFERROR(INDEX('계좌현황'!C:C,INDEX($L$20:$L$95,MATCH(LARGE($N$20:$N$95,33),$N$20:$N$95,0))),"")</f>
        <v/>
      </c>
      <c r="D52" s="291">
        <f>IFERROR(INDEX('계좌현황'!D:D,INDEX($L$20:$L$95,MATCH(LARGE($N$20:$N$95,33),$N$20:$N$95,0))),"")</f>
        <v/>
      </c>
      <c r="E52" s="291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1" t="n">
        <v>44</v>
      </c>
      <c r="B63" s="291">
        <f>IFERROR(INDEX('계좌현황'!A:A,INDEX($L$20:$L$95,MATCH(LARGE($N$20:$N$95,44),$N$20:$N$95,0))),"")</f>
        <v/>
      </c>
      <c r="C63" s="291">
        <f>IFERROR(INDEX('계좌현황'!C:C,INDEX($L$20:$L$95,MATCH(LARGE($N$20:$N$95,44),$N$20:$N$95,0))),"")</f>
        <v/>
      </c>
      <c r="D63" s="291">
        <f>IFERROR(INDEX('계좌현황'!D:D,INDEX($L$20:$L$95,MATCH(LARGE($N$20:$N$95,44),$N$20:$N$95,0))),"")</f>
        <v/>
      </c>
      <c r="E63" s="291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1,360원/$  | 연간 합계 52,197,513원 · 월평균 4,349,793원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4085184.6</v>
      </c>
      <c r="C7" s="280" t="n">
        <v>0</v>
      </c>
      <c r="D7" s="280" t="n">
        <v>4085184.6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4211250.999999999</v>
      </c>
      <c r="C8" s="280" t="n">
        <v>0</v>
      </c>
      <c r="D8" s="280" t="n">
        <v>4211250.999999999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4590443.48</v>
      </c>
      <c r="C9" s="283" t="n">
        <v>35408</v>
      </c>
      <c r="D9" s="283" t="n">
        <v>4625851.48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4201107.68</v>
      </c>
      <c r="C10" s="283" t="n">
        <v>5104</v>
      </c>
      <c r="D10" s="283" t="n">
        <v>4206211.68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4283820.48</v>
      </c>
      <c r="C11" s="280" t="n">
        <v>0</v>
      </c>
      <c r="D11" s="280" t="n">
        <v>4283820.48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4317917.92</v>
      </c>
      <c r="C12" s="283" t="n">
        <v>35492</v>
      </c>
      <c r="D12" s="283" t="n">
        <v>4353409.92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4337802.68</v>
      </c>
      <c r="C13" s="280" t="n">
        <v>0</v>
      </c>
      <c r="D13" s="280" t="n">
        <v>4337802.68</v>
      </c>
      <c r="E13" s="279" t="inlineStr">
        <is>
          <t>실적</t>
        </is>
      </c>
    </row>
    <row r="14">
      <c r="A14" s="279" t="inlineStr">
        <is>
          <t>8월</t>
        </is>
      </c>
      <c r="B14" s="280" t="n">
        <v>4206838.08</v>
      </c>
      <c r="C14" s="280" t="n">
        <v>0</v>
      </c>
      <c r="D14" s="280" t="n">
        <v>4206838.08</v>
      </c>
      <c r="E14" s="279" t="inlineStr">
        <is>
          <t>실적</t>
        </is>
      </c>
    </row>
    <row r="15">
      <c r="A15" s="282" t="inlineStr">
        <is>
          <t>9월</t>
        </is>
      </c>
      <c r="B15" s="283" t="n">
        <v>5575.999999999999</v>
      </c>
      <c r="C15" s="283" t="n">
        <v>4206084.04</v>
      </c>
      <c r="D15" s="283" t="n">
        <v>4211660.04</v>
      </c>
      <c r="E15" s="282" t="inlineStr">
        <is>
          <t>혼합</t>
        </is>
      </c>
    </row>
    <row r="16">
      <c r="A16" s="288" t="inlineStr">
        <is>
          <t>10월</t>
        </is>
      </c>
      <c r="B16" s="289" t="n">
        <v>0</v>
      </c>
      <c r="C16" s="289" t="n">
        <v>4081480.44</v>
      </c>
      <c r="D16" s="289" t="n">
        <v>4081480.44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4368697.560000001</v>
      </c>
      <c r="D17" s="289" t="n">
        <v>4368697.560000001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5225304.68</v>
      </c>
      <c r="D18" s="289" t="n">
        <v>5225304.68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0.1003</v>
      </c>
      <c r="F24" s="304" t="n">
        <v>169236855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0.1028</v>
      </c>
      <c r="F25" s="304" t="n">
        <v>67719365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0.1537</v>
      </c>
      <c r="F26" s="304" t="n">
        <v>29106365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0.1569</v>
      </c>
      <c r="F27" s="304" t="n">
        <v>25398660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0.1167</v>
      </c>
      <c r="F28" s="304" t="n">
        <v>30045000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0.1357</v>
      </c>
      <c r="F29" s="304" t="n">
        <v>22781700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0.09320000000000001</v>
      </c>
      <c r="F30" s="304" t="n">
        <v>20350000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0.1512</v>
      </c>
      <c r="F31" s="304" t="n">
        <v>12067250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0.0716</v>
      </c>
      <c r="F32" s="304" t="n">
        <v>21490000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0.0307</v>
      </c>
      <c r="F33" s="304" t="n">
        <v>42088315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0.1192</v>
      </c>
      <c r="F34" s="304" t="n">
        <v>10117080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0.1312</v>
      </c>
      <c r="F35" s="304" t="n">
        <v>7531200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0.0211</v>
      </c>
      <c r="F36" s="304" t="n">
        <v>27199800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0.0295</v>
      </c>
      <c r="F37" s="304" t="n">
        <v>18354000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0.1028</v>
      </c>
      <c r="F38" s="304" t="n">
        <v>4927875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4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1360</v>
      </c>
      <c r="H44" s="279" t="inlineStr">
        <is>
          <t>실적</t>
        </is>
      </c>
    </row>
    <row r="45">
      <c r="A45" s="344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4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4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4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4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4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4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4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4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4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4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4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4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4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4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4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4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4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4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4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4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4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4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19461.6</v>
      </c>
      <c r="H67" s="279" t="inlineStr">
        <is>
          <t>실적</t>
        </is>
      </c>
    </row>
    <row r="68">
      <c r="A68" s="344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3182.4</v>
      </c>
      <c r="H68" s="279" t="inlineStr">
        <is>
          <t>실적</t>
        </is>
      </c>
    </row>
    <row r="69">
      <c r="A69" s="344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4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4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4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4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4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1400.8</v>
      </c>
      <c r="H74" s="279" t="inlineStr">
        <is>
          <t>실적</t>
        </is>
      </c>
    </row>
    <row r="75">
      <c r="A75" s="344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1686.4</v>
      </c>
      <c r="H75" s="279" t="inlineStr">
        <is>
          <t>실적</t>
        </is>
      </c>
    </row>
    <row r="76">
      <c r="A76" s="344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2420.8</v>
      </c>
      <c r="H76" s="279" t="inlineStr">
        <is>
          <t>실적</t>
        </is>
      </c>
    </row>
    <row r="77">
      <c r="A77" s="344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2475.2</v>
      </c>
      <c r="H77" s="279" t="inlineStr">
        <is>
          <t>실적</t>
        </is>
      </c>
    </row>
    <row r="78">
      <c r="A78" s="344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4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4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4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4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4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4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4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4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4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4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4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4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4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4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19461.6</v>
      </c>
      <c r="H92" s="279" t="inlineStr">
        <is>
          <t>실적</t>
        </is>
      </c>
    </row>
    <row r="93">
      <c r="A93" s="344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5548.8</v>
      </c>
      <c r="H93" s="279" t="inlineStr">
        <is>
          <t>실적</t>
        </is>
      </c>
    </row>
    <row r="94">
      <c r="A94" s="344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5575.999999999999</v>
      </c>
      <c r="H94" s="279" t="inlineStr">
        <is>
          <t>실적</t>
        </is>
      </c>
    </row>
    <row r="95">
      <c r="A95" s="344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4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4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4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4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4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4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1300.16</v>
      </c>
      <c r="H101" s="279" t="inlineStr">
        <is>
          <t>실적</t>
        </is>
      </c>
    </row>
    <row r="102">
      <c r="A102" s="344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4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1096.16</v>
      </c>
      <c r="H103" s="279" t="inlineStr">
        <is>
          <t>실적</t>
        </is>
      </c>
    </row>
    <row r="104">
      <c r="A104" s="344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8388.48</v>
      </c>
      <c r="H104" s="279" t="inlineStr">
        <is>
          <t>실적</t>
        </is>
      </c>
    </row>
    <row r="105">
      <c r="A105" s="345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5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4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4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4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4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4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4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4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4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4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4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4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4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4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4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4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26010</v>
      </c>
      <c r="H121" s="279" t="inlineStr">
        <is>
          <t>실적</t>
        </is>
      </c>
    </row>
    <row r="122">
      <c r="A122" s="344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19533.68</v>
      </c>
      <c r="H122" s="279" t="inlineStr">
        <is>
          <t>실적</t>
        </is>
      </c>
    </row>
    <row r="123">
      <c r="A123" s="344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4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1360</v>
      </c>
      <c r="H124" s="279" t="inlineStr">
        <is>
          <t>실적</t>
        </is>
      </c>
    </row>
    <row r="125">
      <c r="A125" s="344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4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4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4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4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4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12172</v>
      </c>
      <c r="H130" s="279" t="inlineStr">
        <is>
          <t>실적</t>
        </is>
      </c>
    </row>
    <row r="131">
      <c r="A131" s="344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4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4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5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4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4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4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4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4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4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4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4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4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4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4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4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4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4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4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19533.68</v>
      </c>
      <c r="H149" s="279" t="inlineStr">
        <is>
          <t>실적</t>
        </is>
      </c>
    </row>
    <row r="150">
      <c r="A150" s="344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4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3304.8</v>
      </c>
      <c r="H151" s="279" t="inlineStr">
        <is>
          <t>실적</t>
        </is>
      </c>
    </row>
    <row r="152">
      <c r="A152" s="344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4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4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4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4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4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1686.4</v>
      </c>
      <c r="H157" s="279" t="inlineStr">
        <is>
          <t>실적</t>
        </is>
      </c>
    </row>
    <row r="158">
      <c r="A158" s="344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1400.8</v>
      </c>
      <c r="H158" s="279" t="inlineStr">
        <is>
          <t>실적</t>
        </is>
      </c>
    </row>
    <row r="159">
      <c r="A159" s="344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2420.8</v>
      </c>
      <c r="H159" s="279" t="inlineStr">
        <is>
          <t>실적</t>
        </is>
      </c>
    </row>
    <row r="160">
      <c r="A160" s="344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2475.2</v>
      </c>
      <c r="H160" s="279" t="inlineStr">
        <is>
          <t>실적</t>
        </is>
      </c>
    </row>
    <row r="161">
      <c r="A161" s="344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4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4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4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4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4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4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4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4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4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4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4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4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4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19533.68</v>
      </c>
      <c r="H174" s="279" t="inlineStr">
        <is>
          <t>실적</t>
        </is>
      </c>
    </row>
    <row r="175">
      <c r="A175" s="344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5548.8</v>
      </c>
      <c r="H175" s="279" t="inlineStr">
        <is>
          <t>실적</t>
        </is>
      </c>
    </row>
    <row r="176">
      <c r="A176" s="344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5575.999999999999</v>
      </c>
      <c r="H176" s="279" t="inlineStr">
        <is>
          <t>실적</t>
        </is>
      </c>
    </row>
    <row r="177">
      <c r="A177" s="344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1360</v>
      </c>
      <c r="H177" s="279" t="inlineStr">
        <is>
          <t>실적</t>
        </is>
      </c>
    </row>
    <row r="178">
      <c r="A178" s="344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1298.8</v>
      </c>
      <c r="H178" s="279" t="inlineStr">
        <is>
          <t>실적</t>
        </is>
      </c>
    </row>
    <row r="179">
      <c r="A179" s="344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4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4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4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4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4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12172</v>
      </c>
      <c r="H184" s="279" t="inlineStr">
        <is>
          <t>실적</t>
        </is>
      </c>
    </row>
    <row r="185">
      <c r="A185" s="344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5143.52</v>
      </c>
      <c r="H185" s="279" t="inlineStr">
        <is>
          <t>실적</t>
        </is>
      </c>
    </row>
    <row r="186">
      <c r="A186" s="344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8257.92</v>
      </c>
      <c r="H186" s="279" t="inlineStr">
        <is>
          <t>실적</t>
        </is>
      </c>
    </row>
    <row r="187">
      <c r="A187" s="345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5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4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4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4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4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4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4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4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4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4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4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4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4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4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4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19533.68</v>
      </c>
      <c r="H202" s="279" t="inlineStr">
        <is>
          <t>실적</t>
        </is>
      </c>
    </row>
    <row r="203">
      <c r="A203" s="344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1360</v>
      </c>
      <c r="H203" s="279" t="inlineStr">
        <is>
          <t>실적</t>
        </is>
      </c>
    </row>
    <row r="204">
      <c r="A204" s="344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4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4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4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4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4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4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4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4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4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4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4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4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4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4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4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4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4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4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4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4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4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4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4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4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19533.68</v>
      </c>
      <c r="H228" s="279" t="inlineStr">
        <is>
          <t>실적</t>
        </is>
      </c>
    </row>
    <row r="229">
      <c r="A229" s="344" t="n">
        <v>46240</v>
      </c>
      <c r="B229" s="279" t="n">
        <v>8</v>
      </c>
      <c r="C229" s="279" t="n">
        <v>105560</v>
      </c>
      <c r="D229" s="279" t="inlineStr">
        <is>
          <t>KB금융</t>
        </is>
      </c>
      <c r="E229" s="280" t="n">
        <v>13860</v>
      </c>
      <c r="F229" s="341" t="n"/>
      <c r="G229" s="280" t="n">
        <v>13860</v>
      </c>
      <c r="H229" s="279" t="inlineStr">
        <is>
          <t>실적</t>
        </is>
      </c>
    </row>
    <row r="230">
      <c r="A230" s="344" t="n">
        <v>46244</v>
      </c>
      <c r="B230" s="279" t="n">
        <v>8</v>
      </c>
      <c r="C230" s="279" t="inlineStr">
        <is>
          <t>AAPL</t>
        </is>
      </c>
      <c r="D230" s="279" t="inlineStr">
        <is>
          <t>애플</t>
        </is>
      </c>
      <c r="E230" s="280" t="n"/>
      <c r="F230" s="341" t="n">
        <v>2.43</v>
      </c>
      <c r="G230" s="280" t="n">
        <v>3304.8</v>
      </c>
      <c r="H230" s="279" t="inlineStr">
        <is>
          <t>실적</t>
        </is>
      </c>
    </row>
    <row r="231">
      <c r="A231" s="344" t="n">
        <v>46247</v>
      </c>
      <c r="B231" s="279" t="n">
        <v>8</v>
      </c>
      <c r="C231" s="279" t="inlineStr">
        <is>
          <t>0008S0</t>
        </is>
      </c>
      <c r="D231" s="279" t="inlineStr">
        <is>
          <t>TIGER 미국배당다우존스타겟데일리커버드콜</t>
        </is>
      </c>
      <c r="E231" s="280" t="n">
        <v>309000</v>
      </c>
      <c r="F231" s="341" t="n"/>
      <c r="G231" s="280" t="n">
        <v>309000</v>
      </c>
      <c r="H231" s="279" t="inlineStr">
        <is>
          <t>실적</t>
        </is>
      </c>
    </row>
    <row r="232">
      <c r="A232" s="344" t="n">
        <v>46247</v>
      </c>
      <c r="B232" s="279" t="n">
        <v>8</v>
      </c>
      <c r="C232" s="279" t="inlineStr">
        <is>
          <t>474220</t>
        </is>
      </c>
      <c r="D232" s="279" t="inlineStr">
        <is>
          <t>TIGER미국테크TOP10커버드콜</t>
        </is>
      </c>
      <c r="E232" s="280" t="n">
        <v>594230</v>
      </c>
      <c r="F232" s="341" t="n"/>
      <c r="G232" s="280" t="n">
        <v>594230</v>
      </c>
      <c r="H232" s="279" t="inlineStr">
        <is>
          <t>실적</t>
        </is>
      </c>
    </row>
    <row r="233">
      <c r="A233" s="344" t="n">
        <v>46247</v>
      </c>
      <c r="B233" s="279" t="n">
        <v>8</v>
      </c>
      <c r="C233" s="279" t="inlineStr">
        <is>
          <t>481060</t>
        </is>
      </c>
      <c r="D233" s="279" t="inlineStr">
        <is>
          <t>KODEX 미국30년국채타겟커버드콜(H)</t>
        </is>
      </c>
      <c r="E233" s="280" t="n">
        <v>226440</v>
      </c>
      <c r="F233" s="341" t="n"/>
      <c r="G233" s="280" t="n">
        <v>226440</v>
      </c>
      <c r="H233" s="279" t="inlineStr">
        <is>
          <t>실적</t>
        </is>
      </c>
    </row>
    <row r="234">
      <c r="A234" s="344" t="n">
        <v>46247</v>
      </c>
      <c r="B234" s="279" t="n">
        <v>8</v>
      </c>
      <c r="C234" s="279" t="inlineStr">
        <is>
          <t>490490</t>
        </is>
      </c>
      <c r="D234" s="279" t="inlineStr">
        <is>
          <t>SOL미국배당미국채혼합50</t>
        </is>
      </c>
      <c r="E234" s="280" t="n">
        <v>80241</v>
      </c>
      <c r="F234" s="341" t="n"/>
      <c r="G234" s="280" t="n">
        <v>80241</v>
      </c>
      <c r="H234" s="279" t="inlineStr">
        <is>
          <t>실적</t>
        </is>
      </c>
    </row>
    <row r="235">
      <c r="A235" s="344" t="n">
        <v>46247</v>
      </c>
      <c r="B235" s="279" t="n">
        <v>8</v>
      </c>
      <c r="C235" s="279" t="inlineStr">
        <is>
          <t>498400</t>
        </is>
      </c>
      <c r="D235" s="279" t="inlineStr">
        <is>
          <t>KODEX 200타켓위클리커버드콜</t>
        </is>
      </c>
      <c r="E235" s="280" t="n">
        <v>164970</v>
      </c>
      <c r="F235" s="341" t="n"/>
      <c r="G235" s="280" t="n">
        <v>164970</v>
      </c>
      <c r="H235" s="279" t="inlineStr">
        <is>
          <t>실적</t>
        </is>
      </c>
    </row>
    <row r="236">
      <c r="A236" s="344" t="n">
        <v>46248</v>
      </c>
      <c r="B236" s="279" t="n">
        <v>8</v>
      </c>
      <c r="C236" s="279" t="inlineStr">
        <is>
          <t>SBUX</t>
        </is>
      </c>
      <c r="D236" s="279" t="inlineStr">
        <is>
          <t>스타벅스</t>
        </is>
      </c>
      <c r="E236" s="280" t="n"/>
      <c r="F236" s="341" t="n">
        <v>1.24</v>
      </c>
      <c r="G236" s="280" t="n">
        <v>1686.4</v>
      </c>
      <c r="H236" s="279" t="inlineStr">
        <is>
          <t>실적</t>
        </is>
      </c>
    </row>
    <row r="237">
      <c r="A237" s="344" t="n">
        <v>46251</v>
      </c>
      <c r="B237" s="279" t="n">
        <v>8</v>
      </c>
      <c r="C237" s="279" t="inlineStr">
        <is>
          <t>NVO</t>
        </is>
      </c>
      <c r="D237" s="279" t="inlineStr">
        <is>
          <t>노보 노디스크</t>
        </is>
      </c>
      <c r="E237" s="280" t="n"/>
      <c r="F237" s="341" t="n">
        <v>8.685</v>
      </c>
      <c r="G237" s="280" t="n">
        <v>11811.6</v>
      </c>
      <c r="H237" s="279" t="inlineStr">
        <is>
          <t>실적</t>
        </is>
      </c>
    </row>
    <row r="238">
      <c r="A238" s="344" t="n">
        <v>46251</v>
      </c>
      <c r="B238" s="279" t="n">
        <v>8</v>
      </c>
      <c r="C238" s="279" t="inlineStr">
        <is>
          <t>XOM</t>
        </is>
      </c>
      <c r="D238" s="279" t="inlineStr">
        <is>
          <t>엑슨모빌</t>
        </is>
      </c>
      <c r="E238" s="280" t="n"/>
      <c r="F238" s="341" t="n">
        <v>1.03</v>
      </c>
      <c r="G238" s="280" t="n">
        <v>1400.8</v>
      </c>
      <c r="H238" s="279" t="inlineStr">
        <is>
          <t>실적</t>
        </is>
      </c>
    </row>
    <row r="239">
      <c r="A239" s="344" t="n">
        <v>46253</v>
      </c>
      <c r="B239" s="279" t="n">
        <v>8</v>
      </c>
      <c r="C239" s="279" t="inlineStr">
        <is>
          <t>CVX</t>
        </is>
      </c>
      <c r="D239" s="279" t="inlineStr">
        <is>
          <t>셰브론</t>
        </is>
      </c>
      <c r="E239" s="280" t="n"/>
      <c r="F239" s="341" t="n">
        <v>1.78</v>
      </c>
      <c r="G239" s="280" t="n">
        <v>2420.8</v>
      </c>
      <c r="H239" s="279" t="inlineStr">
        <is>
          <t>실적</t>
        </is>
      </c>
    </row>
    <row r="240">
      <c r="A240" s="344" t="n">
        <v>46254</v>
      </c>
      <c r="B240" s="279" t="n">
        <v>8</v>
      </c>
      <c r="C240" s="279" t="inlineStr">
        <is>
          <t>MSFT</t>
        </is>
      </c>
      <c r="D240" s="279" t="inlineStr">
        <is>
          <t>마이크로소프트</t>
        </is>
      </c>
      <c r="E240" s="280" t="n"/>
      <c r="F240" s="341" t="n">
        <v>1.82</v>
      </c>
      <c r="G240" s="280" t="n">
        <v>2475.2</v>
      </c>
      <c r="H240" s="279" t="inlineStr">
        <is>
          <t>실적</t>
        </is>
      </c>
    </row>
    <row r="241">
      <c r="A241" s="344" t="n">
        <v>46262</v>
      </c>
      <c r="B241" s="279" t="n">
        <v>8</v>
      </c>
      <c r="C241" s="279" t="inlineStr">
        <is>
          <t>005389</t>
        </is>
      </c>
      <c r="D241" s="279" t="inlineStr">
        <is>
          <t>현대차3우B</t>
        </is>
      </c>
      <c r="E241" s="280" t="n">
        <v>32500</v>
      </c>
      <c r="F241" s="341" t="n"/>
      <c r="G241" s="280" t="n">
        <v>32500</v>
      </c>
      <c r="H241" s="279" t="inlineStr">
        <is>
          <t>실적</t>
        </is>
      </c>
    </row>
    <row r="242">
      <c r="A242" s="344" t="n">
        <v>46262</v>
      </c>
      <c r="B242" s="279" t="n">
        <v>8</v>
      </c>
      <c r="C242" s="279" t="inlineStr">
        <is>
          <t>0219E0</t>
        </is>
      </c>
      <c r="D242" s="279" t="inlineStr">
        <is>
          <t>KODEX 200커버드콜액티브</t>
        </is>
      </c>
      <c r="E242" s="280" t="n">
        <v>209752</v>
      </c>
      <c r="F242" s="341" t="n"/>
      <c r="G242" s="280" t="n">
        <v>209752</v>
      </c>
      <c r="H242" s="279" t="inlineStr">
        <is>
          <t>실적</t>
        </is>
      </c>
    </row>
    <row r="243">
      <c r="A243" s="344" t="n">
        <v>46262</v>
      </c>
      <c r="B243" s="279" t="n">
        <v>8</v>
      </c>
      <c r="C243" s="279" t="inlineStr">
        <is>
          <t>329200</t>
        </is>
      </c>
      <c r="D243" s="279" t="inlineStr">
        <is>
          <t>TIGER리츠부동산인프라</t>
        </is>
      </c>
      <c r="E243" s="280" t="n">
        <v>165000</v>
      </c>
      <c r="F243" s="341" t="n"/>
      <c r="G243" s="280" t="n">
        <v>165000</v>
      </c>
      <c r="H243" s="279" t="inlineStr">
        <is>
          <t>실적</t>
        </is>
      </c>
    </row>
    <row r="244">
      <c r="A244" s="344" t="n">
        <v>46262</v>
      </c>
      <c r="B244" s="279" t="n">
        <v>8</v>
      </c>
      <c r="C244" s="279" t="inlineStr">
        <is>
          <t>433330</t>
        </is>
      </c>
      <c r="D244" s="279" t="inlineStr">
        <is>
          <t>SOL 미국 S&amp;P500</t>
        </is>
      </c>
      <c r="E244" s="280" t="n">
        <v>24206</v>
      </c>
      <c r="F244" s="341" t="n"/>
      <c r="G244" s="280" t="n">
        <v>24206</v>
      </c>
      <c r="H244" s="279" t="inlineStr">
        <is>
          <t>실적</t>
        </is>
      </c>
    </row>
    <row r="245">
      <c r="A245" s="344" t="n">
        <v>46262</v>
      </c>
      <c r="B245" s="279" t="n">
        <v>8</v>
      </c>
      <c r="C245" s="279" t="inlineStr">
        <is>
          <t>446720</t>
        </is>
      </c>
      <c r="D245" s="279" t="inlineStr">
        <is>
          <t>SOL 미국배당다우존스</t>
        </is>
      </c>
      <c r="E245" s="280" t="n">
        <v>35910</v>
      </c>
      <c r="F245" s="341" t="n"/>
      <c r="G245" s="280" t="n">
        <v>35910</v>
      </c>
      <c r="H245" s="279" t="inlineStr">
        <is>
          <t>실적</t>
        </is>
      </c>
    </row>
    <row r="246">
      <c r="A246" s="344" t="n">
        <v>46262</v>
      </c>
      <c r="B246" s="279" t="n">
        <v>8</v>
      </c>
      <c r="C246" s="279" t="inlineStr">
        <is>
          <t>458760</t>
        </is>
      </c>
      <c r="D246" s="279" t="inlineStr">
        <is>
          <t>TIGER 미배당다우커버드콜2호</t>
        </is>
      </c>
      <c r="E246" s="280" t="n">
        <v>1381770</v>
      </c>
      <c r="F246" s="341" t="n"/>
      <c r="G246" s="280" t="n">
        <v>1381770</v>
      </c>
      <c r="H246" s="279" t="inlineStr">
        <is>
          <t>실적</t>
        </is>
      </c>
    </row>
    <row r="247">
      <c r="A247" s="344" t="n">
        <v>46262</v>
      </c>
      <c r="B247" s="279" t="n">
        <v>8</v>
      </c>
      <c r="C247" s="279" t="inlineStr">
        <is>
          <t>468380</t>
        </is>
      </c>
      <c r="D247" s="279" t="inlineStr">
        <is>
          <t>KODEX iShares미국하이일드액티브</t>
        </is>
      </c>
      <c r="E247" s="280" t="n">
        <v>126000</v>
      </c>
      <c r="F247" s="341" t="n"/>
      <c r="G247" s="280" t="n">
        <v>126000</v>
      </c>
      <c r="H247" s="279" t="inlineStr">
        <is>
          <t>실적</t>
        </is>
      </c>
    </row>
    <row r="248">
      <c r="A248" s="344" t="n">
        <v>46262</v>
      </c>
      <c r="B248" s="279" t="n">
        <v>8</v>
      </c>
      <c r="C248" s="279" t="inlineStr">
        <is>
          <t>473330</t>
        </is>
      </c>
      <c r="D248" s="279" t="inlineStr">
        <is>
          <t>SOL 미국 30년국채커버드콜(합성)</t>
        </is>
      </c>
      <c r="E248" s="280" t="n">
        <v>57600</v>
      </c>
      <c r="F248" s="341" t="n"/>
      <c r="G248" s="280" t="n">
        <v>57600</v>
      </c>
      <c r="H248" s="279" t="inlineStr">
        <is>
          <t>실적</t>
        </is>
      </c>
    </row>
    <row r="249">
      <c r="A249" s="344" t="n">
        <v>46262</v>
      </c>
      <c r="B249" s="279" t="n">
        <v>8</v>
      </c>
      <c r="C249" s="279" t="inlineStr">
        <is>
          <t>475380</t>
        </is>
      </c>
      <c r="D249" s="279" t="inlineStr">
        <is>
          <t>RISE 글로벌리얼티인컴</t>
        </is>
      </c>
      <c r="E249" s="280" t="n">
        <v>3232</v>
      </c>
      <c r="F249" s="341" t="n"/>
      <c r="G249" s="280" t="n">
        <v>3232</v>
      </c>
      <c r="H249" s="279" t="inlineStr">
        <is>
          <t>실적</t>
        </is>
      </c>
    </row>
    <row r="250">
      <c r="A250" s="344" t="n">
        <v>46262</v>
      </c>
      <c r="B250" s="279" t="n">
        <v>8</v>
      </c>
      <c r="C250" s="279" t="inlineStr">
        <is>
          <t>476550</t>
        </is>
      </c>
      <c r="D250" s="279" t="inlineStr">
        <is>
          <t>TIGER 미국30년국채커버드콜액티브(H)</t>
        </is>
      </c>
      <c r="E250" s="280" t="n">
        <v>29739</v>
      </c>
      <c r="F250" s="341" t="n"/>
      <c r="G250" s="280" t="n">
        <v>29739</v>
      </c>
      <c r="H250" s="279" t="inlineStr">
        <is>
          <t>실적</t>
        </is>
      </c>
    </row>
    <row r="251">
      <c r="A251" s="344" t="n">
        <v>46262</v>
      </c>
      <c r="B251" s="279" t="n">
        <v>8</v>
      </c>
      <c r="C251" s="279" t="inlineStr">
        <is>
          <t>476690</t>
        </is>
      </c>
      <c r="D251" s="279" t="inlineStr">
        <is>
          <t>TIGER 글로벌비만치료제 TOP2 Plus</t>
        </is>
      </c>
      <c r="E251" s="280" t="n">
        <v>1100</v>
      </c>
      <c r="F251" s="341" t="n"/>
      <c r="G251" s="280" t="n">
        <v>1100</v>
      </c>
      <c r="H251" s="279" t="inlineStr">
        <is>
          <t>실적</t>
        </is>
      </c>
    </row>
    <row r="252">
      <c r="A252" s="344" t="n">
        <v>46262</v>
      </c>
      <c r="B252" s="279" t="n">
        <v>8</v>
      </c>
      <c r="C252" s="279" t="inlineStr">
        <is>
          <t>482730</t>
        </is>
      </c>
      <c r="D252" s="279" t="inlineStr">
        <is>
          <t>미국S&amp;P500타겟데일리커버드콜</t>
        </is>
      </c>
      <c r="E252" s="280" t="n">
        <v>42500</v>
      </c>
      <c r="F252" s="341" t="n"/>
      <c r="G252" s="280" t="n">
        <v>42500</v>
      </c>
      <c r="H252" s="279" t="inlineStr">
        <is>
          <t>실적</t>
        </is>
      </c>
    </row>
    <row r="253">
      <c r="A253" s="344" t="n">
        <v>46262</v>
      </c>
      <c r="B253" s="279" t="n">
        <v>8</v>
      </c>
      <c r="C253" s="279" t="inlineStr">
        <is>
          <t>483280</t>
        </is>
      </c>
      <c r="D253" s="279" t="inlineStr">
        <is>
          <t>KODEX 미국AI테크TOP10타겟커버드콜</t>
        </is>
      </c>
      <c r="E253" s="280" t="n">
        <v>318318</v>
      </c>
      <c r="F253" s="341" t="n"/>
      <c r="G253" s="280" t="n">
        <v>318318</v>
      </c>
      <c r="H253" s="279" t="inlineStr">
        <is>
          <t>실적</t>
        </is>
      </c>
    </row>
    <row r="254">
      <c r="A254" s="344" t="n">
        <v>46262</v>
      </c>
      <c r="B254" s="279" t="n">
        <v>8</v>
      </c>
      <c r="C254" s="279" t="inlineStr">
        <is>
          <t>498410</t>
        </is>
      </c>
      <c r="D254" s="279" t="inlineStr">
        <is>
          <t>KODEX금융고배당TOP10타겟위클리커버드콜</t>
        </is>
      </c>
      <c r="E254" s="280" t="n">
        <v>342288</v>
      </c>
      <c r="F254" s="341" t="n"/>
      <c r="G254" s="280" t="n">
        <v>342288</v>
      </c>
      <c r="H254" s="279" t="inlineStr">
        <is>
          <t>실적</t>
        </is>
      </c>
    </row>
    <row r="255">
      <c r="A255" s="344" t="n">
        <v>46262</v>
      </c>
      <c r="B255" s="279" t="n">
        <v>8</v>
      </c>
      <c r="C255" s="279" t="inlineStr">
        <is>
          <t>TMUS</t>
        </is>
      </c>
      <c r="D255" s="279" t="inlineStr">
        <is>
          <t>T-모바일</t>
        </is>
      </c>
      <c r="E255" s="280" t="n"/>
      <c r="F255" s="341" t="n">
        <v>4.08</v>
      </c>
      <c r="G255" s="280" t="n">
        <v>5548.8</v>
      </c>
      <c r="H255" s="279" t="inlineStr">
        <is>
          <t>실적</t>
        </is>
      </c>
    </row>
    <row r="256">
      <c r="A256" s="344" t="n">
        <v>46265</v>
      </c>
      <c r="B256" s="279" t="n">
        <v>8</v>
      </c>
      <c r="C256" s="279" t="inlineStr">
        <is>
          <t>O</t>
        </is>
      </c>
      <c r="D256" s="279" t="inlineStr">
        <is>
          <t>리얼티인컴</t>
        </is>
      </c>
      <c r="E256" s="280" t="n"/>
      <c r="F256" s="341" t="n">
        <v>14.363</v>
      </c>
      <c r="G256" s="280" t="n">
        <v>19533.68</v>
      </c>
      <c r="H256" s="279" t="inlineStr">
        <is>
          <t>실적</t>
        </is>
      </c>
    </row>
    <row r="257">
      <c r="A257" s="344" t="n">
        <v>46266</v>
      </c>
      <c r="B257" s="279" t="n">
        <v>9</v>
      </c>
      <c r="C257" s="279" t="inlineStr">
        <is>
          <t>NKE</t>
        </is>
      </c>
      <c r="D257" s="279" t="inlineStr">
        <is>
          <t>나이키</t>
        </is>
      </c>
      <c r="E257" s="280" t="n"/>
      <c r="F257" s="341" t="n">
        <v>4.1</v>
      </c>
      <c r="G257" s="280" t="n">
        <v>5575.999999999999</v>
      </c>
      <c r="H257" s="279" t="inlineStr">
        <is>
          <t>실적</t>
        </is>
      </c>
    </row>
    <row r="258">
      <c r="A258" s="345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19173.28</v>
      </c>
      <c r="H258" s="288" t="inlineStr">
        <is>
          <t>예측</t>
        </is>
      </c>
    </row>
    <row r="259">
      <c r="A259" s="345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5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5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5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5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5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1939.36</v>
      </c>
      <c r="H264" s="288" t="inlineStr">
        <is>
          <t>예측</t>
        </is>
      </c>
    </row>
    <row r="265">
      <c r="A265" s="345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8350.4</v>
      </c>
      <c r="H265" s="288" t="inlineStr">
        <is>
          <t>예측</t>
        </is>
      </c>
    </row>
    <row r="266">
      <c r="A266" s="345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5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5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5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5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5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5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5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5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5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5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5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5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5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5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5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5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11560</v>
      </c>
      <c r="H282" s="288" t="inlineStr">
        <is>
          <t>예측</t>
        </is>
      </c>
    </row>
    <row r="283">
      <c r="A283" s="345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11016</v>
      </c>
      <c r="H283" s="288" t="inlineStr">
        <is>
          <t>예측</t>
        </is>
      </c>
    </row>
    <row r="284">
      <c r="A284" s="345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1224</v>
      </c>
      <c r="H284" s="288" t="inlineStr">
        <is>
          <t>예측</t>
        </is>
      </c>
    </row>
    <row r="285">
      <c r="A285" s="345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19317.44</v>
      </c>
      <c r="H285" s="288" t="inlineStr">
        <is>
          <t>예측</t>
        </is>
      </c>
    </row>
    <row r="286">
      <c r="A286" s="345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5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5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5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5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5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5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5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5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5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5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5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5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5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5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5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5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5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5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5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5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5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5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3121.2</v>
      </c>
      <c r="H308" s="288" t="inlineStr">
        <is>
          <t>예측</t>
        </is>
      </c>
    </row>
    <row r="309">
      <c r="A309" s="345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5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5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5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5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5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5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19245.36</v>
      </c>
      <c r="H315" s="288" t="inlineStr">
        <is>
          <t>예측</t>
        </is>
      </c>
    </row>
    <row r="316">
      <c r="A316" s="345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1672.8</v>
      </c>
      <c r="H316" s="288" t="inlineStr">
        <is>
          <t>예측</t>
        </is>
      </c>
    </row>
    <row r="317">
      <c r="A317" s="345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1373.6</v>
      </c>
      <c r="H317" s="288" t="inlineStr">
        <is>
          <t>예측</t>
        </is>
      </c>
    </row>
    <row r="318">
      <c r="A318" s="345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2271.2</v>
      </c>
      <c r="H318" s="288" t="inlineStr">
        <is>
          <t>예측</t>
        </is>
      </c>
    </row>
    <row r="319">
      <c r="A319" s="345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2366.4</v>
      </c>
      <c r="H319" s="288" t="inlineStr">
        <is>
          <t>예측</t>
        </is>
      </c>
    </row>
    <row r="320">
      <c r="A320" s="345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5168</v>
      </c>
      <c r="H320" s="288" t="inlineStr">
        <is>
          <t>예측</t>
        </is>
      </c>
    </row>
    <row r="321">
      <c r="A321" s="345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5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5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5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5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5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5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5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5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5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5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5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5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5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5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5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5508</v>
      </c>
      <c r="H336" s="288" t="inlineStr">
        <is>
          <t>예측</t>
        </is>
      </c>
    </row>
    <row r="337">
      <c r="A337" s="345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8861.76</v>
      </c>
      <c r="H337" s="288" t="inlineStr">
        <is>
          <t>예측</t>
        </is>
      </c>
    </row>
    <row r="338">
      <c r="A338" s="345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5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5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5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5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5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19245.36</v>
      </c>
      <c r="H343" s="288" t="inlineStr">
        <is>
          <t>예측</t>
        </is>
      </c>
    </row>
    <row r="344">
      <c r="A344" s="345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2255.56</v>
      </c>
      <c r="H344" s="288" t="inlineStr">
        <is>
          <t>예측</t>
        </is>
      </c>
    </row>
    <row r="345">
      <c r="A345" s="345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5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5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5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5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5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5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5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5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5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5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5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5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5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11288</v>
      </c>
      <c r="H358" s="288" t="inlineStr">
        <is>
          <t>예측</t>
        </is>
      </c>
    </row>
    <row r="359">
      <c r="A359" s="345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5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5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5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5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2026-09-03T06:04:06Z</dcterms:modified>
  <cp:lastModifiedBy>Hyoyol Park</cp:lastModifiedBy>
</cp:coreProperties>
</file>