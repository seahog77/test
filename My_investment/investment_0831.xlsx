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6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 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0.1296922587531975</v>
                </pt>
                <pt idx="1">
                  <v>0.05336970722383165</v>
                </pt>
                <pt idx="2">
                  <v>0.03757652996833183</v>
                </pt>
                <pt idx="3">
                  <v>0.03392685297761253</v>
                </pt>
                <pt idx="4">
                  <v>0.03405709384148325</v>
                </pt>
                <pt idx="5">
                  <v>0.02759278200601407</v>
                </pt>
                <pt idx="6">
                  <v>0.02763359683856504</v>
                </pt>
                <pt idx="7">
                  <v>0.02526487014943937</v>
                </pt>
                <pt idx="8">
                  <v>0.01357018640260255</v>
                </pt>
                <pt idx="9">
                  <v>0.06107047630541001</v>
                </pt>
                <pt idx="10">
                  <v>0.0561921262147896</v>
                </pt>
                <pt idx="11">
                  <v>0.02302182626054924</v>
                </pt>
                <pt idx="12">
                  <v>0.02511849887270419</v>
                </pt>
                <pt idx="13">
                  <v>0.006432154879823109</v>
                </pt>
                <pt idx="14">
                  <v>0.01338650743611345</v>
                </pt>
                <pt idx="15">
                  <v>0.007335415230198459</v>
                </pt>
                <pt idx="16">
                  <v>0.03336293618787314</v>
                </pt>
                <pt idx="17">
                  <v>0.02686967514931616</v>
                </pt>
                <pt idx="18">
                  <v>0.02455932344674617</v>
                </pt>
                <pt idx="19">
                  <v>0.01166030274941701</v>
                </pt>
                <pt idx="20">
                  <v>0.009666516509316816</v>
                </pt>
                <pt idx="21">
                  <v>0.005887356295331027</v>
                </pt>
                <pt idx="22">
                  <v>0.005796060602520163</v>
                </pt>
                <pt idx="23">
                  <v>0.003607774577300959</v>
                </pt>
                <pt idx="24">
                  <v>0.00338097119641893</v>
                </pt>
                <pt idx="25">
                  <v>0.003240746584585886</v>
                </pt>
                <pt idx="26">
                  <v>0.002210941923287916</v>
                </pt>
                <pt idx="27">
                  <v>0.001330148060830218</v>
                </pt>
                <pt idx="28">
                  <v>0.001320616453228495</v>
                </pt>
                <pt idx="29">
                  <v>0.01844915971371999</v>
                </pt>
                <pt idx="30">
                  <v>0.01475932777097599</v>
                </pt>
                <pt idx="31">
                  <v>0.01549283385596758</v>
                </pt>
                <pt idx="32">
                  <v>0.01003977526050036</v>
                </pt>
                <pt idx="33">
                  <v>0.005737552131433127</v>
                </pt>
                <pt idx="34">
                  <v>0.007263622311633405</v>
                </pt>
                <pt idx="35">
                  <v>0.004750844488872046</v>
                </pt>
                <pt idx="36">
                  <v>0.004462258758775951</v>
                </pt>
                <pt idx="37">
                  <v>0.003946085547113403</v>
                </pt>
                <pt idx="38">
                  <v>0.01007205920318508</v>
                </pt>
                <pt idx="39">
                  <v>0.002470885970600551</v>
                </pt>
                <pt idx="40">
                  <v>0.0003208962339237063</v>
                </pt>
                <pt idx="41">
                  <v>0.01327630738822583</v>
                </pt>
                <pt idx="42">
                  <v>0.002444001949159794</v>
                </pt>
                <pt idx="43">
                  <v>0.002152676916819946</v>
                </pt>
                <pt idx="44">
                  <v>0.0006029108408382295</v>
                </pt>
                <pt idx="45">
                  <v>0.001690956068584678</v>
                </pt>
                <pt idx="46">
                  <v>0.00151478606948128</v>
                </pt>
                <pt idx="47">
                  <v>0.001554023161612213</v>
                </pt>
                <pt idx="48">
                  <v>0.001429513573753502</v>
                </pt>
                <pt idx="49">
                  <v>0.001709591073583822</v>
                </pt>
                <pt idx="50">
                  <v>0.001260348933536024</v>
                </pt>
                <pt idx="51">
                  <v>0.001187724075846018</v>
                </pt>
                <pt idx="52">
                  <v>0.001201199929892338</v>
                </pt>
                <pt idx="53">
                  <v>0.0009692801750280029</v>
                </pt>
                <pt idx="54">
                  <v>0.0009080952006994782</v>
                </pt>
                <pt idx="55">
                  <v>0.0007027820397897518</v>
                </pt>
                <pt idx="56">
                  <v>0.0007356521736345452</v>
                </pt>
                <pt idx="57">
                  <v>0.0005123596929937194</v>
                </pt>
                <pt idx="58">
                  <v>0.0006561944614706119</v>
                </pt>
                <pt idx="59">
                  <v>0.0005194341115671621</v>
                </pt>
                <pt idx="60">
                  <v>0.00046463332095389</v>
                </pt>
                <pt idx="61">
                  <v>0.0003716307411310094</v>
                </pt>
                <pt idx="62">
                  <v>0.0003240424094806902</v>
                </pt>
                <pt idx="63">
                  <v>0.0002912639322911184</v>
                </pt>
                <pt idx="64">
                  <v>0.0002297284657038488</v>
                </pt>
                <pt idx="65">
                  <v>4.829958852027043e-05</v>
                </pt>
                <pt idx="66">
                  <v>0</v>
                </pt>
                <pt idx="67">
                  <v>0.1013559930242344</v>
                </pt>
                <pt idx="68">
                  <v>0.01526717915600165</v>
                </pt>
                <pt idx="69">
                  <v>0.01313501352554003</v>
                </pt>
                <pt idx="70">
                  <v>0.01258126378390915</v>
                </pt>
                <pt idx="71">
                  <v>0.01051732246785832</v>
                </pt>
                <pt idx="72">
                  <v>0.00366600292373969</v>
                </pt>
                <pt idx="73">
                  <v>0.0003450930752213629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M51" sqref="M51"/>
    </sheetView>
  </sheetViews>
  <sheetFormatPr baseColWidth="8" defaultColWidth="12.59765625" defaultRowHeight="15.75" customHeight="1"/>
  <cols>
    <col width="9.9296875" customWidth="1" style="205" min="1" max="1"/>
    <col outlineLevel="1" width="12.59765625" customWidth="1" style="205" min="2" max="2"/>
    <col width="41.59765625" customWidth="1" style="205" min="4" max="4"/>
    <col width="35.3984375" customWidth="1" style="205" min="5" max="5"/>
    <col width="14.59765625" customWidth="1" style="205" min="11" max="11"/>
    <col width="16" customWidth="1" style="205" min="13" max="13"/>
    <col width="22.796875" customWidth="1" style="205" min="14" max="14"/>
    <col width="14.1328125" customWidth="1" style="205" min="15" max="15"/>
    <col width="3.265625" customWidth="1" style="205" min="16" max="16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205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205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205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205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￦1,367</t>
        </is>
      </c>
      <c r="J5" s="73" t="n">
        <v>1366.58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205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205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8" t="n"/>
      <c r="D8" s="93" t="n"/>
      <c r="E8" s="94" t="n"/>
      <c r="F8" s="95" t="n"/>
      <c r="G8" s="209" t="n"/>
      <c r="H8" s="95" t="n"/>
      <c r="I8" s="76" t="n"/>
      <c r="J8" s="75" t="n"/>
      <c r="K8" s="210">
        <f>SUM(K9:K84)</f>
        <v/>
      </c>
      <c r="L8" s="75" t="n"/>
      <c r="M8" s="211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205">
      <c r="A9" s="204" t="inlineStr">
        <is>
          <t>DC</t>
        </is>
      </c>
      <c r="B9" s="204" t="n">
        <v>1</v>
      </c>
      <c r="C9" s="212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3" t="n">
        <v>9435</v>
      </c>
      <c r="H9" s="214" t="n"/>
      <c r="I9" s="215" t="n">
        <v>11025</v>
      </c>
      <c r="J9" s="216" t="n"/>
      <c r="K9" s="217">
        <f>IFERROR(I9*F9+J9*$J$5*F9,)</f>
        <v/>
      </c>
      <c r="L9" s="83">
        <f>IFERROR(K9/$K$8,)</f>
        <v/>
      </c>
      <c r="M9" s="218">
        <f>IFERROR(K9-G9*F9-H9*$J$5*F9,)</f>
        <v/>
      </c>
      <c r="N9" s="219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205">
      <c r="A10" s="204" t="inlineStr">
        <is>
          <t>DC</t>
        </is>
      </c>
      <c r="B10" s="204" t="n">
        <v>2</v>
      </c>
      <c r="C10" s="212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3" t="n">
        <v>10603</v>
      </c>
      <c r="H10" s="214" t="n"/>
      <c r="I10" s="215" t="n">
        <v>11030</v>
      </c>
      <c r="J10" s="216" t="n"/>
      <c r="K10" s="217">
        <f>IFERROR(I10*F10+J10*$J$5*F10,)</f>
        <v/>
      </c>
      <c r="L10" s="83">
        <f>IFERROR(K10/$K$8,)</f>
        <v/>
      </c>
      <c r="M10" s="218">
        <f>IFERROR(K10-G10*F10-H10*$J$5*F10,)</f>
        <v/>
      </c>
      <c r="N10" s="219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205">
      <c r="A11" s="204" t="inlineStr">
        <is>
          <t>DC</t>
        </is>
      </c>
      <c r="B11" s="204" t="n">
        <v>3</v>
      </c>
      <c r="C11" s="220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3" t="n">
        <v>8910</v>
      </c>
      <c r="H11" s="214" t="n"/>
      <c r="I11" s="221" t="n">
        <v>10020</v>
      </c>
      <c r="J11" s="222" t="n"/>
      <c r="K11" s="223">
        <f>IFERROR(I11*F11+J11*$J$5*F11,)</f>
        <v/>
      </c>
      <c r="L11" s="90">
        <f>IFERROR(K11/$K$8,)</f>
        <v/>
      </c>
      <c r="M11" s="218">
        <f>IFERROR(K11-G11*F11-H11*$J$5*F11,)</f>
        <v/>
      </c>
      <c r="N11" s="224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205">
      <c r="A12" s="204" t="inlineStr">
        <is>
          <t>DC</t>
        </is>
      </c>
      <c r="B12" s="204" t="n">
        <v>4</v>
      </c>
      <c r="C12" s="220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5" t="n">
        <v>12286</v>
      </c>
      <c r="H12" s="226" t="n"/>
      <c r="I12" s="221" t="n">
        <v>11835</v>
      </c>
      <c r="J12" s="222" t="n"/>
      <c r="K12" s="223">
        <f>IFERROR(I12*F12+J12*$J$5*F12,)</f>
        <v/>
      </c>
      <c r="L12" s="90">
        <f>IFERROR(K12/$K$8,)</f>
        <v/>
      </c>
      <c r="M12" s="218">
        <f>IFERROR(K12-G12*F12-H12*$J$5*F12,)</f>
        <v/>
      </c>
      <c r="N12" s="224">
        <f>IFERROR(M12/(K12-M12),)</f>
        <v/>
      </c>
      <c r="O12" s="198" t="inlineStr">
        <is>
          <t>국내금융배당</t>
        </is>
      </c>
      <c r="P12" s="204" t="n"/>
      <c r="Q12" s="204" t="n"/>
      <c r="R12" s="204" t="n"/>
    </row>
    <row r="13" ht="12.75" customHeight="1" s="205">
      <c r="A13" s="204" t="inlineStr">
        <is>
          <t>DC</t>
        </is>
      </c>
      <c r="B13" s="204" t="n">
        <v>5</v>
      </c>
      <c r="C13" s="220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5" t="n">
        <v>14081</v>
      </c>
      <c r="H13" s="226" t="n"/>
      <c r="I13" s="221" t="n">
        <v>13765</v>
      </c>
      <c r="J13" s="222" t="n"/>
      <c r="K13" s="223">
        <f>IFERROR(I13*F13+J13*$J$5*F13,)</f>
        <v/>
      </c>
      <c r="L13" s="90">
        <f>IFERROR(K13/$K$8,)</f>
        <v/>
      </c>
      <c r="M13" s="218">
        <f>IFERROR(K13-G13*F13-H13*$J$5*F13,)</f>
        <v/>
      </c>
      <c r="N13" s="224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205">
      <c r="A14" s="204" t="inlineStr">
        <is>
          <t>DC</t>
        </is>
      </c>
      <c r="B14" s="204" t="n">
        <v>6</v>
      </c>
      <c r="C14" s="220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5" t="n">
        <v>11685</v>
      </c>
      <c r="H14" s="226" t="n"/>
      <c r="I14" s="221" t="n">
        <v>10790</v>
      </c>
      <c r="J14" s="222" t="n"/>
      <c r="K14" s="223">
        <f>IFERROR(I14*F14+J14*$J$5*F14,)</f>
        <v/>
      </c>
      <c r="L14" s="90">
        <f>IFERROR(K14/$K$8,)</f>
        <v/>
      </c>
      <c r="M14" s="218">
        <f>IFERROR(K14-G14*F14-H14*$J$5*F14,)</f>
        <v/>
      </c>
      <c r="N14" s="224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205">
      <c r="A15" s="204" t="inlineStr">
        <is>
          <t>DC</t>
        </is>
      </c>
      <c r="B15" s="204" t="n">
        <v>7</v>
      </c>
      <c r="C15" s="220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3" t="n">
        <v>8675</v>
      </c>
      <c r="H15" s="214" t="n"/>
      <c r="I15" s="221" t="n">
        <v>7405</v>
      </c>
      <c r="J15" s="222" t="n"/>
      <c r="K15" s="223">
        <f>IFERROR(I15*F15+J15*$J$5*F15,)</f>
        <v/>
      </c>
      <c r="L15" s="90">
        <f>IFERROR(K15/$K$8,)</f>
        <v/>
      </c>
      <c r="M15" s="218">
        <f>IFERROR(K15-G15*F15-H15*$J$5*F15,)</f>
        <v/>
      </c>
      <c r="N15" s="224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205">
      <c r="A16" s="204" t="inlineStr">
        <is>
          <t>DC</t>
        </is>
      </c>
      <c r="B16" s="204" t="n">
        <v>8</v>
      </c>
      <c r="C16" s="220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5" t="n">
        <v>4395</v>
      </c>
      <c r="H16" s="226" t="n"/>
      <c r="I16" s="221" t="n">
        <v>4060</v>
      </c>
      <c r="J16" s="222" t="n"/>
      <c r="K16" s="223">
        <f>IFERROR(I16*F16+J16*$J$5*F16,)</f>
        <v/>
      </c>
      <c r="L16" s="90">
        <f>IFERROR(K16/$K$8,)</f>
        <v/>
      </c>
      <c r="M16" s="218">
        <f>IFERROR(K16-G16*F16-H16*$J$5*F16,)</f>
        <v/>
      </c>
      <c r="N16" s="224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205">
      <c r="A17" s="204" t="inlineStr">
        <is>
          <t>DC</t>
        </is>
      </c>
      <c r="B17" s="204" t="n">
        <v>9</v>
      </c>
      <c r="C17" s="220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394</v>
      </c>
      <c r="G17" s="213" t="n">
        <v>27064</v>
      </c>
      <c r="H17" s="226" t="n"/>
      <c r="I17" s="221" t="n">
        <v>26230</v>
      </c>
      <c r="J17" s="222" t="n"/>
      <c r="K17" s="223">
        <f>IFERROR(I17*F17+J17*$J$5*F17,)</f>
        <v/>
      </c>
      <c r="L17" s="90">
        <f>IFERROR(K17/$K$8,)</f>
        <v/>
      </c>
      <c r="M17" s="218">
        <f>IFERROR(K17-G17*F17-H17*$J$5*F17,)</f>
        <v/>
      </c>
      <c r="N17" s="224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205">
      <c r="A18" s="204" t="inlineStr">
        <is>
          <t>개인연금1</t>
        </is>
      </c>
      <c r="B18" s="204" t="n">
        <v>10</v>
      </c>
      <c r="C18" s="212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3" t="n">
        <v>10680</v>
      </c>
      <c r="H18" s="214" t="n"/>
      <c r="I18" s="215" t="n">
        <v>14745</v>
      </c>
      <c r="J18" s="216" t="n"/>
      <c r="K18" s="217">
        <f>IFERROR(I18*F18+J18*$J$5*F18,)</f>
        <v/>
      </c>
      <c r="L18" s="83">
        <f>IFERROR(K18/$K$8,)</f>
        <v/>
      </c>
      <c r="M18" s="218">
        <f>IFERROR(K18-G18*F18-H18*$J$5*F18,)</f>
        <v/>
      </c>
      <c r="N18" s="219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205">
      <c r="A19" s="204" t="inlineStr">
        <is>
          <t>개인연금1</t>
        </is>
      </c>
      <c r="B19" s="204" t="n">
        <v>11</v>
      </c>
      <c r="C19" s="212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3" t="n">
        <v>10101</v>
      </c>
      <c r="H19" s="214" t="n"/>
      <c r="I19" s="215" t="n">
        <v>11025</v>
      </c>
      <c r="J19" s="216" t="n"/>
      <c r="K19" s="217">
        <f>IFERROR(I19*F19+J19*$J$5*F19,)</f>
        <v/>
      </c>
      <c r="L19" s="83">
        <f>IFERROR(K19/$K$8,)</f>
        <v/>
      </c>
      <c r="M19" s="218">
        <f>IFERROR(K19-G19*F19-H19*$J$5*F19,)</f>
        <v/>
      </c>
      <c r="N19" s="219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205">
      <c r="A20" s="204" t="inlineStr">
        <is>
          <t>개인연금1</t>
        </is>
      </c>
      <c r="B20" s="204" t="n">
        <v>12</v>
      </c>
      <c r="C20" s="220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5" t="n">
        <v>10517</v>
      </c>
      <c r="H20" s="226" t="n"/>
      <c r="I20" s="221" t="n">
        <v>13795</v>
      </c>
      <c r="J20" s="222" t="n"/>
      <c r="K20" s="223">
        <f>IFERROR(I20*F20+J20*$J$5*F20,)</f>
        <v/>
      </c>
      <c r="L20" s="90">
        <f>IFERROR(K20/$K$8,)</f>
        <v/>
      </c>
      <c r="M20" s="218">
        <f>IFERROR(K20-G20*F20-H20*$J$5*F20,)</f>
        <v/>
      </c>
      <c r="N20" s="224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205">
      <c r="A21" s="204" t="inlineStr">
        <is>
          <t>개인연금1</t>
        </is>
      </c>
      <c r="B21" s="204" t="n">
        <v>13</v>
      </c>
      <c r="C21" s="220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3" t="n">
        <v>20316</v>
      </c>
      <c r="H21" s="226" t="n"/>
      <c r="I21" s="221" t="n">
        <v>21575</v>
      </c>
      <c r="J21" s="222" t="n"/>
      <c r="K21" s="223">
        <f>IFERROR(I21*F21+J21*$J$5*F21,)</f>
        <v/>
      </c>
      <c r="L21" s="90">
        <f>IFERROR(K21/$K$8,)</f>
        <v/>
      </c>
      <c r="M21" s="218">
        <f>IFERROR(K21-G21*F21-H21*$J$5*F21,)</f>
        <v/>
      </c>
      <c r="N21" s="224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205">
      <c r="A22" s="204" t="inlineStr">
        <is>
          <t>개인연금1</t>
        </is>
      </c>
      <c r="B22" s="204" t="n">
        <v>14</v>
      </c>
      <c r="C22" s="220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3" t="n">
        <v>10629</v>
      </c>
      <c r="H22" s="226" t="n"/>
      <c r="I22" s="221" t="n">
        <v>11590</v>
      </c>
      <c r="J22" s="222" t="n"/>
      <c r="K22" s="223">
        <f>IFERROR(I22*F22+J22*$J$5*F22,)</f>
        <v/>
      </c>
      <c r="L22" s="90">
        <f>IFERROR(K22/$K$8,)</f>
        <v/>
      </c>
      <c r="M22" s="218">
        <f>IFERROR(K22-G22*F22-H22*$J$5*F22,)</f>
        <v/>
      </c>
      <c r="N22" s="224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205">
      <c r="A23" s="72" t="inlineStr">
        <is>
          <t>개인연금2</t>
        </is>
      </c>
      <c r="B23" s="204" t="n">
        <v>15</v>
      </c>
      <c r="C23" s="220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3" t="n">
        <v>32791</v>
      </c>
      <c r="H23" s="226" t="n"/>
      <c r="I23" s="221" t="n">
        <v>30150</v>
      </c>
      <c r="J23" s="222" t="n"/>
      <c r="K23" s="223">
        <f>IFERROR(I23*F23+J23*$J$5*F23,)</f>
        <v/>
      </c>
      <c r="L23" s="90">
        <f>IFERROR(K23/$K$8,)</f>
        <v/>
      </c>
      <c r="M23" s="218">
        <f>IFERROR(K23-G23*F23-H23*$J$5*F23,)</f>
        <v/>
      </c>
      <c r="N23" s="224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205">
      <c r="A24" s="72" t="inlineStr">
        <is>
          <t>개인연금2</t>
        </is>
      </c>
      <c r="B24" s="204" t="n">
        <v>16</v>
      </c>
      <c r="C24" s="220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3" t="n">
        <v>25492</v>
      </c>
      <c r="H24" s="226" t="n"/>
      <c r="I24" s="221" t="n">
        <v>25840</v>
      </c>
      <c r="J24" s="222" t="n"/>
      <c r="K24" s="223">
        <f>IFERROR(I24*F24+J24*$J$5*F24,)</f>
        <v/>
      </c>
      <c r="L24" s="90">
        <f>IFERROR(K24/$K$8,)</f>
        <v/>
      </c>
      <c r="M24" s="218">
        <f>IFERROR(K24-G24*F24-H24*$J$5*F24,)</f>
        <v/>
      </c>
      <c r="N24" s="224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205">
      <c r="A25" s="204" t="inlineStr">
        <is>
          <t>ISA</t>
        </is>
      </c>
      <c r="B25" s="204" t="n">
        <v>17</v>
      </c>
      <c r="C25" s="220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5" t="n">
        <v>10928</v>
      </c>
      <c r="H25" s="226" t="n"/>
      <c r="I25" s="221" t="n">
        <v>11345</v>
      </c>
      <c r="J25" s="222" t="n"/>
      <c r="K25" s="223">
        <f>IFERROR(I25*F25+J25*$J$5*F25,)</f>
        <v/>
      </c>
      <c r="L25" s="90">
        <f>IFERROR(K25/$K$8,)</f>
        <v/>
      </c>
      <c r="M25" s="218">
        <f>IFERROR(K25-G25*F25-H25*$J$5*F25,)</f>
        <v/>
      </c>
      <c r="N25" s="224">
        <f>IFERROR(M25/(K25-M25),)</f>
        <v/>
      </c>
      <c r="O25" s="86" t="n"/>
      <c r="P25" s="204" t="n"/>
      <c r="Q25" s="204" t="n"/>
      <c r="R25" s="204" t="n"/>
    </row>
    <row r="26" ht="12.75" customHeight="1" s="205">
      <c r="A26" s="204" t="inlineStr">
        <is>
          <t>ISA</t>
        </is>
      </c>
      <c r="B26" s="204" t="n">
        <v>18</v>
      </c>
      <c r="C26" s="220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3" t="n">
        <v>9901</v>
      </c>
      <c r="H26" s="226" t="n"/>
      <c r="I26" s="215" t="n">
        <v>11025</v>
      </c>
      <c r="J26" s="222" t="n"/>
      <c r="K26" s="217">
        <f>IFERROR(I26*F26+J26*$J$5*F26,)</f>
        <v/>
      </c>
      <c r="L26" s="83">
        <f>IFERROR(K26/$K$8,)</f>
        <v/>
      </c>
      <c r="M26" s="218">
        <f>IFERROR(K26-G26*F26-H26*$J$5*F26,)</f>
        <v/>
      </c>
      <c r="N26" s="219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205">
      <c r="A27" s="204" t="inlineStr">
        <is>
          <t>ISA</t>
        </is>
      </c>
      <c r="B27" s="204" t="n">
        <v>19</v>
      </c>
      <c r="C27" s="212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1311</v>
      </c>
      <c r="G27" s="213" t="n">
        <v>11924</v>
      </c>
      <c r="H27" s="214" t="n"/>
      <c r="I27" s="215" t="n">
        <v>14740</v>
      </c>
      <c r="J27" s="216" t="n"/>
      <c r="K27" s="217">
        <f>IFERROR(I27*F27+J27*$J$5*F27,)</f>
        <v/>
      </c>
      <c r="L27" s="83">
        <f>IFERROR(K27/$K$8,)</f>
        <v/>
      </c>
      <c r="M27" s="218">
        <f>IFERROR(K27-G27*F27-H27*$J$5*F27,)</f>
        <v/>
      </c>
      <c r="N27" s="219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205">
      <c r="A28" s="204" t="inlineStr">
        <is>
          <t>ISA</t>
        </is>
      </c>
      <c r="B28" s="204" t="n">
        <v>20</v>
      </c>
      <c r="C28" s="220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3" t="n">
        <v>16714</v>
      </c>
      <c r="H28" s="226" t="n"/>
      <c r="I28" s="221" t="n">
        <v>18185</v>
      </c>
      <c r="J28" s="222" t="n"/>
      <c r="K28" s="223">
        <f>IFERROR(I28*F28+J28*$J$5*F28,)</f>
        <v/>
      </c>
      <c r="L28" s="90">
        <f>IFERROR(K28/$K$8,)</f>
        <v/>
      </c>
      <c r="M28" s="218">
        <f>IFERROR(K28-G28*F28-H28*$J$5*F28,)</f>
        <v/>
      </c>
      <c r="N28" s="224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205">
      <c r="A29" s="204" t="inlineStr">
        <is>
          <t>ISA</t>
        </is>
      </c>
      <c r="B29" s="204" t="n">
        <v>21</v>
      </c>
      <c r="C29" s="220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3" t="n">
        <v>9360</v>
      </c>
      <c r="H29" s="226" t="n"/>
      <c r="I29" s="221" t="n">
        <v>7840</v>
      </c>
      <c r="J29" s="222" t="n"/>
      <c r="K29" s="223">
        <f>IFERROR(I29*F29+J29*$J$5*F29,)</f>
        <v/>
      </c>
      <c r="L29" s="90">
        <f>IFERROR(K29/$K$8,)</f>
        <v/>
      </c>
      <c r="M29" s="218">
        <f>IFERROR(K29-G29*F29-H29*$J$5*F29,)</f>
        <v/>
      </c>
      <c r="N29" s="224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205">
      <c r="A30" s="204" t="inlineStr">
        <is>
          <t>ISA</t>
        </is>
      </c>
      <c r="B30" s="204" t="n">
        <v>22</v>
      </c>
      <c r="C30" s="220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3" t="n">
        <v>110746</v>
      </c>
      <c r="H30" s="226" t="n"/>
      <c r="I30" s="221" t="n">
        <v>123700</v>
      </c>
      <c r="J30" s="222" t="n"/>
      <c r="K30" s="223">
        <f>IFERROR(I30*F30+J30*$J$5*F30,)</f>
        <v/>
      </c>
      <c r="L30" s="90">
        <f>IFERROR(K30/$K$8,)</f>
        <v/>
      </c>
      <c r="M30" s="218">
        <f>IFERROR(K30-G30*F30-H30*$J$5*F30,)</f>
        <v/>
      </c>
      <c r="N30" s="224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205">
      <c r="A31" s="204" t="inlineStr">
        <is>
          <t>ISA</t>
        </is>
      </c>
      <c r="B31" s="204" t="n">
        <v>23</v>
      </c>
      <c r="C31" s="220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3" t="n">
        <v>12814</v>
      </c>
      <c r="H31" s="226" t="n"/>
      <c r="I31" s="221" t="n">
        <v>13740</v>
      </c>
      <c r="J31" s="222" t="n"/>
      <c r="K31" s="223">
        <f>IFERROR(I31*F31+J31*$J$5*F31,)</f>
        <v/>
      </c>
      <c r="L31" s="90">
        <f>IFERROR(K31/$K$8,)</f>
        <v/>
      </c>
      <c r="M31" s="218">
        <f>IFERROR(K31-G31*F31-H31*$J$5*F31,)</f>
        <v/>
      </c>
      <c r="N31" s="224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205">
      <c r="A32" s="204" t="inlineStr">
        <is>
          <t>ISA</t>
        </is>
      </c>
      <c r="B32" s="204" t="n">
        <v>24</v>
      </c>
      <c r="C32" s="220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3" t="n">
        <v>9583</v>
      </c>
      <c r="H32" s="226" t="n"/>
      <c r="I32" s="221" t="n">
        <v>6735</v>
      </c>
      <c r="J32" s="222" t="n"/>
      <c r="K32" s="223">
        <f>IFERROR(I32*F32+J32*$J$5*F32,)</f>
        <v/>
      </c>
      <c r="L32" s="90">
        <f>IFERROR(K32/$K$8,)</f>
        <v/>
      </c>
      <c r="M32" s="218">
        <f>IFERROR(K32-G32*F32-H32*$J$5*F32,)</f>
        <v/>
      </c>
      <c r="N32" s="224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205">
      <c r="A33" s="204" t="inlineStr">
        <is>
          <t>ISA</t>
        </is>
      </c>
      <c r="B33" s="204" t="n">
        <v>25</v>
      </c>
      <c r="C33" s="220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3" t="n">
        <v>14544</v>
      </c>
      <c r="H33" s="226" t="n"/>
      <c r="I33" s="221" t="n">
        <v>12720</v>
      </c>
      <c r="J33" s="222" t="n"/>
      <c r="K33" s="223">
        <f>IFERROR(I33*F33+J33*$J$5*F33,)</f>
        <v/>
      </c>
      <c r="L33" s="90">
        <f>IFERROR(K33/$K$8,)</f>
        <v/>
      </c>
      <c r="M33" s="218">
        <f>IFERROR(K33-G33*F33-H33*$J$5*F33,)</f>
        <v/>
      </c>
      <c r="N33" s="224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205">
      <c r="A34" s="204" t="inlineStr">
        <is>
          <t>ISA</t>
        </is>
      </c>
      <c r="B34" s="204" t="n">
        <v>26</v>
      </c>
      <c r="C34" s="220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3" t="n">
        <v>160810</v>
      </c>
      <c r="H34" s="226" t="n"/>
      <c r="I34" s="221" t="n">
        <v>177400</v>
      </c>
      <c r="J34" s="222" t="n"/>
      <c r="K34" s="223">
        <f>IFERROR(I34*F34+J34*$J$5*F34,)</f>
        <v/>
      </c>
      <c r="L34" s="90">
        <f>IFERROR(K34/$K$8,)</f>
        <v/>
      </c>
      <c r="M34" s="218">
        <f>IFERROR(K34-G34*F34-H34*$J$5*F34,)</f>
        <v/>
      </c>
      <c r="N34" s="224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205">
      <c r="A35" s="204" t="inlineStr">
        <is>
          <t>ISA</t>
        </is>
      </c>
      <c r="B35" s="204" t="n">
        <v>27</v>
      </c>
      <c r="C35" s="220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3" t="n">
        <v>8477</v>
      </c>
      <c r="H35" s="226" t="n"/>
      <c r="I35" s="221" t="n">
        <v>10200</v>
      </c>
      <c r="J35" s="222" t="n"/>
      <c r="K35" s="223">
        <f>IFERROR(I35*F35+J35*$J$5*F35,)</f>
        <v/>
      </c>
      <c r="L35" s="90">
        <f>IFERROR(K35/$K$8,)</f>
        <v/>
      </c>
      <c r="M35" s="218">
        <f>IFERROR(K35-G35*F35-H35*$J$5*F35,)</f>
        <v/>
      </c>
      <c r="N35" s="224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205">
      <c r="A36" s="204" t="inlineStr">
        <is>
          <t>ISA</t>
        </is>
      </c>
      <c r="B36" s="204" t="n">
        <v>28</v>
      </c>
      <c r="C36" s="220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3" t="n">
        <v>9378</v>
      </c>
      <c r="H36" s="226" t="n"/>
      <c r="I36" s="221" t="n">
        <v>10550</v>
      </c>
      <c r="J36" s="222" t="n"/>
      <c r="K36" s="223">
        <f>IFERROR(I36*F36+J36*$J$5*F36,)</f>
        <v/>
      </c>
      <c r="L36" s="90">
        <f>IFERROR(K36/$K$8,)</f>
        <v/>
      </c>
      <c r="M36" s="218">
        <f>IFERROR(K36-G36*F36-H36*$J$5*F36,)</f>
        <v/>
      </c>
      <c r="N36" s="224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205">
      <c r="A37" s="204" t="inlineStr">
        <is>
          <t>ISA</t>
        </is>
      </c>
      <c r="B37" s="204" t="n">
        <v>29</v>
      </c>
      <c r="C37" s="220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3" t="n">
        <v>9891</v>
      </c>
      <c r="H37" s="226" t="n"/>
      <c r="I37" s="221" t="n">
        <v>10280</v>
      </c>
      <c r="J37" s="222" t="n"/>
      <c r="K37" s="223">
        <f>IFERROR(I37*F37+J37*$J$5*F37,)</f>
        <v/>
      </c>
      <c r="L37" s="90">
        <f>IFERROR(K37/$K$8,)</f>
        <v/>
      </c>
      <c r="M37" s="218">
        <f>IFERROR(K37-G37*F37-H37*$J$5*F37,)</f>
        <v/>
      </c>
      <c r="N37" s="224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205">
      <c r="A38" s="204" t="inlineStr">
        <is>
          <t>일반계좌</t>
        </is>
      </c>
      <c r="B38" s="204" t="n">
        <v>30</v>
      </c>
      <c r="C38" s="220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3" t="n">
        <v>160500</v>
      </c>
      <c r="H38" s="226" t="n"/>
      <c r="I38" s="221" t="n">
        <v>251000</v>
      </c>
      <c r="J38" s="222" t="n"/>
      <c r="K38" s="223">
        <f>IFERROR(I38*F38+J38*$J$5*F38,)</f>
        <v/>
      </c>
      <c r="L38" s="90">
        <f>IFERROR(K38/$K$8,)</f>
        <v/>
      </c>
      <c r="M38" s="218">
        <f>IFERROR(K38-G38*F38-H38*$J$5*F38,)</f>
        <v/>
      </c>
      <c r="N38" s="224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205">
      <c r="A39" s="204" t="inlineStr">
        <is>
          <t>일반계좌</t>
        </is>
      </c>
      <c r="B39" s="204" t="n">
        <v>31</v>
      </c>
      <c r="C39" s="220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3" t="n">
        <v>199400</v>
      </c>
      <c r="H39" s="226" t="n"/>
      <c r="I39" s="221" t="n">
        <v>251000</v>
      </c>
      <c r="J39" s="222" t="n"/>
      <c r="K39" s="223">
        <f>IFERROR(I39*F39+J39*$J$5*F39,)</f>
        <v/>
      </c>
      <c r="L39" s="90">
        <f>IFERROR(K39/$K$8,)</f>
        <v/>
      </c>
      <c r="M39" s="218">
        <f>IFERROR(K39-G39*F39-H39*$J$5*F39,)</f>
        <v/>
      </c>
      <c r="N39" s="224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205">
      <c r="A40" s="72" t="inlineStr">
        <is>
          <t>일반계좌</t>
        </is>
      </c>
      <c r="B40" s="204" t="n">
        <v>32</v>
      </c>
      <c r="C40" s="220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3" t="n">
        <v>21321</v>
      </c>
      <c r="H40" s="226" t="n"/>
      <c r="I40" s="221" t="n">
        <v>19735</v>
      </c>
      <c r="J40" s="222" t="n"/>
      <c r="K40" s="223">
        <f>IFERROR(I40*F40+J40*$J$5*F40,)</f>
        <v/>
      </c>
      <c r="L40" s="90">
        <f>IFERROR(K40/$K$8,)</f>
        <v/>
      </c>
      <c r="M40" s="218">
        <f>IFERROR(K40-G40*F40-H40*$J$5*F40,)</f>
        <v/>
      </c>
      <c r="N40" s="224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20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3" t="n"/>
      <c r="H41" s="226" t="n">
        <v>280.9963</v>
      </c>
      <c r="I41" s="223" t="n"/>
      <c r="J41" s="92" t="n">
        <v>356.0899963378906</v>
      </c>
      <c r="K41" s="223">
        <f>IFERROR(I41*F41+J41*$J$5*F41,)</f>
        <v/>
      </c>
      <c r="L41" s="90">
        <f>IFERROR(K41/$K$8,)</f>
        <v/>
      </c>
      <c r="M41" s="218">
        <f>IFERROR(K41-G41*F41-H41*$J$5*F41,)</f>
        <v/>
      </c>
      <c r="N41" s="224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20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3" t="n"/>
      <c r="H42" s="226" t="n">
        <v>53.53</v>
      </c>
      <c r="I42" s="223" t="n"/>
      <c r="J42" s="92" t="n">
        <v>61.36000061035156</v>
      </c>
      <c r="K42" s="223">
        <f>IFERROR(I42*F42+J42*$J$5*F42,)</f>
        <v/>
      </c>
      <c r="L42" s="90">
        <f>IFERROR(K42/$K$8,)</f>
        <v/>
      </c>
      <c r="M42" s="218">
        <f>IFERROR(K42-G42*F42-H42*$J$5*F42,)</f>
        <v/>
      </c>
      <c r="N42" s="224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20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3" t="n"/>
      <c r="H43" s="226" t="n">
        <v>29.68</v>
      </c>
      <c r="I43" s="223" t="n"/>
      <c r="J43" s="92" t="n">
        <v>37.77999877929688</v>
      </c>
      <c r="K43" s="223">
        <f>IFERROR(I43*F43+J43*$J$5*F43,)</f>
        <v/>
      </c>
      <c r="L43" s="90">
        <f>IFERROR(K43/$K$8,)</f>
        <v/>
      </c>
      <c r="M43" s="218">
        <f>IFERROR(K43-G43*F43-H43*$J$5*F43,)</f>
        <v/>
      </c>
      <c r="N43" s="224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20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3" t="n"/>
      <c r="H44" s="226" t="n">
        <v>208.16</v>
      </c>
      <c r="I44" s="223" t="n"/>
      <c r="J44" s="92" t="n">
        <v>325.1300048828125</v>
      </c>
      <c r="K44" s="223">
        <f>IFERROR(I44*F44+J44*$J$5*F44,)</f>
        <v/>
      </c>
      <c r="L44" s="90">
        <f>IFERROR(K44/$K$8,)</f>
        <v/>
      </c>
      <c r="M44" s="218">
        <f>IFERROR(K44-G44*F44-H44*$J$5*F44,)</f>
        <v/>
      </c>
      <c r="N44" s="224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20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3" t="n">
        <v>21932</v>
      </c>
      <c r="H45" s="226" t="n"/>
      <c r="I45" s="221" t="n">
        <v>20800</v>
      </c>
      <c r="J45" s="222" t="n"/>
      <c r="K45" s="223">
        <f>IFERROR(I45*F45+J45*$J$5*F45,)</f>
        <v/>
      </c>
      <c r="L45" s="90">
        <f>IFERROR(K45/$K$8,)</f>
        <v/>
      </c>
      <c r="M45" s="218">
        <f>IFERROR(K45-G45*F45-H45*$J$5*F45,)</f>
        <v/>
      </c>
      <c r="N45" s="224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20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3" t="n">
        <v>222701</v>
      </c>
      <c r="H46" s="226" t="n"/>
      <c r="I46" s="221" t="n">
        <v>175300</v>
      </c>
      <c r="J46" s="222" t="n"/>
      <c r="K46" s="223">
        <f>IFERROR(I46*F46+J46*$J$5*F46,)</f>
        <v/>
      </c>
      <c r="L46" s="90">
        <f>IFERROR(K46/$K$8,)</f>
        <v/>
      </c>
      <c r="M46" s="218">
        <f>IFERROR(K46-G46*F46-H46*$J$5*F46,)</f>
        <v/>
      </c>
      <c r="N46" s="224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20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3" t="n"/>
      <c r="H47" s="226" t="n">
        <v>87.726</v>
      </c>
      <c r="I47" s="223" t="n"/>
      <c r="J47" s="92" t="n">
        <v>87.91999816894531</v>
      </c>
      <c r="K47" s="223">
        <f>IFERROR(I47*F47+J47*$J$5*F47,)</f>
        <v/>
      </c>
      <c r="L47" s="90">
        <f>IFERROR(K47/$K$8,)</f>
        <v/>
      </c>
      <c r="M47" s="218">
        <f>IFERROR(K47-G47*F47-H47*$J$5*F47,)</f>
        <v/>
      </c>
      <c r="N47" s="224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7" t="n">
        <v>173127</v>
      </c>
      <c r="H48" s="104" t="n"/>
      <c r="I48" s="221" t="n">
        <v>168800</v>
      </c>
      <c r="J48" s="86" t="n"/>
      <c r="K48" s="223">
        <f>IFERROR(I48*F48+J48*$J$5*F48,)</f>
        <v/>
      </c>
      <c r="L48" s="90">
        <f>IFERROR(K48/$K$8,)</f>
        <v/>
      </c>
      <c r="M48" s="218">
        <f>IFERROR(K48-G48*F48-H48*$J$5*F48,)</f>
        <v/>
      </c>
      <c r="N48" s="224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20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8" t="n">
        <v>262599</v>
      </c>
      <c r="H49" s="229" t="n"/>
      <c r="I49" s="217">
        <f>G49</f>
        <v/>
      </c>
      <c r="J49" s="222" t="n"/>
      <c r="K49" s="223">
        <f>IFERROR(I49*F49+J49*$J$5*F49,)</f>
        <v/>
      </c>
      <c r="L49" s="90">
        <f>IFERROR(K49/$K$8,)</f>
        <v/>
      </c>
      <c r="M49" s="218">
        <f>IFERROR(K49-G49*F49-H49*$J$5*F49,)</f>
        <v/>
      </c>
      <c r="N49" s="224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20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3" t="n">
        <v>8294</v>
      </c>
      <c r="H50" s="226" t="n"/>
      <c r="I50" s="221" t="n">
        <v>8040</v>
      </c>
      <c r="J50" s="222" t="n"/>
      <c r="K50" s="223">
        <f>IFERROR(I50*F50+J50*$J$5*F50,)</f>
        <v/>
      </c>
      <c r="L50" s="90">
        <f>IFERROR(K50/$K$8,)</f>
        <v/>
      </c>
      <c r="M50" s="218">
        <f>IFERROR(K50-G50*F50-H50*$J$5*F50,)</f>
        <v/>
      </c>
      <c r="N50" s="224">
        <f>IFERROR(M50/(K50-M50),)</f>
        <v/>
      </c>
      <c r="O50" s="86" t="n"/>
      <c r="P50" s="204" t="n"/>
      <c r="Q50" s="204" t="n"/>
      <c r="R50" s="204" t="n"/>
    </row>
    <row r="51" ht="12.75" customHeight="1" s="205">
      <c r="A51" s="72" t="inlineStr">
        <is>
          <t>일반계좌</t>
        </is>
      </c>
      <c r="B51" s="204" t="n">
        <v>44</v>
      </c>
      <c r="C51" s="220" t="n"/>
      <c r="D51" s="106" t="inlineStr">
        <is>
          <t>현금</t>
        </is>
      </c>
      <c r="E51" s="199" t="inlineStr">
        <is>
          <t>예수금(직투달러)</t>
        </is>
      </c>
      <c r="F51" s="108" t="n">
        <v>1</v>
      </c>
      <c r="G51" s="228" t="n">
        <v>2000000</v>
      </c>
      <c r="H51" s="229" t="n"/>
      <c r="I51" s="217">
        <f>G51</f>
        <v/>
      </c>
      <c r="J51" s="222" t="n"/>
      <c r="K51" s="223">
        <f>IFERROR(I51*F51+J51*$J$5*F51,)</f>
        <v/>
      </c>
      <c r="L51" s="90">
        <f>IFERROR(K51/$K$8,)</f>
        <v/>
      </c>
      <c r="M51" s="218">
        <f>IFERROR(K51-G51*F51-H51*$J$5*F51,)</f>
        <v/>
      </c>
      <c r="N51" s="224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205">
      <c r="A52" s="72" t="inlineStr">
        <is>
          <t>일반계좌</t>
        </is>
      </c>
      <c r="B52" s="204" t="n">
        <v>45</v>
      </c>
      <c r="C52" s="220" t="inlineStr">
        <is>
          <t>한국</t>
        </is>
      </c>
      <c r="D52" s="97" t="inlineStr">
        <is>
          <t>041510</t>
        </is>
      </c>
      <c r="E52" s="200" t="inlineStr">
        <is>
          <t xml:space="preserve"> </t>
        </is>
      </c>
      <c r="F52" s="99" t="n">
        <v>24</v>
      </c>
      <c r="G52" s="213" t="n">
        <v>87423</v>
      </c>
      <c r="H52" s="226" t="n"/>
      <c r="I52" s="221" t="n">
        <v>74800</v>
      </c>
      <c r="J52" s="222" t="n"/>
      <c r="K52" s="223">
        <f>IFERROR(I52*F52+J52*$J$5*F52,)</f>
        <v/>
      </c>
      <c r="L52" s="90">
        <f>IFERROR(K52/$K$8,)</f>
        <v/>
      </c>
      <c r="M52" s="218">
        <f>IFERROR(K52-G52*F52-H52*$J$5*F52,)</f>
        <v/>
      </c>
      <c r="N52" s="224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205">
      <c r="A53" s="72" t="inlineStr">
        <is>
          <t>일반계좌</t>
        </is>
      </c>
      <c r="B53" s="204" t="n">
        <v>46</v>
      </c>
      <c r="C53" s="220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8" t="n">
        <v>493380</v>
      </c>
      <c r="H53" s="229" t="n"/>
      <c r="I53" s="217">
        <f>G53</f>
        <v/>
      </c>
      <c r="J53" s="222" t="n"/>
      <c r="K53" s="223">
        <f>IFERROR(I53*F53+J53*$J$5*F53,)</f>
        <v/>
      </c>
      <c r="L53" s="90">
        <f>IFERROR(K53/$K$8,)</f>
        <v/>
      </c>
      <c r="M53" s="218">
        <f>IFERROR(K53-G53*F53-H53*$J$5*F53,)</f>
        <v/>
      </c>
      <c r="N53" s="224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20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3" t="n"/>
      <c r="H54" s="226" t="n">
        <v>180.0771</v>
      </c>
      <c r="I54" s="223" t="n"/>
      <c r="J54" s="92" t="n">
        <v>142.2299957275391</v>
      </c>
      <c r="K54" s="223">
        <f>IFERROR(I54*F54+J54*$J$5*F54,)</f>
        <v/>
      </c>
      <c r="L54" s="90">
        <f>IFERROR(K54/$K$8,)</f>
        <v/>
      </c>
      <c r="M54" s="218">
        <f>IFERROR(K54-G54*F54-H54*$J$5*F54,)</f>
        <v/>
      </c>
      <c r="N54" s="224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20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3" t="n"/>
      <c r="H55" s="226" t="n">
        <v>185.84</v>
      </c>
      <c r="I55" s="223" t="n"/>
      <c r="J55" s="92" t="n">
        <v>176.0200042724609</v>
      </c>
      <c r="K55" s="223">
        <f>IFERROR(I55*F55+J55*$J$5*F55,)</f>
        <v/>
      </c>
      <c r="L55" s="90">
        <f>IFERROR(K55/$K$8,)</f>
        <v/>
      </c>
      <c r="M55" s="218">
        <f>IFERROR(K55-G55*F55-H55*$J$5*F55,)</f>
        <v/>
      </c>
      <c r="N55" s="224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20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3" t="n"/>
      <c r="H56" s="226" t="n">
        <v>169.016</v>
      </c>
      <c r="I56" s="223" t="n"/>
      <c r="J56" s="92" t="n">
        <v>217.4400024414062</v>
      </c>
      <c r="K56" s="223">
        <f>IFERROR(I56*F56+J56*$J$5*F56,)</f>
        <v/>
      </c>
      <c r="L56" s="90">
        <f>IFERROR(K56/$K$8,)</f>
        <v/>
      </c>
      <c r="M56" s="218">
        <f>IFERROR(K56-G56*F56-H56*$J$5*F56,)</f>
        <v/>
      </c>
      <c r="N56" s="224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20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3" t="n"/>
      <c r="H57" s="226" t="n">
        <v>27.59</v>
      </c>
      <c r="I57" s="223" t="n"/>
      <c r="J57" s="92" t="n">
        <v>34.81000137329102</v>
      </c>
      <c r="K57" s="223">
        <f>IFERROR(I57*F57+J57*$J$5*F57,)</f>
        <v/>
      </c>
      <c r="L57" s="90">
        <f>IFERROR(K57/$K$8,)</f>
        <v/>
      </c>
      <c r="M57" s="218">
        <f>IFERROR(K57-G57*F57-H57*$J$5*F57,)</f>
        <v/>
      </c>
      <c r="N57" s="224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20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3" t="n"/>
      <c r="H58" s="226" t="n">
        <v>408.19</v>
      </c>
      <c r="I58" s="223" t="n"/>
      <c r="J58" s="92" t="n">
        <v>501.0199890136719</v>
      </c>
      <c r="K58" s="223">
        <f>IFERROR(I58*F58+J58*$J$5*F58,)</f>
        <v/>
      </c>
      <c r="L58" s="90">
        <f>IFERROR(K58/$K$8,)</f>
        <v/>
      </c>
      <c r="M58" s="218">
        <f>IFERROR(K58-G58*F58-H58*$J$5*F58,)</f>
        <v/>
      </c>
      <c r="N58" s="224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20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3" t="n"/>
      <c r="H59" s="226" t="n">
        <v>202.7775</v>
      </c>
      <c r="I59" s="223" t="n"/>
      <c r="J59" s="92" t="n">
        <v>182.1600036621094</v>
      </c>
      <c r="K59" s="223">
        <f>IFERROR(I59*F59+J59*$J$5*F59,)</f>
        <v/>
      </c>
      <c r="L59" s="90">
        <f>IFERROR(K59/$K$8,)</f>
        <v/>
      </c>
      <c r="M59" s="218">
        <f>IFERROR(K59-G59*F59-H59*$J$5*F59,)</f>
        <v/>
      </c>
      <c r="N59" s="224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20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3" t="n"/>
      <c r="H60" s="226" t="n">
        <v>53.67</v>
      </c>
      <c r="I60" s="223" t="n"/>
      <c r="J60" s="92" t="n">
        <v>45.11999893188477</v>
      </c>
      <c r="K60" s="223">
        <f>IFERROR(I60*F60+J60*$J$5*F60,)</f>
        <v/>
      </c>
      <c r="L60" s="90">
        <f>IFERROR(K60/$K$8,)</f>
        <v/>
      </c>
      <c r="M60" s="218">
        <f>IFERROR(K60-G60*F60-H60*$J$5*F60,)</f>
        <v/>
      </c>
      <c r="N60" s="224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20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3" t="n"/>
      <c r="H61" s="226" t="n">
        <v>129.42</v>
      </c>
      <c r="I61" s="223" t="n"/>
      <c r="J61" s="92" t="n">
        <v>179.9199981689453</v>
      </c>
      <c r="K61" s="223">
        <f>IFERROR(I61*F61+J61*$J$5*F61,)</f>
        <v/>
      </c>
      <c r="L61" s="90">
        <f>IFERROR(K61/$K$8,)</f>
        <v/>
      </c>
      <c r="M61" s="218">
        <f>IFERROR(K61-G61*F61-H61*$J$5*F61,)</f>
        <v/>
      </c>
      <c r="N61" s="224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20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3" t="n"/>
      <c r="H62" s="226" t="n">
        <v>62.38</v>
      </c>
      <c r="I62" s="223" t="n"/>
      <c r="J62" s="92" t="n">
        <v>62.54000091552734</v>
      </c>
      <c r="K62" s="223">
        <f>IFERROR(I62*F62+J62*$J$5*F62,)</f>
        <v/>
      </c>
      <c r="L62" s="90">
        <f>IFERROR(K62/$K$8,)</f>
        <v/>
      </c>
      <c r="M62" s="218">
        <f>IFERROR(K62-G62*F62-H62*$J$5*F62,)</f>
        <v/>
      </c>
      <c r="N62" s="224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20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3" t="n"/>
      <c r="H63" s="226" t="n">
        <v>17.91</v>
      </c>
      <c r="I63" s="223" t="n"/>
      <c r="J63" s="92" t="n">
        <v>10.34000015258789</v>
      </c>
      <c r="K63" s="223">
        <f>IFERROR(I63*F63+J63*$J$5*F63,)</f>
        <v/>
      </c>
      <c r="L63" s="90">
        <f>IFERROR(K63/$K$8,)</f>
        <v/>
      </c>
      <c r="M63" s="218">
        <f>IFERROR(K63-G63*F63-H63*$J$5*F63,)</f>
        <v/>
      </c>
      <c r="N63" s="224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20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3" t="n"/>
      <c r="H64" s="226" t="n">
        <v>63.31</v>
      </c>
      <c r="I64" s="223" t="n"/>
      <c r="J64" s="92" t="n">
        <v>38.11999893188477</v>
      </c>
      <c r="K64" s="223">
        <f>IFERROR(I64*F64+J64*$J$5*F64,)</f>
        <v/>
      </c>
      <c r="L64" s="90">
        <f>IFERROR(K64/$K$8,)</f>
        <v/>
      </c>
      <c r="M64" s="218">
        <f>IFERROR(K64-G64*F64-H64*$J$5*F64,)</f>
        <v/>
      </c>
      <c r="N64" s="224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205">
      <c r="A65" s="72" t="inlineStr">
        <is>
          <t>일반계좌</t>
        </is>
      </c>
      <c r="B65" s="204" t="n">
        <v>58</v>
      </c>
      <c r="C65" s="220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3" t="n"/>
      <c r="H65" s="226" t="n">
        <v>340.5</v>
      </c>
      <c r="I65" s="223" t="n"/>
      <c r="J65" s="92" t="n">
        <v>414</v>
      </c>
      <c r="K65" s="223">
        <f>IFERROR(I65*F65+J65*$J$5*F65,)</f>
        <v/>
      </c>
      <c r="L65" s="90">
        <f>IFERROR(K65/$K$8,)</f>
        <v/>
      </c>
      <c r="M65" s="218">
        <f>IFERROR(K65-G65*F65-H65*$J$5*F65,)</f>
        <v/>
      </c>
      <c r="N65" s="224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205">
      <c r="A66" s="72" t="inlineStr">
        <is>
          <t>일반계좌</t>
        </is>
      </c>
      <c r="B66" s="204" t="n">
        <v>59</v>
      </c>
      <c r="C66" s="220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3" t="n"/>
      <c r="H66" s="226" t="n">
        <v>203.665</v>
      </c>
      <c r="I66" s="223" t="n"/>
      <c r="J66" s="92" t="n">
        <v>176.8200073242188</v>
      </c>
      <c r="K66" s="223">
        <f>IFERROR(I66*F66+J66*$J$5*F66,)</f>
        <v/>
      </c>
      <c r="L66" s="90">
        <f>IFERROR(K66/$K$8,)</f>
        <v/>
      </c>
      <c r="M66" s="218">
        <f>IFERROR(K66-G66*F66-H66*$J$5*F66,)</f>
        <v/>
      </c>
      <c r="N66" s="224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205">
      <c r="A67" s="72" t="inlineStr">
        <is>
          <t>일반계좌</t>
        </is>
      </c>
      <c r="B67" s="204" t="n">
        <v>60</v>
      </c>
      <c r="C67" s="220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3" t="n"/>
      <c r="H67" s="226" t="n">
        <v>213.8</v>
      </c>
      <c r="I67" s="223" t="n"/>
      <c r="J67" s="92" t="n">
        <v>168.3099975585938</v>
      </c>
      <c r="K67" s="223">
        <f>IFERROR(I67*F67+J67*$J$5*F67,)</f>
        <v/>
      </c>
      <c r="L67" s="90">
        <f>IFERROR(K67/$K$8,)</f>
        <v/>
      </c>
      <c r="M67" s="218">
        <f>IFERROR(K67-G67*F67-H67*$J$5*F67,)</f>
        <v/>
      </c>
      <c r="N67" s="224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205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6" t="n">
        <v>163.125</v>
      </c>
      <c r="I68" s="217" t="n"/>
      <c r="J68" s="92" t="n">
        <v>141.3200073242188</v>
      </c>
      <c r="K68" s="223">
        <f>IFERROR(I68*F68+J68*$J$5*F68,)</f>
        <v/>
      </c>
      <c r="L68" s="90">
        <f>IFERROR(K68/$K$8,)</f>
        <v/>
      </c>
      <c r="M68" s="218">
        <f>IFERROR(K68-G68*F68-H68*$J$5*F68,)</f>
        <v/>
      </c>
      <c r="N68" s="219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205">
      <c r="A69" s="72" t="inlineStr">
        <is>
          <t>일반계좌</t>
        </is>
      </c>
      <c r="B69" s="204" t="n">
        <v>62</v>
      </c>
      <c r="C69" s="220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3" t="n"/>
      <c r="H69" s="226" t="n">
        <v>9.51</v>
      </c>
      <c r="I69" s="223" t="n"/>
      <c r="J69" s="92" t="n">
        <v>6.690000057220459</v>
      </c>
      <c r="K69" s="223">
        <f>IFERROR(I69*F69+J69*$J$5*F69,)</f>
        <v/>
      </c>
      <c r="L69" s="90">
        <f>IFERROR(K69/$K$8,)</f>
        <v/>
      </c>
      <c r="M69" s="218">
        <f>IFERROR(K69-G69*F69-H69*$J$5*F69,)</f>
        <v/>
      </c>
      <c r="N69" s="224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205">
      <c r="A70" s="72" t="inlineStr">
        <is>
          <t>일반계좌</t>
        </is>
      </c>
      <c r="B70" s="204" t="n">
        <v>63</v>
      </c>
      <c r="C70" s="220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3" t="n"/>
      <c r="H70" s="226" t="n">
        <v>100.529</v>
      </c>
      <c r="I70" s="223" t="n"/>
      <c r="J70" s="92" t="n">
        <v>106.1500015258789</v>
      </c>
      <c r="K70" s="223">
        <f>IFERROR(I70*F70+J70*$J$5*F70,)</f>
        <v/>
      </c>
      <c r="L70" s="90">
        <f>IFERROR(K70/$K$8,)</f>
        <v/>
      </c>
      <c r="M70" s="218">
        <f>IFERROR(K70-G70*F70-H70*$J$5*F70,)</f>
        <v/>
      </c>
      <c r="N70" s="224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205">
      <c r="A71" s="72" t="inlineStr">
        <is>
          <t>일반계좌</t>
        </is>
      </c>
      <c r="B71" s="204" t="n">
        <v>64</v>
      </c>
      <c r="C71" s="220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3" t="n"/>
      <c r="H71" s="226" t="n">
        <v>19.7113</v>
      </c>
      <c r="I71" s="223" t="n"/>
      <c r="J71" s="92" t="n">
        <v>9.210000038146973</v>
      </c>
      <c r="K71" s="223">
        <f>IFERROR(I71*F71+J71*$J$5*F71,)</f>
        <v/>
      </c>
      <c r="L71" s="90">
        <f>IFERROR(K71/$K$8,)</f>
        <v/>
      </c>
      <c r="M71" s="218">
        <f>IFERROR(K71-G71*F71-H71*$J$5*F71,)</f>
        <v/>
      </c>
      <c r="N71" s="224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205">
      <c r="A72" s="72" t="inlineStr">
        <is>
          <t>일반계좌</t>
        </is>
      </c>
      <c r="B72" s="204" t="n">
        <v>65</v>
      </c>
      <c r="C72" s="220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3" t="n">
        <v>32011</v>
      </c>
      <c r="H72" s="226" t="n"/>
      <c r="I72" s="221" t="n">
        <v>15810</v>
      </c>
      <c r="J72" s="222" t="n"/>
      <c r="K72" s="223">
        <f>IFERROR(I72*F72+J72*$J$5*F72,)</f>
        <v/>
      </c>
      <c r="L72" s="90">
        <f>IFERROR(K72/$K$8,)</f>
        <v/>
      </c>
      <c r="M72" s="218">
        <f>IFERROR(K72-G72*F72-H72*$J$5*F72,)</f>
        <v/>
      </c>
      <c r="N72" s="224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205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6" t="n">
        <v>63.42</v>
      </c>
      <c r="I73" s="217" t="n"/>
      <c r="J73" s="92" t="n">
        <v>38.52999877929688</v>
      </c>
      <c r="K73" s="223">
        <f>IFERROR(I73*F73+J73*$J$5*F73,)</f>
        <v/>
      </c>
      <c r="L73" s="90">
        <f>IFERROR(K73/$K$8,)</f>
        <v/>
      </c>
      <c r="M73" s="218">
        <f>IFERROR(K73-G73*F73-H73*$J$5*F73,)</f>
        <v/>
      </c>
      <c r="N73" s="219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205">
      <c r="A74" s="72" t="inlineStr">
        <is>
          <t>일반계좌</t>
        </is>
      </c>
      <c r="B74" s="204" t="n">
        <v>67</v>
      </c>
      <c r="C74" s="212" t="n"/>
      <c r="D74" s="230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7" t="n">
        <v>39525</v>
      </c>
      <c r="H74" s="231" t="n"/>
      <c r="I74" s="217">
        <f>G74</f>
        <v/>
      </c>
      <c r="J74" s="222" t="n"/>
      <c r="K74" s="223">
        <f>IFERROR(I74*F74+J74*$J$5*F74,)</f>
        <v/>
      </c>
      <c r="L74" s="90">
        <f>IFERROR(K74/$K$8,)</f>
        <v/>
      </c>
      <c r="M74" s="218">
        <f>IFERROR(K74-G74*F74-H74*$J$5*F74,)</f>
        <v/>
      </c>
      <c r="N74" s="219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205">
      <c r="A75" s="72" t="inlineStr">
        <is>
          <t>일반계좌</t>
        </is>
      </c>
      <c r="B75" s="204" t="n">
        <v>68</v>
      </c>
      <c r="C75" s="220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3" t="n">
        <v>0</v>
      </c>
      <c r="H75" s="226" t="n"/>
      <c r="I75" s="217">
        <f>G75</f>
        <v/>
      </c>
      <c r="J75" s="222" t="n"/>
      <c r="K75" s="223">
        <f>IFERROR(I75*F75+J75*$J$5*F75,)</f>
        <v/>
      </c>
      <c r="L75" s="90">
        <f>IFERROR(K75/$K$8,)</f>
        <v/>
      </c>
      <c r="M75" s="218">
        <f>IFERROR(K75-G75*F75-H75*$J$5*F75,)</f>
        <v/>
      </c>
      <c r="N75" s="224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205">
      <c r="A76" s="204" t="inlineStr">
        <is>
          <t>CMA</t>
        </is>
      </c>
      <c r="B76" s="204" t="n">
        <v>69</v>
      </c>
      <c r="C76" s="220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8" t="n">
        <v>82942645</v>
      </c>
      <c r="H76" s="229" t="n"/>
      <c r="I76" s="217">
        <f>G76</f>
        <v/>
      </c>
      <c r="J76" s="222" t="n"/>
      <c r="K76" s="223">
        <f>IFERROR(I76*F76+J76*$J$5*F76,)</f>
        <v/>
      </c>
      <c r="L76" s="90">
        <f>IFERROR(K76/$K$8,)</f>
        <v/>
      </c>
      <c r="M76" s="218">
        <f>IFERROR(K76-G76*F76-H76*$J$5*F76,)</f>
        <v/>
      </c>
      <c r="N76" s="224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205">
      <c r="A77" s="204" t="inlineStr">
        <is>
          <t>IRP</t>
        </is>
      </c>
      <c r="B77" s="204" t="n">
        <v>70</v>
      </c>
      <c r="C77" s="220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3" t="n">
        <v>17065</v>
      </c>
      <c r="H77" s="226" t="n"/>
      <c r="I77" s="221" t="n">
        <v>14915</v>
      </c>
      <c r="J77" s="222" t="n"/>
      <c r="K77" s="223">
        <f>IFERROR(I77*F77+J77*$J$5*F77,)</f>
        <v/>
      </c>
      <c r="L77" s="90">
        <f>IFERROR(K77/$K$8,)</f>
        <v/>
      </c>
      <c r="M77" s="218">
        <f>IFERROR(K77-G77*F77-H77*$J$5*F77,)</f>
        <v/>
      </c>
      <c r="N77" s="224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205">
      <c r="A78" s="204" t="inlineStr">
        <is>
          <t>IRP</t>
        </is>
      </c>
      <c r="B78" s="204" t="n">
        <v>71</v>
      </c>
      <c r="C78" s="220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3" t="n">
        <v>177652</v>
      </c>
      <c r="H78" s="226" t="n"/>
      <c r="I78" s="221" t="n">
        <v>175415</v>
      </c>
      <c r="J78" s="222" t="n"/>
      <c r="K78" s="223">
        <f>IFERROR(I78*F78+J78*$J$5*F78,)</f>
        <v/>
      </c>
      <c r="L78" s="90">
        <f>IFERROR(K78/$K$8,)</f>
        <v/>
      </c>
      <c r="M78" s="218">
        <f>IFERROR(K78-G78*F78-H78*$J$5*F78,)</f>
        <v/>
      </c>
      <c r="N78" s="224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205">
      <c r="A79" s="204" t="inlineStr">
        <is>
          <t>IRP</t>
        </is>
      </c>
      <c r="B79" s="204" t="n">
        <v>72</v>
      </c>
      <c r="C79" s="220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3" t="n">
        <v>24648</v>
      </c>
      <c r="H79" s="226" t="n"/>
      <c r="I79" s="221" t="n">
        <v>30250</v>
      </c>
      <c r="J79" s="222" t="n"/>
      <c r="K79" s="223">
        <f>IFERROR(I79*F79+J79*$J$5*F79,)</f>
        <v/>
      </c>
      <c r="L79" s="90">
        <f>IFERROR(K79/$K$8,)</f>
        <v/>
      </c>
      <c r="M79" s="218">
        <f>IFERROR(K79-G79*F79-H79*$J$5*F79,)</f>
        <v/>
      </c>
      <c r="N79" s="224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205">
      <c r="A80" s="204" t="inlineStr">
        <is>
          <t>IRP</t>
        </is>
      </c>
      <c r="B80" s="204" t="n">
        <v>73</v>
      </c>
      <c r="C80" s="220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3" t="n">
        <v>18437</v>
      </c>
      <c r="H80" s="226" t="n"/>
      <c r="I80" s="221" t="n">
        <v>21575</v>
      </c>
      <c r="J80" s="222" t="n"/>
      <c r="K80" s="223">
        <f>IFERROR(I80*F80+J80*$J$5*F80,)</f>
        <v/>
      </c>
      <c r="L80" s="90">
        <f>IFERROR(K80/$K$8,)</f>
        <v/>
      </c>
      <c r="M80" s="218">
        <f>IFERROR(K80-G80*F80-H80*$J$5*F80,)</f>
        <v/>
      </c>
      <c r="N80" s="224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205">
      <c r="A81" s="72" t="inlineStr">
        <is>
          <t>은행예금</t>
        </is>
      </c>
      <c r="B81" s="204" t="n">
        <v>74</v>
      </c>
      <c r="C81" s="104" t="n"/>
      <c r="D81" s="230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6" t="n"/>
      <c r="I81" s="217">
        <f>G81</f>
        <v/>
      </c>
      <c r="J81" s="222" t="n"/>
      <c r="K81" s="223">
        <f>IFERROR(I81*F81+J81*$J$5*F81,)</f>
        <v/>
      </c>
      <c r="L81" s="90">
        <f>IFERROR(K81/$K$8,)</f>
        <v/>
      </c>
      <c r="M81" s="218">
        <f>IFERROR(K81-G81*F81-H81*$J$5*F81,)</f>
        <v/>
      </c>
      <c r="N81" s="219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2" t="n">
        <v>181.32</v>
      </c>
      <c r="I82" s="86" t="n"/>
      <c r="J82" s="123" t="n">
        <v>211.0500030517578</v>
      </c>
      <c r="K82" s="223">
        <f>IFERROR(I82*F82+J82*$J$5*F82,)</f>
        <v/>
      </c>
      <c r="L82" s="90">
        <f>IFERROR(K82/$K$8,)</f>
        <v/>
      </c>
      <c r="M82" s="218">
        <f>IFERROR(K82-G82*F82-H82*$J$5*F82,)</f>
        <v/>
      </c>
      <c r="N82" s="219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205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2" t="n">
        <v>144.41</v>
      </c>
      <c r="I83" s="86" t="n"/>
      <c r="J83" s="124" t="n">
        <v>164.5500030517578</v>
      </c>
      <c r="K83" s="223">
        <f>IFERROR(I83*F83+J83*$J$5*F83,)</f>
        <v/>
      </c>
      <c r="L83" s="90">
        <f>IFERROR(K83/$K$8,)</f>
        <v/>
      </c>
      <c r="M83" s="218">
        <f>IFERROR(K83-G83*F83-H83*$J$5*F83,)</f>
        <v/>
      </c>
      <c r="N83" s="219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205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2" t="n">
        <v>115.28</v>
      </c>
      <c r="I84" s="86" t="n"/>
      <c r="J84" s="124" t="n">
        <v>105.9199981689453</v>
      </c>
      <c r="K84" s="223">
        <f>IFERROR(I84*F84+J84*$J$5*F84,)</f>
        <v/>
      </c>
      <c r="L84" s="90">
        <f>IFERROR(K84/$K$8,)</f>
        <v/>
      </c>
      <c r="M84" s="218">
        <f>IFERROR(K84-G84*F84-H84*$J$5*F84,)</f>
        <v/>
      </c>
      <c r="N84" s="219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205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205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205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205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205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205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205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205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205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205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205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205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205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205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205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205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205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205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205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205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205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205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205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205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205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205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205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205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205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205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205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205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205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205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205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205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205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205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205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205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205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205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205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205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205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205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205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205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205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205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205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205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205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205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205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205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205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205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205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205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205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205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205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205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205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205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205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205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205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205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205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205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205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205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205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205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205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205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205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205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205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205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205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205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205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205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205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205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205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205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205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205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205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205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205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205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205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205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205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205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205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205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205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205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205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205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205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205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205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205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205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205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205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205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205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205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205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205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205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205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205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205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205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205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205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205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205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205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205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205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205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205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205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205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205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205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205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205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205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205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205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205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205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205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205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205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205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205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205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205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205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205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205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205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205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205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205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205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205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205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205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5" min="1" max="1"/>
    <col width="12" customWidth="1" style="205" min="2" max="2"/>
    <col width="8" customWidth="1" style="205" min="3" max="3"/>
    <col width="12" customWidth="1" style="205" min="4" max="4"/>
    <col width="36" customWidth="1" style="205" min="5" max="5"/>
    <col width="10" customWidth="1" style="205" min="6" max="6"/>
    <col width="14" customWidth="1" style="205" min="7" max="7"/>
    <col width="10" customWidth="1" style="205" min="8" max="8"/>
    <col width="10" customWidth="1" style="205" min="9" max="9"/>
    <col width="8" customWidth="1" style="205" min="12" max="12"/>
    <col width="12" customWidth="1" style="205" min="13" max="13"/>
    <col width="14" customWidth="1" style="205" min="14" max="14"/>
  </cols>
  <sheetData>
    <row r="1">
      <c r="A1" s="274" t="inlineStr">
        <is>
          <t>금액순 · 포트폴리오 비중 100% (계좌현황 자동연동)</t>
        </is>
      </c>
    </row>
    <row r="2">
      <c r="A2" s="27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6">
        <f>SUM('계좌현황'!K9:K84)</f>
        <v/>
      </c>
      <c r="C3" t="inlineStr">
        <is>
          <t>종목수</t>
        </is>
      </c>
      <c r="D3" s="277">
        <f>COUNTA('계좌현황'!E9:E84)</f>
        <v/>
      </c>
    </row>
    <row r="5">
      <c r="A5" s="274" t="inlineStr">
        <is>
          <t>① 계좌별 합계 (왼쪽 자동집계)</t>
        </is>
      </c>
    </row>
    <row r="6">
      <c r="A6" s="278" t="inlineStr">
        <is>
          <t>계좌</t>
        </is>
      </c>
      <c r="B6" s="278" t="inlineStr">
        <is>
          <t>평가액</t>
        </is>
      </c>
      <c r="C6" s="278" t="inlineStr">
        <is>
          <t>비중</t>
        </is>
      </c>
      <c r="D6" s="278" t="inlineStr">
        <is>
          <t>종목수</t>
        </is>
      </c>
    </row>
    <row r="7">
      <c r="A7" s="279" t="inlineStr">
        <is>
          <t>DC</t>
        </is>
      </c>
      <c r="B7" s="280">
        <f>SUMIF('계좌현황'!A:A,A7,'계좌현황'!K:K)</f>
        <v/>
      </c>
      <c r="C7" s="281">
        <f>IF($B$3=0,0,B7/$B$3)</f>
        <v/>
      </c>
      <c r="D7" s="279">
        <f>COUNTIF('계좌현황'!A9:A84,A7)</f>
        <v/>
      </c>
    </row>
    <row r="8">
      <c r="A8" s="282" t="inlineStr">
        <is>
          <t>개인연금1</t>
        </is>
      </c>
      <c r="B8" s="283">
        <f>SUMIF('계좌현황'!A:A,A8,'계좌현황'!K:K)</f>
        <v/>
      </c>
      <c r="C8" s="284">
        <f>IF($B$3=0,0,B8/$B$3)</f>
        <v/>
      </c>
      <c r="D8" s="282">
        <f>COUNTIF('계좌현황'!A9:A84,A8)</f>
        <v/>
      </c>
    </row>
    <row r="9">
      <c r="A9" s="285" t="inlineStr">
        <is>
          <t>개인연금2</t>
        </is>
      </c>
      <c r="B9" s="286">
        <f>SUMIF('계좌현황'!A:A,A9,'계좌현황'!K:K)</f>
        <v/>
      </c>
      <c r="C9" s="287">
        <f>IF($B$3=0,0,B9/$B$3)</f>
        <v/>
      </c>
      <c r="D9" s="285">
        <f>COUNTIF('계좌현황'!A9:A84,A9)</f>
        <v/>
      </c>
    </row>
    <row r="10">
      <c r="A10" s="288" t="inlineStr">
        <is>
          <t>ISA</t>
        </is>
      </c>
      <c r="B10" s="289">
        <f>SUMIF('계좌현황'!A:A,A10,'계좌현황'!K:K)</f>
        <v/>
      </c>
      <c r="C10" s="290">
        <f>IF($B$3=0,0,B10/$B$3)</f>
        <v/>
      </c>
      <c r="D10" s="288">
        <f>COUNTIF('계좌현황'!A9:A84,A10)</f>
        <v/>
      </c>
    </row>
    <row r="11">
      <c r="A11" s="291" t="inlineStr">
        <is>
          <t>일반계좌</t>
        </is>
      </c>
      <c r="B11" s="292">
        <f>SUMIF('계좌현황'!A:A,A11,'계좌현황'!K:K)</f>
        <v/>
      </c>
      <c r="C11" s="293">
        <f>IF($B$3=0,0,B11/$B$3)</f>
        <v/>
      </c>
      <c r="D11" s="291">
        <f>COUNTIF('계좌현황'!A9:A84,A11)</f>
        <v/>
      </c>
    </row>
    <row r="12">
      <c r="A12" s="294" t="inlineStr">
        <is>
          <t>CMA</t>
        </is>
      </c>
      <c r="B12" s="295">
        <f>SUMIF('계좌현황'!A:A,A12,'계좌현황'!K:K)</f>
        <v/>
      </c>
      <c r="C12" s="296">
        <f>IF($B$3=0,0,B12/$B$3)</f>
        <v/>
      </c>
      <c r="D12" s="294">
        <f>COUNTIF('계좌현황'!A9:A84,A12)</f>
        <v/>
      </c>
    </row>
    <row r="13">
      <c r="A13" s="297" t="inlineStr">
        <is>
          <t>IRP</t>
        </is>
      </c>
      <c r="B13" s="298">
        <f>SUMIF('계좌현황'!A:A,A13,'계좌현황'!K:K)</f>
        <v/>
      </c>
      <c r="C13" s="299">
        <f>IF($B$3=0,0,B13/$B$3)</f>
        <v/>
      </c>
      <c r="D13" s="297">
        <f>COUNTIF('계좌현황'!A9:A84,A13)</f>
        <v/>
      </c>
    </row>
    <row r="14">
      <c r="A14" s="300" t="inlineStr">
        <is>
          <t>은행예금</t>
        </is>
      </c>
      <c r="B14" s="301">
        <f>SUMIF('계좌현황'!A:A,A14,'계좌현황'!K:K)</f>
        <v/>
      </c>
      <c r="C14" s="302">
        <f>IF($B$3=0,0,B14/$B$3)</f>
        <v/>
      </c>
      <c r="D14" s="300">
        <f>COUNTIF('계좌현황'!A9:A84,A14)</f>
        <v/>
      </c>
    </row>
    <row r="15">
      <c r="A15" s="303" t="inlineStr">
        <is>
          <t>TOSS</t>
        </is>
      </c>
      <c r="B15" s="304">
        <f>SUMIF('계좌현황'!A:A,A15,'계좌현황'!K:K)</f>
        <v/>
      </c>
      <c r="C15" s="305">
        <f>IF($B$3=0,0,B15/$B$3)</f>
        <v/>
      </c>
      <c r="D15" s="303">
        <f>COUNTIF('계좌현황'!A9:A84,A15)</f>
        <v/>
      </c>
    </row>
    <row r="18">
      <c r="A18" s="274" t="inlineStr">
        <is>
          <t>② 전체 종목 금액 내림차순 100% (왼쪽 K열 기준 자동정렬)</t>
        </is>
      </c>
      <c r="L18" s="306" t="inlineStr">
        <is>
          <t>← 자동계산용(원본행/미러)</t>
        </is>
      </c>
    </row>
    <row r="19" ht="28" customHeight="1" s="205">
      <c r="A19" s="307" t="inlineStr">
        <is>
          <t>순위</t>
        </is>
      </c>
      <c r="B19" s="307" t="inlineStr">
        <is>
          <t>계좌</t>
        </is>
      </c>
      <c r="C19" s="307" t="inlineStr">
        <is>
          <t>국가</t>
        </is>
      </c>
      <c r="D19" s="307" t="inlineStr">
        <is>
          <t>종목코드</t>
        </is>
      </c>
      <c r="E19" s="307" t="inlineStr">
        <is>
          <t>종목명</t>
        </is>
      </c>
      <c r="F19" s="307" t="inlineStr">
        <is>
          <t>수량</t>
        </is>
      </c>
      <c r="G19" s="307" t="inlineStr">
        <is>
          <t>평가액</t>
        </is>
      </c>
      <c r="H19" s="307" t="inlineStr">
        <is>
          <t>비중</t>
        </is>
      </c>
      <c r="I19" s="307" t="inlineStr">
        <is>
          <t>누적비중</t>
        </is>
      </c>
      <c r="L19" s="308" t="inlineStr">
        <is>
          <t>원본행</t>
        </is>
      </c>
      <c r="M19" s="308" t="inlineStr">
        <is>
          <t>평가액미러</t>
        </is>
      </c>
      <c r="N19" s="308" t="inlineStr">
        <is>
          <t>정렬키</t>
        </is>
      </c>
    </row>
    <row r="20">
      <c r="A20" s="279" t="n">
        <v>1</v>
      </c>
      <c r="B20" s="279">
        <f>IFERROR(INDEX('계좌현황'!A:A,INDEX($L$20:$L$95,MATCH(LARGE($N$20:$N$95,1),$N$20:$N$95,0))),"")</f>
        <v/>
      </c>
      <c r="C20" s="279">
        <f>IFERROR(INDEX('계좌현황'!C:C,INDEX($L$20:$L$95,MATCH(LARGE($N$20:$N$95,1),$N$20:$N$95,0))),"")</f>
        <v/>
      </c>
      <c r="D20" s="279">
        <f>IFERROR(INDEX('계좌현황'!D:D,INDEX($L$20:$L$95,MATCH(LARGE($N$20:$N$95,1),$N$20:$N$95,0))),"")</f>
        <v/>
      </c>
      <c r="E20" s="279">
        <f>IFERROR(INDEX('계좌현황'!E:E,INDEX($L$20:$L$95,MATCH(LARGE($N$20:$N$95,1),$N$20:$N$95,0))),"")</f>
        <v/>
      </c>
      <c r="F20" s="309">
        <f>IFERROR(INDEX('계좌현황'!F:F,INDEX($L$20:$L$95,MATCH(LARGE($N$20:$N$95,1),$N$20:$N$95,0))),"")</f>
        <v/>
      </c>
      <c r="G20" s="310">
        <f>IFERROR(INDEX('계좌현황'!K:K,INDEX($L$20:$L$95,MATCH(LARGE($N$20:$N$95,1),$N$20:$N$95,0))),0)</f>
        <v/>
      </c>
      <c r="H20" s="311">
        <f>IF($B$3=0,0,G20/$B$3)</f>
        <v/>
      </c>
      <c r="I20" s="311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2" t="n">
        <v>2</v>
      </c>
      <c r="B21" s="282">
        <f>IFERROR(INDEX('계좌현황'!A:A,INDEX($L$20:$L$95,MATCH(LARGE($N$20:$N$95,2),$N$20:$N$95,0))),"")</f>
        <v/>
      </c>
      <c r="C21" s="282">
        <f>IFERROR(INDEX('계좌현황'!C:C,INDEX($L$20:$L$95,MATCH(LARGE($N$20:$N$95,2),$N$20:$N$95,0))),"")</f>
        <v/>
      </c>
      <c r="D21" s="282">
        <f>IFERROR(INDEX('계좌현황'!D:D,INDEX($L$20:$L$95,MATCH(LARGE($N$20:$N$95,2),$N$20:$N$95,0))),"")</f>
        <v/>
      </c>
      <c r="E21" s="282">
        <f>IFERROR(INDEX('계좌현황'!E:E,INDEX($L$20:$L$95,MATCH(LARGE($N$20:$N$95,2),$N$20:$N$95,0))),"")</f>
        <v/>
      </c>
      <c r="F21" s="312">
        <f>IFERROR(INDEX('계좌현황'!F:F,INDEX($L$20:$L$95,MATCH(LARGE($N$20:$N$95,2),$N$20:$N$95,0))),"")</f>
        <v/>
      </c>
      <c r="G21" s="313">
        <f>IFERROR(INDEX('계좌현황'!K:K,INDEX($L$20:$L$95,MATCH(LARGE($N$20:$N$95,2),$N$20:$N$95,0))),0)</f>
        <v/>
      </c>
      <c r="H21" s="314">
        <f>IF($B$3=0,0,G21/$B$3)</f>
        <v/>
      </c>
      <c r="I21" s="314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2" t="n">
        <v>3</v>
      </c>
      <c r="B22" s="282">
        <f>IFERROR(INDEX('계좌현황'!A:A,INDEX($L$20:$L$95,MATCH(LARGE($N$20:$N$95,3),$N$20:$N$95,0))),"")</f>
        <v/>
      </c>
      <c r="C22" s="282">
        <f>IFERROR(INDEX('계좌현황'!C:C,INDEX($L$20:$L$95,MATCH(LARGE($N$20:$N$95,3),$N$20:$N$95,0))),"")</f>
        <v/>
      </c>
      <c r="D22" s="282">
        <f>IFERROR(INDEX('계좌현황'!D:D,INDEX($L$20:$L$95,MATCH(LARGE($N$20:$N$95,3),$N$20:$N$95,0))),"")</f>
        <v/>
      </c>
      <c r="E22" s="282">
        <f>IFERROR(INDEX('계좌현황'!E:E,INDEX($L$20:$L$95,MATCH(LARGE($N$20:$N$95,3),$N$20:$N$95,0))),"")</f>
        <v/>
      </c>
      <c r="F22" s="312">
        <f>IFERROR(INDEX('계좌현황'!F:F,INDEX($L$20:$L$95,MATCH(LARGE($N$20:$N$95,3),$N$20:$N$95,0))),"")</f>
        <v/>
      </c>
      <c r="G22" s="313">
        <f>IFERROR(INDEX('계좌현황'!K:K,INDEX($L$20:$L$95,MATCH(LARGE($N$20:$N$95,3),$N$20:$N$95,0))),0)</f>
        <v/>
      </c>
      <c r="H22" s="314">
        <f>IF($B$3=0,0,G22/$B$3)</f>
        <v/>
      </c>
      <c r="I22" s="314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9" t="n">
        <v>4</v>
      </c>
      <c r="B23" s="279">
        <f>IFERROR(INDEX('계좌현황'!A:A,INDEX($L$20:$L$95,MATCH(LARGE($N$20:$N$95,4),$N$20:$N$95,0))),"")</f>
        <v/>
      </c>
      <c r="C23" s="279">
        <f>IFERROR(INDEX('계좌현황'!C:C,INDEX($L$20:$L$95,MATCH(LARGE($N$20:$N$95,4),$N$20:$N$95,0))),"")</f>
        <v/>
      </c>
      <c r="D23" s="279">
        <f>IFERROR(INDEX('계좌현황'!D:D,INDEX($L$20:$L$95,MATCH(LARGE($N$20:$N$95,4),$N$20:$N$95,0))),"")</f>
        <v/>
      </c>
      <c r="E23" s="279">
        <f>IFERROR(INDEX('계좌현황'!E:E,INDEX($L$20:$L$95,MATCH(LARGE($N$20:$N$95,4),$N$20:$N$95,0))),"")</f>
        <v/>
      </c>
      <c r="F23" s="309">
        <f>IFERROR(INDEX('계좌현황'!F:F,INDEX($L$20:$L$95,MATCH(LARGE($N$20:$N$95,4),$N$20:$N$95,0))),"")</f>
        <v/>
      </c>
      <c r="G23" s="310">
        <f>IFERROR(INDEX('계좌현황'!K:K,INDEX($L$20:$L$95,MATCH(LARGE($N$20:$N$95,4),$N$20:$N$95,0))),0)</f>
        <v/>
      </c>
      <c r="H23" s="311">
        <f>IF($B$3=0,0,G23/$B$3)</f>
        <v/>
      </c>
      <c r="I23" s="311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9" t="n">
        <v>5</v>
      </c>
      <c r="B24" s="279">
        <f>IFERROR(INDEX('계좌현황'!A:A,INDEX($L$20:$L$95,MATCH(LARGE($N$20:$N$95,5),$N$20:$N$95,0))),"")</f>
        <v/>
      </c>
      <c r="C24" s="279">
        <f>IFERROR(INDEX('계좌현황'!C:C,INDEX($L$20:$L$95,MATCH(LARGE($N$20:$N$95,5),$N$20:$N$95,0))),"")</f>
        <v/>
      </c>
      <c r="D24" s="279">
        <f>IFERROR(INDEX('계좌현황'!D:D,INDEX($L$20:$L$95,MATCH(LARGE($N$20:$N$95,5),$N$20:$N$95,0))),"")</f>
        <v/>
      </c>
      <c r="E24" s="279">
        <f>IFERROR(INDEX('계좌현황'!E:E,INDEX($L$20:$L$95,MATCH(LARGE($N$20:$N$95,5),$N$20:$N$95,0))),"")</f>
        <v/>
      </c>
      <c r="F24" s="309">
        <f>IFERROR(INDEX('계좌현황'!F:F,INDEX($L$20:$L$95,MATCH(LARGE($N$20:$N$95,5),$N$20:$N$95,0))),"")</f>
        <v/>
      </c>
      <c r="G24" s="310">
        <f>IFERROR(INDEX('계좌현황'!K:K,INDEX($L$20:$L$95,MATCH(LARGE($N$20:$N$95,5),$N$20:$N$95,0))),0)</f>
        <v/>
      </c>
      <c r="H24" s="311">
        <f>IF($B$3=0,0,G24/$B$3)</f>
        <v/>
      </c>
      <c r="I24" s="311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9" t="n">
        <v>6</v>
      </c>
      <c r="B25" s="279">
        <f>IFERROR(INDEX('계좌현황'!A:A,INDEX($L$20:$L$95,MATCH(LARGE($N$20:$N$95,6),$N$20:$N$95,0))),"")</f>
        <v/>
      </c>
      <c r="C25" s="279">
        <f>IFERROR(INDEX('계좌현황'!C:C,INDEX($L$20:$L$95,MATCH(LARGE($N$20:$N$95,6),$N$20:$N$95,0))),"")</f>
        <v/>
      </c>
      <c r="D25" s="279">
        <f>IFERROR(INDEX('계좌현황'!D:D,INDEX($L$20:$L$95,MATCH(LARGE($N$20:$N$95,6),$N$20:$N$95,0))),"")</f>
        <v/>
      </c>
      <c r="E25" s="279">
        <f>IFERROR(INDEX('계좌현황'!E:E,INDEX($L$20:$L$95,MATCH(LARGE($N$20:$N$95,6),$N$20:$N$95,0))),"")</f>
        <v/>
      </c>
      <c r="F25" s="309">
        <f>IFERROR(INDEX('계좌현황'!F:F,INDEX($L$20:$L$95,MATCH(LARGE($N$20:$N$95,6),$N$20:$N$95,0))),"")</f>
        <v/>
      </c>
      <c r="G25" s="310">
        <f>IFERROR(INDEX('계좌현황'!K:K,INDEX($L$20:$L$95,MATCH(LARGE($N$20:$N$95,6),$N$20:$N$95,0))),0)</f>
        <v/>
      </c>
      <c r="H25" s="311">
        <f>IF($B$3=0,0,G25/$B$3)</f>
        <v/>
      </c>
      <c r="I25" s="311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9" t="n">
        <v>7</v>
      </c>
      <c r="B26" s="279">
        <f>IFERROR(INDEX('계좌현황'!A:A,INDEX($L$20:$L$95,MATCH(LARGE($N$20:$N$95,7),$N$20:$N$95,0))),"")</f>
        <v/>
      </c>
      <c r="C26" s="279">
        <f>IFERROR(INDEX('계좌현황'!C:C,INDEX($L$20:$L$95,MATCH(LARGE($N$20:$N$95,7),$N$20:$N$95,0))),"")</f>
        <v/>
      </c>
      <c r="D26" s="279">
        <f>IFERROR(INDEX('계좌현황'!D:D,INDEX($L$20:$L$95,MATCH(LARGE($N$20:$N$95,7),$N$20:$N$95,0))),"")</f>
        <v/>
      </c>
      <c r="E26" s="279">
        <f>IFERROR(INDEX('계좌현황'!E:E,INDEX($L$20:$L$95,MATCH(LARGE($N$20:$N$95,7),$N$20:$N$95,0))),"")</f>
        <v/>
      </c>
      <c r="F26" s="309">
        <f>IFERROR(INDEX('계좌현황'!F:F,INDEX($L$20:$L$95,MATCH(LARGE($N$20:$N$95,7),$N$20:$N$95,0))),"")</f>
        <v/>
      </c>
      <c r="G26" s="310">
        <f>IFERROR(INDEX('계좌현황'!K:K,INDEX($L$20:$L$95,MATCH(LARGE($N$20:$N$95,7),$N$20:$N$95,0))),0)</f>
        <v/>
      </c>
      <c r="H26" s="311">
        <f>IF($B$3=0,0,G26/$B$3)</f>
        <v/>
      </c>
      <c r="I26" s="311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8" t="n">
        <v>8</v>
      </c>
      <c r="B27" s="288">
        <f>IFERROR(INDEX('계좌현황'!A:A,INDEX($L$20:$L$95,MATCH(LARGE($N$20:$N$95,8),$N$20:$N$95,0))),"")</f>
        <v/>
      </c>
      <c r="C27" s="288">
        <f>IFERROR(INDEX('계좌현황'!C:C,INDEX($L$20:$L$95,MATCH(LARGE($N$20:$N$95,8),$N$20:$N$95,0))),"")</f>
        <v/>
      </c>
      <c r="D27" s="288">
        <f>IFERROR(INDEX('계좌현황'!D:D,INDEX($L$20:$L$95,MATCH(LARGE($N$20:$N$95,8),$N$20:$N$95,0))),"")</f>
        <v/>
      </c>
      <c r="E27" s="288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9" t="n">
        <v>9</v>
      </c>
      <c r="B28" s="279">
        <f>IFERROR(INDEX('계좌현황'!A:A,INDEX($L$20:$L$95,MATCH(LARGE($N$20:$N$95,9),$N$20:$N$95,0))),"")</f>
        <v/>
      </c>
      <c r="C28" s="279">
        <f>IFERROR(INDEX('계좌현황'!C:C,INDEX($L$20:$L$95,MATCH(LARGE($N$20:$N$95,9),$N$20:$N$95,0))),"")</f>
        <v/>
      </c>
      <c r="D28" s="279">
        <f>IFERROR(INDEX('계좌현황'!D:D,INDEX($L$20:$L$95,MATCH(LARGE($N$20:$N$95,9),$N$20:$N$95,0))),"")</f>
        <v/>
      </c>
      <c r="E28" s="279">
        <f>IFERROR(INDEX('계좌현황'!E:E,INDEX($L$20:$L$95,MATCH(LARGE($N$20:$N$95,9),$N$20:$N$95,0))),"")</f>
        <v/>
      </c>
      <c r="F28" s="309">
        <f>IFERROR(INDEX('계좌현황'!F:F,INDEX($L$20:$L$95,MATCH(LARGE($N$20:$N$95,9),$N$20:$N$95,0))),"")</f>
        <v/>
      </c>
      <c r="G28" s="310">
        <f>IFERROR(INDEX('계좌현황'!K:K,INDEX($L$20:$L$95,MATCH(LARGE($N$20:$N$95,9),$N$20:$N$95,0))),0)</f>
        <v/>
      </c>
      <c r="H28" s="311">
        <f>IF($B$3=0,0,G28/$B$3)</f>
        <v/>
      </c>
      <c r="I28" s="311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9" t="n">
        <v>10</v>
      </c>
      <c r="B29" s="279">
        <f>IFERROR(INDEX('계좌현황'!A:A,INDEX($L$20:$L$95,MATCH(LARGE($N$20:$N$95,10),$N$20:$N$95,0))),"")</f>
        <v/>
      </c>
      <c r="C29" s="279">
        <f>IFERROR(INDEX('계좌현황'!C:C,INDEX($L$20:$L$95,MATCH(LARGE($N$20:$N$95,10),$N$20:$N$95,0))),"")</f>
        <v/>
      </c>
      <c r="D29" s="279">
        <f>IFERROR(INDEX('계좌현황'!D:D,INDEX($L$20:$L$95,MATCH(LARGE($N$20:$N$95,10),$N$20:$N$95,0))),"")</f>
        <v/>
      </c>
      <c r="E29" s="279">
        <f>IFERROR(INDEX('계좌현황'!E:E,INDEX($L$20:$L$95,MATCH(LARGE($N$20:$N$95,10),$N$20:$N$95,0))),"")</f>
        <v/>
      </c>
      <c r="F29" s="309">
        <f>IFERROR(INDEX('계좌현황'!F:F,INDEX($L$20:$L$95,MATCH(LARGE($N$20:$N$95,10),$N$20:$N$95,0))),"")</f>
        <v/>
      </c>
      <c r="G29" s="310">
        <f>IFERROR(INDEX('계좌현황'!K:K,INDEX($L$20:$L$95,MATCH(LARGE($N$20:$N$95,10),$N$20:$N$95,0))),0)</f>
        <v/>
      </c>
      <c r="H29" s="311">
        <f>IF($B$3=0,0,G29/$B$3)</f>
        <v/>
      </c>
      <c r="I29" s="311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8" t="n">
        <v>11</v>
      </c>
      <c r="B30" s="288">
        <f>IFERROR(INDEX('계좌현황'!A:A,INDEX($L$20:$L$95,MATCH(LARGE($N$20:$N$95,11),$N$20:$N$95,0))),"")</f>
        <v/>
      </c>
      <c r="C30" s="288">
        <f>IFERROR(INDEX('계좌현황'!C:C,INDEX($L$20:$L$95,MATCH(LARGE($N$20:$N$95,11),$N$20:$N$95,0))),"")</f>
        <v/>
      </c>
      <c r="D30" s="288">
        <f>IFERROR(INDEX('계좌현황'!D:D,INDEX($L$20:$L$95,MATCH(LARGE($N$20:$N$95,11),$N$20:$N$95,0))),"")</f>
        <v/>
      </c>
      <c r="E30" s="288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9" t="n">
        <v>12</v>
      </c>
      <c r="B31" s="279">
        <f>IFERROR(INDEX('계좌현황'!A:A,INDEX($L$20:$L$95,MATCH(LARGE($N$20:$N$95,12),$N$20:$N$95,0))),"")</f>
        <v/>
      </c>
      <c r="C31" s="279">
        <f>IFERROR(INDEX('계좌현황'!C:C,INDEX($L$20:$L$95,MATCH(LARGE($N$20:$N$95,12),$N$20:$N$95,0))),"")</f>
        <v/>
      </c>
      <c r="D31" s="279">
        <f>IFERROR(INDEX('계좌현황'!D:D,INDEX($L$20:$L$95,MATCH(LARGE($N$20:$N$95,12),$N$20:$N$95,0))),"")</f>
        <v/>
      </c>
      <c r="E31" s="279">
        <f>IFERROR(INDEX('계좌현황'!E:E,INDEX($L$20:$L$95,MATCH(LARGE($N$20:$N$95,12),$N$20:$N$95,0))),"")</f>
        <v/>
      </c>
      <c r="F31" s="309">
        <f>IFERROR(INDEX('계좌현황'!F:F,INDEX($L$20:$L$95,MATCH(LARGE($N$20:$N$95,12),$N$20:$N$95,0))),"")</f>
        <v/>
      </c>
      <c r="G31" s="310">
        <f>IFERROR(INDEX('계좌현황'!K:K,INDEX($L$20:$L$95,MATCH(LARGE($N$20:$N$95,12),$N$20:$N$95,0))),0)</f>
        <v/>
      </c>
      <c r="H31" s="311">
        <f>IF($B$3=0,0,G31/$B$3)</f>
        <v/>
      </c>
      <c r="I31" s="311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2" t="n">
        <v>13</v>
      </c>
      <c r="B32" s="282">
        <f>IFERROR(INDEX('계좌현황'!A:A,INDEX($L$20:$L$95,MATCH(LARGE($N$20:$N$95,13),$N$20:$N$95,0))),"")</f>
        <v/>
      </c>
      <c r="C32" s="282">
        <f>IFERROR(INDEX('계좌현황'!C:C,INDEX($L$20:$L$95,MATCH(LARGE($N$20:$N$95,13),$N$20:$N$95,0))),"")</f>
        <v/>
      </c>
      <c r="D32" s="282">
        <f>IFERROR(INDEX('계좌현황'!D:D,INDEX($L$20:$L$95,MATCH(LARGE($N$20:$N$95,13),$N$20:$N$95,0))),"")</f>
        <v/>
      </c>
      <c r="E32" s="282">
        <f>IFERROR(INDEX('계좌현황'!E:E,INDEX($L$20:$L$95,MATCH(LARGE($N$20:$N$95,13),$N$20:$N$95,0))),"")</f>
        <v/>
      </c>
      <c r="F32" s="312">
        <f>IFERROR(INDEX('계좌현황'!F:F,INDEX($L$20:$L$95,MATCH(LARGE($N$20:$N$95,13),$N$20:$N$95,0))),"")</f>
        <v/>
      </c>
      <c r="G32" s="313">
        <f>IFERROR(INDEX('계좌현황'!K:K,INDEX($L$20:$L$95,MATCH(LARGE($N$20:$N$95,13),$N$20:$N$95,0))),0)</f>
        <v/>
      </c>
      <c r="H32" s="314">
        <f>IF($B$3=0,0,G32/$B$3)</f>
        <v/>
      </c>
      <c r="I32" s="314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8" t="n">
        <v>14</v>
      </c>
      <c r="B33" s="288">
        <f>IFERROR(INDEX('계좌현황'!A:A,INDEX($L$20:$L$95,MATCH(LARGE($N$20:$N$95,14),$N$20:$N$95,0))),"")</f>
        <v/>
      </c>
      <c r="C33" s="288">
        <f>IFERROR(INDEX('계좌현황'!C:C,INDEX($L$20:$L$95,MATCH(LARGE($N$20:$N$95,14),$N$20:$N$95,0))),"")</f>
        <v/>
      </c>
      <c r="D33" s="288">
        <f>IFERROR(INDEX('계좌현황'!D:D,INDEX($L$20:$L$95,MATCH(LARGE($N$20:$N$95,14),$N$20:$N$95,0))),"")</f>
        <v/>
      </c>
      <c r="E33" s="288">
        <f>IFERROR(INDEX('계좌현황'!E:E,INDEX($L$20:$L$95,MATCH(LARGE($N$20:$N$95,14),$N$20:$N$95,0))),"")</f>
        <v/>
      </c>
      <c r="F33" s="315">
        <f>IFERROR(INDEX('계좌현황'!F:F,INDEX($L$20:$L$95,MATCH(LARGE($N$20:$N$95,14),$N$20:$N$95,0))),"")</f>
        <v/>
      </c>
      <c r="G33" s="316">
        <f>IFERROR(INDEX('계좌현황'!K:K,INDEX($L$20:$L$95,MATCH(LARGE($N$20:$N$95,14),$N$20:$N$95,0))),0)</f>
        <v/>
      </c>
      <c r="H33" s="317">
        <f>IF($B$3=0,0,G33/$B$3)</f>
        <v/>
      </c>
      <c r="I33" s="317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2" t="n">
        <v>15</v>
      </c>
      <c r="B34" s="282">
        <f>IFERROR(INDEX('계좌현황'!A:A,INDEX($L$20:$L$95,MATCH(LARGE($N$20:$N$95,15),$N$20:$N$95,0))),"")</f>
        <v/>
      </c>
      <c r="C34" s="282">
        <f>IFERROR(INDEX('계좌현황'!C:C,INDEX($L$20:$L$95,MATCH(LARGE($N$20:$N$95,15),$N$20:$N$95,0))),"")</f>
        <v/>
      </c>
      <c r="D34" s="282">
        <f>IFERROR(INDEX('계좌현황'!D:D,INDEX($L$20:$L$95,MATCH(LARGE($N$20:$N$95,15),$N$20:$N$95,0))),"")</f>
        <v/>
      </c>
      <c r="E34" s="282">
        <f>IFERROR(INDEX('계좌현황'!E:E,INDEX($L$20:$L$95,MATCH(LARGE($N$20:$N$95,15),$N$20:$N$95,0))),"")</f>
        <v/>
      </c>
      <c r="F34" s="312">
        <f>IFERROR(INDEX('계좌현황'!F:F,INDEX($L$20:$L$95,MATCH(LARGE($N$20:$N$95,15),$N$20:$N$95,0))),"")</f>
        <v/>
      </c>
      <c r="G34" s="313">
        <f>IFERROR(INDEX('계좌현황'!K:K,INDEX($L$20:$L$95,MATCH(LARGE($N$20:$N$95,15),$N$20:$N$95,0))),0)</f>
        <v/>
      </c>
      <c r="H34" s="314">
        <f>IF($B$3=0,0,G34/$B$3)</f>
        <v/>
      </c>
      <c r="I34" s="314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1" t="n">
        <v>16</v>
      </c>
      <c r="B35" s="291">
        <f>IFERROR(INDEX('계좌현황'!A:A,INDEX($L$20:$L$95,MATCH(LARGE($N$20:$N$95,16),$N$20:$N$95,0))),"")</f>
        <v/>
      </c>
      <c r="C35" s="291">
        <f>IFERROR(INDEX('계좌현황'!C:C,INDEX($L$20:$L$95,MATCH(LARGE($N$20:$N$95,16),$N$20:$N$95,0))),"")</f>
        <v/>
      </c>
      <c r="D35" s="291">
        <f>IFERROR(INDEX('계좌현황'!D:D,INDEX($L$20:$L$95,MATCH(LARGE($N$20:$N$95,16),$N$20:$N$95,0))),"")</f>
        <v/>
      </c>
      <c r="E35" s="291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1" t="n">
        <v>17</v>
      </c>
      <c r="B36" s="291">
        <f>IFERROR(INDEX('계좌현황'!A:A,INDEX($L$20:$L$95,MATCH(LARGE($N$20:$N$95,17),$N$20:$N$95,0))),"")</f>
        <v/>
      </c>
      <c r="C36" s="291">
        <f>IFERROR(INDEX('계좌현황'!C:C,INDEX($L$20:$L$95,MATCH(LARGE($N$20:$N$95,17),$N$20:$N$95,0))),"")</f>
        <v/>
      </c>
      <c r="D36" s="291">
        <f>IFERROR(INDEX('계좌현황'!D:D,INDEX($L$20:$L$95,MATCH(LARGE($N$20:$N$95,17),$N$20:$N$95,0))),"")</f>
        <v/>
      </c>
      <c r="E36" s="291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7" t="n">
        <v>18</v>
      </c>
      <c r="B37" s="297">
        <f>IFERROR(INDEX('계좌현황'!A:A,INDEX($L$20:$L$95,MATCH(LARGE($N$20:$N$95,18),$N$20:$N$95,0))),"")</f>
        <v/>
      </c>
      <c r="C37" s="297">
        <f>IFERROR(INDEX('계좌현황'!C:C,INDEX($L$20:$L$95,MATCH(LARGE($N$20:$N$95,18),$N$20:$N$95,0))),"")</f>
        <v/>
      </c>
      <c r="D37" s="297">
        <f>IFERROR(INDEX('계좌현황'!D:D,INDEX($L$20:$L$95,MATCH(LARGE($N$20:$N$95,18),$N$20:$N$95,0))),"")</f>
        <v/>
      </c>
      <c r="E37" s="297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1" t="n">
        <v>19</v>
      </c>
      <c r="B38" s="291">
        <f>IFERROR(INDEX('계좌현황'!A:A,INDEX($L$20:$L$95,MATCH(LARGE($N$20:$N$95,19),$N$20:$N$95,0))),"")</f>
        <v/>
      </c>
      <c r="C38" s="291">
        <f>IFERROR(INDEX('계좌현황'!C:C,INDEX($L$20:$L$95,MATCH(LARGE($N$20:$N$95,19),$N$20:$N$95,0))),"")</f>
        <v/>
      </c>
      <c r="D38" s="291">
        <f>IFERROR(INDEX('계좌현황'!D:D,INDEX($L$20:$L$95,MATCH(LARGE($N$20:$N$95,19),$N$20:$N$95,0))),"")</f>
        <v/>
      </c>
      <c r="E38" s="291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79" t="n">
        <v>20</v>
      </c>
      <c r="B39" s="279">
        <f>IFERROR(INDEX('계좌현황'!A:A,INDEX($L$20:$L$95,MATCH(LARGE($N$20:$N$95,20),$N$20:$N$95,0))),"")</f>
        <v/>
      </c>
      <c r="C39" s="279">
        <f>IFERROR(INDEX('계좌현황'!C:C,INDEX($L$20:$L$95,MATCH(LARGE($N$20:$N$95,20),$N$20:$N$95,0))),"")</f>
        <v/>
      </c>
      <c r="D39" s="279">
        <f>IFERROR(INDEX('계좌현황'!D:D,INDEX($L$20:$L$95,MATCH(LARGE($N$20:$N$95,20),$N$20:$N$95,0))),"")</f>
        <v/>
      </c>
      <c r="E39" s="279">
        <f>IFERROR(INDEX('계좌현황'!E:E,INDEX($L$20:$L$95,MATCH(LARGE($N$20:$N$95,20),$N$20:$N$95,0))),"")</f>
        <v/>
      </c>
      <c r="F39" s="309">
        <f>IFERROR(INDEX('계좌현황'!F:F,INDEX($L$20:$L$95,MATCH(LARGE($N$20:$N$95,20),$N$20:$N$95,0))),"")</f>
        <v/>
      </c>
      <c r="G39" s="310">
        <f>IFERROR(INDEX('계좌현황'!K:K,INDEX($L$20:$L$95,MATCH(LARGE($N$20:$N$95,20),$N$20:$N$95,0))),0)</f>
        <v/>
      </c>
      <c r="H39" s="311">
        <f>IF($B$3=0,0,G39/$B$3)</f>
        <v/>
      </c>
      <c r="I39" s="311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5" t="n">
        <v>21</v>
      </c>
      <c r="B40" s="285">
        <f>IFERROR(INDEX('계좌현황'!A:A,INDEX($L$20:$L$95,MATCH(LARGE($N$20:$N$95,21),$N$20:$N$95,0))),"")</f>
        <v/>
      </c>
      <c r="C40" s="285">
        <f>IFERROR(INDEX('계좌현황'!C:C,INDEX($L$20:$L$95,MATCH(LARGE($N$20:$N$95,21),$N$20:$N$95,0))),"")</f>
        <v/>
      </c>
      <c r="D40" s="285">
        <f>IFERROR(INDEX('계좌현황'!D:D,INDEX($L$20:$L$95,MATCH(LARGE($N$20:$N$95,21),$N$20:$N$95,0))),"")</f>
        <v/>
      </c>
      <c r="E40" s="285">
        <f>IFERROR(INDEX('계좌현황'!E:E,INDEX($L$20:$L$95,MATCH(LARGE($N$20:$N$95,21),$N$20:$N$95,0))),"")</f>
        <v/>
      </c>
      <c r="F40" s="324">
        <f>IFERROR(INDEX('계좌현황'!F:F,INDEX($L$20:$L$95,MATCH(LARGE($N$20:$N$95,21),$N$20:$N$95,0))),"")</f>
        <v/>
      </c>
      <c r="G40" s="325">
        <f>IFERROR(INDEX('계좌현황'!K:K,INDEX($L$20:$L$95,MATCH(LARGE($N$20:$N$95,21),$N$20:$N$95,0))),0)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1" t="n">
        <v>22</v>
      </c>
      <c r="B41" s="291">
        <f>IFERROR(INDEX('계좌현황'!A:A,INDEX($L$20:$L$95,MATCH(LARGE($N$20:$N$95,22),$N$20:$N$95,0))),"")</f>
        <v/>
      </c>
      <c r="C41" s="291">
        <f>IFERROR(INDEX('계좌현황'!C:C,INDEX($L$20:$L$95,MATCH(LARGE($N$20:$N$95,22),$N$20:$N$95,0))),"")</f>
        <v/>
      </c>
      <c r="D41" s="291">
        <f>IFERROR(INDEX('계좌현황'!D:D,INDEX($L$20:$L$95,MATCH(LARGE($N$20:$N$95,22),$N$20:$N$95,0))),"")</f>
        <v/>
      </c>
      <c r="E41" s="291">
        <f>IFERROR(INDEX('계좌현황'!E:E,INDEX($L$20:$L$95,MATCH(LARGE($N$20:$N$95,22),$N$20:$N$95,0))),"")</f>
        <v/>
      </c>
      <c r="F41" s="318">
        <f>IFERROR(INDEX('계좌현황'!F:F,INDEX($L$20:$L$95,MATCH(LARGE($N$20:$N$95,22),$N$20:$N$95,0))),"")</f>
        <v/>
      </c>
      <c r="G41" s="319">
        <f>IFERROR(INDEX('계좌현황'!K:K,INDEX($L$20:$L$95,MATCH(LARGE($N$20:$N$95,22),$N$20:$N$95,0))),0)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7" t="n">
        <v>23</v>
      </c>
      <c r="B42" s="297">
        <f>IFERROR(INDEX('계좌현황'!A:A,INDEX($L$20:$L$95,MATCH(LARGE($N$20:$N$95,23),$N$20:$N$95,0))),"")</f>
        <v/>
      </c>
      <c r="C42" s="297">
        <f>IFERROR(INDEX('계좌현황'!C:C,INDEX($L$20:$L$95,MATCH(LARGE($N$20:$N$95,23),$N$20:$N$95,0))),"")</f>
        <v/>
      </c>
      <c r="D42" s="297">
        <f>IFERROR(INDEX('계좌현황'!D:D,INDEX($L$20:$L$95,MATCH(LARGE($N$20:$N$95,23),$N$20:$N$95,0))),"")</f>
        <v/>
      </c>
      <c r="E42" s="297">
        <f>IFERROR(INDEX('계좌현황'!E:E,INDEX($L$20:$L$95,MATCH(LARGE($N$20:$N$95,23),$N$20:$N$95,0))),"")</f>
        <v/>
      </c>
      <c r="F42" s="321">
        <f>IFERROR(INDEX('계좌현황'!F:F,INDEX($L$20:$L$95,MATCH(LARGE($N$20:$N$95,23),$N$20:$N$95,0))),"")</f>
        <v/>
      </c>
      <c r="G42" s="322">
        <f>IFERROR(INDEX('계좌현황'!K:K,INDEX($L$20:$L$95,MATCH(LARGE($N$20:$N$95,23),$N$20:$N$95,0))),0)</f>
        <v/>
      </c>
      <c r="H42" s="323">
        <f>IF($B$3=0,0,G42/$B$3)</f>
        <v/>
      </c>
      <c r="I42" s="323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7" t="n">
        <v>24</v>
      </c>
      <c r="B43" s="297">
        <f>IFERROR(INDEX('계좌현황'!A:A,INDEX($L$20:$L$95,MATCH(LARGE($N$20:$N$95,24),$N$20:$N$95,0))),"")</f>
        <v/>
      </c>
      <c r="C43" s="297">
        <f>IFERROR(INDEX('계좌현황'!C:C,INDEX($L$20:$L$95,MATCH(LARGE($N$20:$N$95,24),$N$20:$N$95,0))),"")</f>
        <v/>
      </c>
      <c r="D43" s="297">
        <f>IFERROR(INDEX('계좌현황'!D:D,INDEX($L$20:$L$95,MATCH(LARGE($N$20:$N$95,24),$N$20:$N$95,0))),"")</f>
        <v/>
      </c>
      <c r="E43" s="297">
        <f>IFERROR(INDEX('계좌현황'!E:E,INDEX($L$20:$L$95,MATCH(LARGE($N$20:$N$95,24),$N$20:$N$95,0))),"")</f>
        <v/>
      </c>
      <c r="F43" s="321">
        <f>IFERROR(INDEX('계좌현황'!F:F,INDEX($L$20:$L$95,MATCH(LARGE($N$20:$N$95,24),$N$20:$N$95,0))),"")</f>
        <v/>
      </c>
      <c r="G43" s="322">
        <f>IFERROR(INDEX('계좌현황'!K:K,INDEX($L$20:$L$95,MATCH(LARGE($N$20:$N$95,24),$N$20:$N$95,0))),0)</f>
        <v/>
      </c>
      <c r="H43" s="323">
        <f>IF($B$3=0,0,G43/$B$3)</f>
        <v/>
      </c>
      <c r="I43" s="323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8" t="n">
        <v>25</v>
      </c>
      <c r="B44" s="288">
        <f>IFERROR(INDEX('계좌현황'!A:A,INDEX($L$20:$L$95,MATCH(LARGE($N$20:$N$95,25),$N$20:$N$95,0))),"")</f>
        <v/>
      </c>
      <c r="C44" s="288">
        <f>IFERROR(INDEX('계좌현황'!C:C,INDEX($L$20:$L$95,MATCH(LARGE($N$20:$N$95,25),$N$20:$N$95,0))),"")</f>
        <v/>
      </c>
      <c r="D44" s="288">
        <f>IFERROR(INDEX('계좌현황'!D:D,INDEX($L$20:$L$95,MATCH(LARGE($N$20:$N$95,25),$N$20:$N$95,0))),"")</f>
        <v/>
      </c>
      <c r="E44" s="288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1" t="n">
        <v>26</v>
      </c>
      <c r="B45" s="291">
        <f>IFERROR(INDEX('계좌현황'!A:A,INDEX($L$20:$L$95,MATCH(LARGE($N$20:$N$95,26),$N$20:$N$95,0))),"")</f>
        <v/>
      </c>
      <c r="C45" s="291">
        <f>IFERROR(INDEX('계좌현황'!C:C,INDEX($L$20:$L$95,MATCH(LARGE($N$20:$N$95,26),$N$20:$N$95,0))),"")</f>
        <v/>
      </c>
      <c r="D45" s="291">
        <f>IFERROR(INDEX('계좌현황'!D:D,INDEX($L$20:$L$95,MATCH(LARGE($N$20:$N$95,26),$N$20:$N$95,0))),"")</f>
        <v/>
      </c>
      <c r="E45" s="291">
        <f>IFERROR(INDEX('계좌현황'!E:E,INDEX($L$20:$L$95,MATCH(LARGE($N$20:$N$95,26),$N$20:$N$95,0))),"")</f>
        <v/>
      </c>
      <c r="F45" s="318">
        <f>IFERROR(INDEX('계좌현황'!F:F,INDEX($L$20:$L$95,MATCH(LARGE($N$20:$N$95,26),$N$20:$N$95,0))),"")</f>
        <v/>
      </c>
      <c r="G45" s="319">
        <f>IFERROR(INDEX('계좌현황'!K:K,INDEX($L$20:$L$95,MATCH(LARGE($N$20:$N$95,26),$N$20:$N$95,0))),0)</f>
        <v/>
      </c>
      <c r="H45" s="320">
        <f>IF($B$3=0,0,G45/$B$3)</f>
        <v/>
      </c>
      <c r="I45" s="320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7" t="n">
        <v>27</v>
      </c>
      <c r="B46" s="297">
        <f>IFERROR(INDEX('계좌현황'!A:A,INDEX($L$20:$L$95,MATCH(LARGE($N$20:$N$95,27),$N$20:$N$95,0))),"")</f>
        <v/>
      </c>
      <c r="C46" s="297">
        <f>IFERROR(INDEX('계좌현황'!C:C,INDEX($L$20:$L$95,MATCH(LARGE($N$20:$N$95,27),$N$20:$N$95,0))),"")</f>
        <v/>
      </c>
      <c r="D46" s="297">
        <f>IFERROR(INDEX('계좌현황'!D:D,INDEX($L$20:$L$95,MATCH(LARGE($N$20:$N$95,27),$N$20:$N$95,0))),"")</f>
        <v/>
      </c>
      <c r="E46" s="297">
        <f>IFERROR(INDEX('계좌현황'!E:E,INDEX($L$20:$L$95,MATCH(LARGE($N$20:$N$95,27),$N$20:$N$95,0))),"")</f>
        <v/>
      </c>
      <c r="F46" s="321">
        <f>IFERROR(INDEX('계좌현황'!F:F,INDEX($L$20:$L$95,MATCH(LARGE($N$20:$N$95,27),$N$20:$N$95,0))),"")</f>
        <v/>
      </c>
      <c r="G46" s="322">
        <f>IFERROR(INDEX('계좌현황'!K:K,INDEX($L$20:$L$95,MATCH(LARGE($N$20:$N$95,27),$N$20:$N$95,0))),0)</f>
        <v/>
      </c>
      <c r="H46" s="323">
        <f>IF($B$3=0,0,G46/$B$3)</f>
        <v/>
      </c>
      <c r="I46" s="32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IFERROR(INDEX('계좌현황'!A:A,INDEX($L$20:$L$95,MATCH(LARGE($N$20:$N$95,28),$N$20:$N$95,0))),"")</f>
        <v/>
      </c>
      <c r="C47" s="288">
        <f>IFERROR(INDEX('계좌현황'!C:C,INDEX($L$20:$L$95,MATCH(LARGE($N$20:$N$95,28),$N$20:$N$95,0))),"")</f>
        <v/>
      </c>
      <c r="D47" s="288">
        <f>IFERROR(INDEX('계좌현황'!D:D,INDEX($L$20:$L$95,MATCH(LARGE($N$20:$N$95,28),$N$20:$N$95,0))),"")</f>
        <v/>
      </c>
      <c r="E47" s="288">
        <f>IFERROR(INDEX('계좌현황'!E:E,INDEX($L$20:$L$95,MATCH(LARGE($N$20:$N$95,28),$N$20:$N$95,0))),"")</f>
        <v/>
      </c>
      <c r="F47" s="315">
        <f>IFERROR(INDEX('계좌현황'!F:F,INDEX($L$20:$L$95,MATCH(LARGE($N$20:$N$95,28),$N$20:$N$95,0))),"")</f>
        <v/>
      </c>
      <c r="G47" s="316">
        <f>IFERROR(INDEX('계좌현황'!K:K,INDEX($L$20:$L$95,MATCH(LARGE($N$20:$N$95,28),$N$20:$N$95,0))),0)</f>
        <v/>
      </c>
      <c r="H47" s="317">
        <f>IF($B$3=0,0,G47/$B$3)</f>
        <v/>
      </c>
      <c r="I47" s="317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91" t="n">
        <v>29</v>
      </c>
      <c r="B48" s="291">
        <f>IFERROR(INDEX('계좌현황'!A:A,INDEX($L$20:$L$95,MATCH(LARGE($N$20:$N$95,29),$N$20:$N$95,0))),"")</f>
        <v/>
      </c>
      <c r="C48" s="291">
        <f>IFERROR(INDEX('계좌현황'!C:C,INDEX($L$20:$L$95,MATCH(LARGE($N$20:$N$95,29),$N$20:$N$95,0))),"")</f>
        <v/>
      </c>
      <c r="D48" s="291">
        <f>IFERROR(INDEX('계좌현황'!D:D,INDEX($L$20:$L$95,MATCH(LARGE($N$20:$N$95,29),$N$20:$N$95,0))),"")</f>
        <v/>
      </c>
      <c r="E48" s="291">
        <f>IFERROR(INDEX('계좌현황'!E:E,INDEX($L$20:$L$95,MATCH(LARGE($N$20:$N$95,29),$N$20:$N$95,0))),"")</f>
        <v/>
      </c>
      <c r="F48" s="318">
        <f>IFERROR(INDEX('계좌현황'!F:F,INDEX($L$20:$L$95,MATCH(LARGE($N$20:$N$95,29),$N$20:$N$95,0))),"")</f>
        <v/>
      </c>
      <c r="G48" s="319">
        <f>IFERROR(INDEX('계좌현황'!K:K,INDEX($L$20:$L$95,MATCH(LARGE($N$20:$N$95,29),$N$20:$N$95,0))),0)</f>
        <v/>
      </c>
      <c r="H48" s="320">
        <f>IF($B$3=0,0,G48/$B$3)</f>
        <v/>
      </c>
      <c r="I48" s="320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5" t="n">
        <v>30</v>
      </c>
      <c r="B49" s="285">
        <f>IFERROR(INDEX('계좌현황'!A:A,INDEX($L$20:$L$95,MATCH(LARGE($N$20:$N$95,30),$N$20:$N$95,0))),"")</f>
        <v/>
      </c>
      <c r="C49" s="285">
        <f>IFERROR(INDEX('계좌현황'!C:C,INDEX($L$20:$L$95,MATCH(LARGE($N$20:$N$95,30),$N$20:$N$95,0))),"")</f>
        <v/>
      </c>
      <c r="D49" s="285">
        <f>IFERROR(INDEX('계좌현황'!D:D,INDEX($L$20:$L$95,MATCH(LARGE($N$20:$N$95,30),$N$20:$N$95,0))),"")</f>
        <v/>
      </c>
      <c r="E49" s="285">
        <f>IFERROR(INDEX('계좌현황'!E:E,INDEX($L$20:$L$95,MATCH(LARGE($N$20:$N$95,30),$N$20:$N$95,0))),"")</f>
        <v/>
      </c>
      <c r="F49" s="324">
        <f>IFERROR(INDEX('계좌현황'!F:F,INDEX($L$20:$L$95,MATCH(LARGE($N$20:$N$95,30),$N$20:$N$95,0))),"")</f>
        <v/>
      </c>
      <c r="G49" s="325">
        <f>IFERROR(INDEX('계좌현황'!K:K,INDEX($L$20:$L$95,MATCH(LARGE($N$20:$N$95,30),$N$20:$N$95,0))),0)</f>
        <v/>
      </c>
      <c r="H49" s="326">
        <f>IF($B$3=0,0,G49/$B$3)</f>
        <v/>
      </c>
      <c r="I49" s="326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2" t="n">
        <v>31</v>
      </c>
      <c r="B50" s="282">
        <f>IFERROR(INDEX('계좌현황'!A:A,INDEX($L$20:$L$95,MATCH(LARGE($N$20:$N$95,31),$N$20:$N$95,0))),"")</f>
        <v/>
      </c>
      <c r="C50" s="282">
        <f>IFERROR(INDEX('계좌현황'!C:C,INDEX($L$20:$L$95,MATCH(LARGE($N$20:$N$95,31),$N$20:$N$95,0))),"")</f>
        <v/>
      </c>
      <c r="D50" s="282">
        <f>IFERROR(INDEX('계좌현황'!D:D,INDEX($L$20:$L$95,MATCH(LARGE($N$20:$N$95,31),$N$20:$N$95,0))),"")</f>
        <v/>
      </c>
      <c r="E50" s="282">
        <f>IFERROR(INDEX('계좌현황'!E:E,INDEX($L$20:$L$95,MATCH(LARGE($N$20:$N$95,31),$N$20:$N$95,0))),"")</f>
        <v/>
      </c>
      <c r="F50" s="312">
        <f>IFERROR(INDEX('계좌현황'!F:F,INDEX($L$20:$L$95,MATCH(LARGE($N$20:$N$95,31),$N$20:$N$95,0))),"")</f>
        <v/>
      </c>
      <c r="G50" s="313">
        <f>IFERROR(INDEX('계좌현황'!K:K,INDEX($L$20:$L$95,MATCH(LARGE($N$20:$N$95,31),$N$20:$N$95,0))),0)</f>
        <v/>
      </c>
      <c r="H50" s="314">
        <f>IF($B$3=0,0,G50/$B$3)</f>
        <v/>
      </c>
      <c r="I50" s="314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91" t="n">
        <v>32</v>
      </c>
      <c r="B51" s="291">
        <f>IFERROR(INDEX('계좌현황'!A:A,INDEX($L$20:$L$95,MATCH(LARGE($N$20:$N$95,32),$N$20:$N$95,0))),"")</f>
        <v/>
      </c>
      <c r="C51" s="291">
        <f>IFERROR(INDEX('계좌현황'!C:C,INDEX($L$20:$L$95,MATCH(LARGE($N$20:$N$95,32),$N$20:$N$95,0))),"")</f>
        <v/>
      </c>
      <c r="D51" s="291">
        <f>IFERROR(INDEX('계좌현황'!D:D,INDEX($L$20:$L$95,MATCH(LARGE($N$20:$N$95,32),$N$20:$N$95,0))),"")</f>
        <v/>
      </c>
      <c r="E51" s="291">
        <f>IFERROR(INDEX('계좌현황'!E:E,INDEX($L$20:$L$95,MATCH(LARGE($N$20:$N$95,32),$N$20:$N$95,0))),"")</f>
        <v/>
      </c>
      <c r="F51" s="318">
        <f>IFERROR(INDEX('계좌현황'!F:F,INDEX($L$20:$L$95,MATCH(LARGE($N$20:$N$95,32),$N$20:$N$95,0))),"")</f>
        <v/>
      </c>
      <c r="G51" s="319">
        <f>IFERROR(INDEX('계좌현황'!K:K,INDEX($L$20:$L$95,MATCH(LARGE($N$20:$N$95,32),$N$20:$N$95,0))),0)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1" t="n">
        <v>33</v>
      </c>
      <c r="B52" s="291">
        <f>IFERROR(INDEX('계좌현황'!A:A,INDEX($L$20:$L$95,MATCH(LARGE($N$20:$N$95,33),$N$20:$N$95,0))),"")</f>
        <v/>
      </c>
      <c r="C52" s="291">
        <f>IFERROR(INDEX('계좌현황'!C:C,INDEX($L$20:$L$95,MATCH(LARGE($N$20:$N$95,33),$N$20:$N$95,0))),"")</f>
        <v/>
      </c>
      <c r="D52" s="291">
        <f>IFERROR(INDEX('계좌현황'!D:D,INDEX($L$20:$L$95,MATCH(LARGE($N$20:$N$95,33),$N$20:$N$95,0))),"")</f>
        <v/>
      </c>
      <c r="E52" s="291">
        <f>IFERROR(INDEX('계좌현황'!E:E,INDEX($L$20:$L$95,MATCH(LARGE($N$20:$N$95,33),$N$20:$N$95,0))),"")</f>
        <v/>
      </c>
      <c r="F52" s="318">
        <f>IFERROR(INDEX('계좌현황'!F:F,INDEX($L$20:$L$95,MATCH(LARGE($N$20:$N$95,33),$N$20:$N$95,0))),"")</f>
        <v/>
      </c>
      <c r="G52" s="319">
        <f>IFERROR(INDEX('계좌현황'!K:K,INDEX($L$20:$L$95,MATCH(LARGE($N$20:$N$95,33),$N$20:$N$95,0))),0)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8" t="n">
        <v>34</v>
      </c>
      <c r="B53" s="288">
        <f>IFERROR(INDEX('계좌현황'!A:A,INDEX($L$20:$L$95,MATCH(LARGE($N$20:$N$95,34),$N$20:$N$95,0))),"")</f>
        <v/>
      </c>
      <c r="C53" s="288">
        <f>IFERROR(INDEX('계좌현황'!C:C,INDEX($L$20:$L$95,MATCH(LARGE($N$20:$N$95,34),$N$20:$N$95,0))),"")</f>
        <v/>
      </c>
      <c r="D53" s="288">
        <f>IFERROR(INDEX('계좌현황'!D:D,INDEX($L$20:$L$95,MATCH(LARGE($N$20:$N$95,34),$N$20:$N$95,0))),"")</f>
        <v/>
      </c>
      <c r="E53" s="288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8" t="n">
        <v>35</v>
      </c>
      <c r="B54" s="288">
        <f>IFERROR(INDEX('계좌현황'!A:A,INDEX($L$20:$L$95,MATCH(LARGE($N$20:$N$95,35),$N$20:$N$95,0))),"")</f>
        <v/>
      </c>
      <c r="C54" s="288">
        <f>IFERROR(INDEX('계좌현황'!C:C,INDEX($L$20:$L$95,MATCH(LARGE($N$20:$N$95,35),$N$20:$N$95,0))),"")</f>
        <v/>
      </c>
      <c r="D54" s="288">
        <f>IFERROR(INDEX('계좌현황'!D:D,INDEX($L$20:$L$95,MATCH(LARGE($N$20:$N$95,35),$N$20:$N$95,0))),"")</f>
        <v/>
      </c>
      <c r="E54" s="288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1" t="n">
        <v>36</v>
      </c>
      <c r="B55" s="291">
        <f>IFERROR(INDEX('계좌현황'!A:A,INDEX($L$20:$L$95,MATCH(LARGE($N$20:$N$95,36),$N$20:$N$95,0))),"")</f>
        <v/>
      </c>
      <c r="C55" s="291">
        <f>IFERROR(INDEX('계좌현황'!C:C,INDEX($L$20:$L$95,MATCH(LARGE($N$20:$N$95,36),$N$20:$N$95,0))),"")</f>
        <v/>
      </c>
      <c r="D55" s="291">
        <f>IFERROR(INDEX('계좌현황'!D:D,INDEX($L$20:$L$95,MATCH(LARGE($N$20:$N$95,36),$N$20:$N$95,0))),"")</f>
        <v/>
      </c>
      <c r="E55" s="291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1" t="n">
        <v>37</v>
      </c>
      <c r="B56" s="291">
        <f>IFERROR(INDEX('계좌현황'!A:A,INDEX($L$20:$L$95,MATCH(LARGE($N$20:$N$95,37),$N$20:$N$95,0))),"")</f>
        <v/>
      </c>
      <c r="C56" s="291">
        <f>IFERROR(INDEX('계좌현황'!C:C,INDEX($L$20:$L$95,MATCH(LARGE($N$20:$N$95,37),$N$20:$N$95,0))),"")</f>
        <v/>
      </c>
      <c r="D56" s="291">
        <f>IFERROR(INDEX('계좌현황'!D:D,INDEX($L$20:$L$95,MATCH(LARGE($N$20:$N$95,37),$N$20:$N$95,0))),"")</f>
        <v/>
      </c>
      <c r="E56" s="291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1" t="n">
        <v>38</v>
      </c>
      <c r="B57" s="291">
        <f>IFERROR(INDEX('계좌현황'!A:A,INDEX($L$20:$L$95,MATCH(LARGE($N$20:$N$95,38),$N$20:$N$95,0))),"")</f>
        <v/>
      </c>
      <c r="C57" s="291">
        <f>IFERROR(INDEX('계좌현황'!C:C,INDEX($L$20:$L$95,MATCH(LARGE($N$20:$N$95,38),$N$20:$N$95,0))),"")</f>
        <v/>
      </c>
      <c r="D57" s="291">
        <f>IFERROR(INDEX('계좌현황'!D:D,INDEX($L$20:$L$95,MATCH(LARGE($N$20:$N$95,38),$N$20:$N$95,0))),"")</f>
        <v/>
      </c>
      <c r="E57" s="291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8" t="n">
        <v>39</v>
      </c>
      <c r="B58" s="288">
        <f>IFERROR(INDEX('계좌현황'!A:A,INDEX($L$20:$L$95,MATCH(LARGE($N$20:$N$95,39),$N$20:$N$95,0))),"")</f>
        <v/>
      </c>
      <c r="C58" s="288">
        <f>IFERROR(INDEX('계좌현황'!C:C,INDEX($L$20:$L$95,MATCH(LARGE($N$20:$N$95,39),$N$20:$N$95,0))),"")</f>
        <v/>
      </c>
      <c r="D58" s="288">
        <f>IFERROR(INDEX('계좌현황'!D:D,INDEX($L$20:$L$95,MATCH(LARGE($N$20:$N$95,39),$N$20:$N$95,0))),"")</f>
        <v/>
      </c>
      <c r="E58" s="288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8" t="n">
        <v>40</v>
      </c>
      <c r="B59" s="288">
        <f>IFERROR(INDEX('계좌현황'!A:A,INDEX($L$20:$L$95,MATCH(LARGE($N$20:$N$95,40),$N$20:$N$95,0))),"")</f>
        <v/>
      </c>
      <c r="C59" s="288">
        <f>IFERROR(INDEX('계좌현황'!C:C,INDEX($L$20:$L$95,MATCH(LARGE($N$20:$N$95,40),$N$20:$N$95,0))),"")</f>
        <v/>
      </c>
      <c r="D59" s="288">
        <f>IFERROR(INDEX('계좌현황'!D:D,INDEX($L$20:$L$95,MATCH(LARGE($N$20:$N$95,40),$N$20:$N$95,0))),"")</f>
        <v/>
      </c>
      <c r="E59" s="288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8" t="n">
        <v>41</v>
      </c>
      <c r="B60" s="288">
        <f>IFERROR(INDEX('계좌현황'!A:A,INDEX($L$20:$L$95,MATCH(LARGE($N$20:$N$95,41),$N$20:$N$95,0))),"")</f>
        <v/>
      </c>
      <c r="C60" s="288">
        <f>IFERROR(INDEX('계좌현황'!C:C,INDEX($L$20:$L$95,MATCH(LARGE($N$20:$N$95,41),$N$20:$N$95,0))),"")</f>
        <v/>
      </c>
      <c r="D60" s="288">
        <f>IFERROR(INDEX('계좌현황'!D:D,INDEX($L$20:$L$95,MATCH(LARGE($N$20:$N$95,41),$N$20:$N$95,0))),"")</f>
        <v/>
      </c>
      <c r="E60" s="288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1" t="n">
        <v>42</v>
      </c>
      <c r="B61" s="291">
        <f>IFERROR(INDEX('계좌현황'!A:A,INDEX($L$20:$L$95,MATCH(LARGE($N$20:$N$95,42),$N$20:$N$95,0))),"")</f>
        <v/>
      </c>
      <c r="C61" s="291">
        <f>IFERROR(INDEX('계좌현황'!C:C,INDEX($L$20:$L$95,MATCH(LARGE($N$20:$N$95,42),$N$20:$N$95,0))),"")</f>
        <v/>
      </c>
      <c r="D61" s="291">
        <f>IFERROR(INDEX('계좌현황'!D:D,INDEX($L$20:$L$95,MATCH(LARGE($N$20:$N$95,42),$N$20:$N$95,0))),"")</f>
        <v/>
      </c>
      <c r="E61" s="291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1" t="n">
        <v>44</v>
      </c>
      <c r="B63" s="291">
        <f>IFERROR(INDEX('계좌현황'!A:A,INDEX($L$20:$L$95,MATCH(LARGE($N$20:$N$95,44),$N$20:$N$95,0))),"")</f>
        <v/>
      </c>
      <c r="C63" s="291">
        <f>IFERROR(INDEX('계좌현황'!C:C,INDEX($L$20:$L$95,MATCH(LARGE($N$20:$N$95,44),$N$20:$N$95,0))),"")</f>
        <v/>
      </c>
      <c r="D63" s="291">
        <f>IFERROR(INDEX('계좌현황'!D:D,INDEX($L$20:$L$95,MATCH(LARGE($N$20:$N$95,44),$N$20:$N$95,0))),"")</f>
        <v/>
      </c>
      <c r="E63" s="291">
        <f>IFERROR(INDEX('계좌현황'!E:E,INDEX($L$20:$L$95,MATCH(LARGE($N$20:$N$95,44),$N$20:$N$95,0))),"")</f>
        <v/>
      </c>
      <c r="F63" s="318">
        <f>IFERROR(INDEX('계좌현황'!F:F,INDEX($L$20:$L$95,MATCH(LARGE($N$20:$N$95,44),$N$20:$N$95,0))),"")</f>
        <v/>
      </c>
      <c r="G63" s="319">
        <f>IFERROR(INDEX('계좌현황'!K:K,INDEX($L$20:$L$95,MATCH(LARGE($N$20:$N$95,44),$N$20:$N$95,0))),0)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1" t="n">
        <v>45</v>
      </c>
      <c r="B64" s="291">
        <f>IFERROR(INDEX('계좌현황'!A:A,INDEX($L$20:$L$95,MATCH(LARGE($N$20:$N$95,45),$N$20:$N$95,0))),"")</f>
        <v/>
      </c>
      <c r="C64" s="291">
        <f>IFERROR(INDEX('계좌현황'!C:C,INDEX($L$20:$L$95,MATCH(LARGE($N$20:$N$95,45),$N$20:$N$95,0))),"")</f>
        <v/>
      </c>
      <c r="D64" s="291">
        <f>IFERROR(INDEX('계좌현황'!D:D,INDEX($L$20:$L$95,MATCH(LARGE($N$20:$N$95,45),$N$20:$N$95,0))),"")</f>
        <v/>
      </c>
      <c r="E64" s="291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1" t="n">
        <v>46</v>
      </c>
      <c r="B65" s="291">
        <f>IFERROR(INDEX('계좌현황'!A:A,INDEX($L$20:$L$95,MATCH(LARGE($N$20:$N$95,46),$N$20:$N$95,0))),"")</f>
        <v/>
      </c>
      <c r="C65" s="291">
        <f>IFERROR(INDEX('계좌현황'!C:C,INDEX($L$20:$L$95,MATCH(LARGE($N$20:$N$95,46),$N$20:$N$95,0))),"")</f>
        <v/>
      </c>
      <c r="D65" s="291">
        <f>IFERROR(INDEX('계좌현황'!D:D,INDEX($L$20:$L$95,MATCH(LARGE($N$20:$N$95,46),$N$20:$N$95,0))),"")</f>
        <v/>
      </c>
      <c r="E65" s="291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1" t="n">
        <v>47</v>
      </c>
      <c r="B66" s="291">
        <f>IFERROR(INDEX('계좌현황'!A:A,INDEX($L$20:$L$95,MATCH(LARGE($N$20:$N$95,47),$N$20:$N$95,0))),"")</f>
        <v/>
      </c>
      <c r="C66" s="291">
        <f>IFERROR(INDEX('계좌현황'!C:C,INDEX($L$20:$L$95,MATCH(LARGE($N$20:$N$95,47),$N$20:$N$95,0))),"")</f>
        <v/>
      </c>
      <c r="D66" s="291">
        <f>IFERROR(INDEX('계좌현황'!D:D,INDEX($L$20:$L$95,MATCH(LARGE($N$20:$N$95,47),$N$20:$N$95,0))),"")</f>
        <v/>
      </c>
      <c r="E66" s="291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1" t="n">
        <v>48</v>
      </c>
      <c r="B67" s="291">
        <f>IFERROR(INDEX('계좌현황'!A:A,INDEX($L$20:$L$95,MATCH(LARGE($N$20:$N$95,48),$N$20:$N$95,0))),"")</f>
        <v/>
      </c>
      <c r="C67" s="291">
        <f>IFERROR(INDEX('계좌현황'!C:C,INDEX($L$20:$L$95,MATCH(LARGE($N$20:$N$95,48),$N$20:$N$95,0))),"")</f>
        <v/>
      </c>
      <c r="D67" s="291">
        <f>IFERROR(INDEX('계좌현황'!D:D,INDEX($L$20:$L$95,MATCH(LARGE($N$20:$N$95,48),$N$20:$N$95,0))),"")</f>
        <v/>
      </c>
      <c r="E67" s="291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1" t="n">
        <v>49</v>
      </c>
      <c r="B68" s="291">
        <f>IFERROR(INDEX('계좌현황'!A:A,INDEX($L$20:$L$95,MATCH(LARGE($N$20:$N$95,49),$N$20:$N$95,0))),"")</f>
        <v/>
      </c>
      <c r="C68" s="291">
        <f>IFERROR(INDEX('계좌현황'!C:C,INDEX($L$20:$L$95,MATCH(LARGE($N$20:$N$95,49),$N$20:$N$95,0))),"")</f>
        <v/>
      </c>
      <c r="D68" s="291">
        <f>IFERROR(INDEX('계좌현황'!D:D,INDEX($L$20:$L$95,MATCH(LARGE($N$20:$N$95,49),$N$20:$N$95,0))),"")</f>
        <v/>
      </c>
      <c r="E68" s="291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IFERROR(INDEX('계좌현황'!A:A,INDEX($L$20:$L$95,MATCH(LARGE($N$20:$N$95,51),$N$20:$N$95,0))),"")</f>
        <v/>
      </c>
      <c r="C70" s="288">
        <f>IFERROR(INDEX('계좌현황'!C:C,INDEX($L$20:$L$95,MATCH(LARGE($N$20:$N$95,51),$N$20:$N$95,0))),"")</f>
        <v/>
      </c>
      <c r="D70" s="288">
        <f>IFERROR(INDEX('계좌현황'!D:D,INDEX($L$20:$L$95,MATCH(LARGE($N$20:$N$95,51),$N$20:$N$95,0))),"")</f>
        <v/>
      </c>
      <c r="E70" s="288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1" t="n">
        <v>52</v>
      </c>
      <c r="B71" s="291">
        <f>IFERROR(INDEX('계좌현황'!A:A,INDEX($L$20:$L$95,MATCH(LARGE($N$20:$N$95,52),$N$20:$N$95,0))),"")</f>
        <v/>
      </c>
      <c r="C71" s="291">
        <f>IFERROR(INDEX('계좌현황'!C:C,INDEX($L$20:$L$95,MATCH(LARGE($N$20:$N$95,52),$N$20:$N$95,0))),"")</f>
        <v/>
      </c>
      <c r="D71" s="291">
        <f>IFERROR(INDEX('계좌현황'!D:D,INDEX($L$20:$L$95,MATCH(LARGE($N$20:$N$95,52),$N$20:$N$95,0))),"")</f>
        <v/>
      </c>
      <c r="E71" s="291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1" t="n">
        <v>53</v>
      </c>
      <c r="B72" s="291">
        <f>IFERROR(INDEX('계좌현황'!A:A,INDEX($L$20:$L$95,MATCH(LARGE($N$20:$N$95,53),$N$20:$N$95,0))),"")</f>
        <v/>
      </c>
      <c r="C72" s="291">
        <f>IFERROR(INDEX('계좌현황'!C:C,INDEX($L$20:$L$95,MATCH(LARGE($N$20:$N$95,53),$N$20:$N$95,0))),"")</f>
        <v/>
      </c>
      <c r="D72" s="291">
        <f>IFERROR(INDEX('계좌현황'!D:D,INDEX($L$20:$L$95,MATCH(LARGE($N$20:$N$95,53),$N$20:$N$95,0))),"")</f>
        <v/>
      </c>
      <c r="E72" s="291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1" t="n">
        <v>54</v>
      </c>
      <c r="B73" s="291">
        <f>IFERROR(INDEX('계좌현황'!A:A,INDEX($L$20:$L$95,MATCH(LARGE($N$20:$N$95,54),$N$20:$N$95,0))),"")</f>
        <v/>
      </c>
      <c r="C73" s="291">
        <f>IFERROR(INDEX('계좌현황'!C:C,INDEX($L$20:$L$95,MATCH(LARGE($N$20:$N$95,54),$N$20:$N$95,0))),"")</f>
        <v/>
      </c>
      <c r="D73" s="291">
        <f>IFERROR(INDEX('계좌현황'!D:D,INDEX($L$20:$L$95,MATCH(LARGE($N$20:$N$95,54),$N$20:$N$95,0))),"")</f>
        <v/>
      </c>
      <c r="E73" s="291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1" t="n">
        <v>55</v>
      </c>
      <c r="B74" s="291">
        <f>IFERROR(INDEX('계좌현황'!A:A,INDEX($L$20:$L$95,MATCH(LARGE($N$20:$N$95,55),$N$20:$N$95,0))),"")</f>
        <v/>
      </c>
      <c r="C74" s="291">
        <f>IFERROR(INDEX('계좌현황'!C:C,INDEX($L$20:$L$95,MATCH(LARGE($N$20:$N$95,55),$N$20:$N$95,0))),"")</f>
        <v/>
      </c>
      <c r="D74" s="291">
        <f>IFERROR(INDEX('계좌현황'!D:D,INDEX($L$20:$L$95,MATCH(LARGE($N$20:$N$95,55),$N$20:$N$95,0))),"")</f>
        <v/>
      </c>
      <c r="E74" s="291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1" t="n">
        <v>56</v>
      </c>
      <c r="B75" s="291">
        <f>IFERROR(INDEX('계좌현황'!A:A,INDEX($L$20:$L$95,MATCH(LARGE($N$20:$N$95,56),$N$20:$N$95,0))),"")</f>
        <v/>
      </c>
      <c r="C75" s="291">
        <f>IFERROR(INDEX('계좌현황'!C:C,INDEX($L$20:$L$95,MATCH(LARGE($N$20:$N$95,56),$N$20:$N$95,0))),"")</f>
        <v/>
      </c>
      <c r="D75" s="291">
        <f>IFERROR(INDEX('계좌현황'!D:D,INDEX($L$20:$L$95,MATCH(LARGE($N$20:$N$95,56),$N$20:$N$95,0))),"")</f>
        <v/>
      </c>
      <c r="E75" s="291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1" t="n">
        <v>57</v>
      </c>
      <c r="B76" s="291">
        <f>IFERROR(INDEX('계좌현황'!A:A,INDEX($L$20:$L$95,MATCH(LARGE($N$20:$N$95,57),$N$20:$N$95,0))),"")</f>
        <v/>
      </c>
      <c r="C76" s="291">
        <f>IFERROR(INDEX('계좌현황'!C:C,INDEX($L$20:$L$95,MATCH(LARGE($N$20:$N$95,57),$N$20:$N$95,0))),"")</f>
        <v/>
      </c>
      <c r="D76" s="291">
        <f>IFERROR(INDEX('계좌현황'!D:D,INDEX($L$20:$L$95,MATCH(LARGE($N$20:$N$95,57),$N$20:$N$95,0))),"")</f>
        <v/>
      </c>
      <c r="E76" s="291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1" t="n">
        <v>58</v>
      </c>
      <c r="B77" s="291">
        <f>IFERROR(INDEX('계좌현황'!A:A,INDEX($L$20:$L$95,MATCH(LARGE($N$20:$N$95,58),$N$20:$N$95,0))),"")</f>
        <v/>
      </c>
      <c r="C77" s="291">
        <f>IFERROR(INDEX('계좌현황'!C:C,INDEX($L$20:$L$95,MATCH(LARGE($N$20:$N$95,58),$N$20:$N$95,0))),"")</f>
        <v/>
      </c>
      <c r="D77" s="291">
        <f>IFERROR(INDEX('계좌현황'!D:D,INDEX($L$20:$L$95,MATCH(LARGE($N$20:$N$95,58),$N$20:$N$95,0))),"")</f>
        <v/>
      </c>
      <c r="E77" s="291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1" t="n">
        <v>59</v>
      </c>
      <c r="B78" s="291">
        <f>IFERROR(INDEX('계좌현황'!A:A,INDEX($L$20:$L$95,MATCH(LARGE($N$20:$N$95,59),$N$20:$N$95,0))),"")</f>
        <v/>
      </c>
      <c r="C78" s="291">
        <f>IFERROR(INDEX('계좌현황'!C:C,INDEX($L$20:$L$95,MATCH(LARGE($N$20:$N$95,59),$N$20:$N$95,0))),"")</f>
        <v/>
      </c>
      <c r="D78" s="291">
        <f>IFERROR(INDEX('계좌현황'!D:D,INDEX($L$20:$L$95,MATCH(LARGE($N$20:$N$95,59),$N$20:$N$95,0))),"")</f>
        <v/>
      </c>
      <c r="E78" s="291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1" t="n">
        <v>60</v>
      </c>
      <c r="B79" s="291">
        <f>IFERROR(INDEX('계좌현황'!A:A,INDEX($L$20:$L$95,MATCH(LARGE($N$20:$N$95,60),$N$20:$N$95,0))),"")</f>
        <v/>
      </c>
      <c r="C79" s="291">
        <f>IFERROR(INDEX('계좌현황'!C:C,INDEX($L$20:$L$95,MATCH(LARGE($N$20:$N$95,60),$N$20:$N$95,0))),"")</f>
        <v/>
      </c>
      <c r="D79" s="291">
        <f>IFERROR(INDEX('계좌현황'!D:D,INDEX($L$20:$L$95,MATCH(LARGE($N$20:$N$95,60),$N$20:$N$95,0))),"")</f>
        <v/>
      </c>
      <c r="E79" s="291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1" t="n">
        <v>61</v>
      </c>
      <c r="B80" s="291">
        <f>IFERROR(INDEX('계좌현황'!A:A,INDEX($L$20:$L$95,MATCH(LARGE($N$20:$N$95,61),$N$20:$N$95,0))),"")</f>
        <v/>
      </c>
      <c r="C80" s="291">
        <f>IFERROR(INDEX('계좌현황'!C:C,INDEX($L$20:$L$95,MATCH(LARGE($N$20:$N$95,61),$N$20:$N$95,0))),"")</f>
        <v/>
      </c>
      <c r="D80" s="291">
        <f>IFERROR(INDEX('계좌현황'!D:D,INDEX($L$20:$L$95,MATCH(LARGE($N$20:$N$95,61),$N$20:$N$95,0))),"")</f>
        <v/>
      </c>
      <c r="E80" s="291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1" t="n">
        <v>62</v>
      </c>
      <c r="B81" s="291">
        <f>IFERROR(INDEX('계좌현황'!A:A,INDEX($L$20:$L$95,MATCH(LARGE($N$20:$N$95,62),$N$20:$N$95,0))),"")</f>
        <v/>
      </c>
      <c r="C81" s="291">
        <f>IFERROR(INDEX('계좌현황'!C:C,INDEX($L$20:$L$95,MATCH(LARGE($N$20:$N$95,62),$N$20:$N$95,0))),"")</f>
        <v/>
      </c>
      <c r="D81" s="291">
        <f>IFERROR(INDEX('계좌현황'!D:D,INDEX($L$20:$L$95,MATCH(LARGE($N$20:$N$95,62),$N$20:$N$95,0))),"")</f>
        <v/>
      </c>
      <c r="E81" s="291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1" t="n">
        <v>63</v>
      </c>
      <c r="B82" s="291">
        <f>IFERROR(INDEX('계좌현황'!A:A,INDEX($L$20:$L$95,MATCH(LARGE($N$20:$N$95,63),$N$20:$N$95,0))),"")</f>
        <v/>
      </c>
      <c r="C82" s="291">
        <f>IFERROR(INDEX('계좌현황'!C:C,INDEX($L$20:$L$95,MATCH(LARGE($N$20:$N$95,63),$N$20:$N$95,0))),"")</f>
        <v/>
      </c>
      <c r="D82" s="291">
        <f>IFERROR(INDEX('계좌현황'!D:D,INDEX($L$20:$L$95,MATCH(LARGE($N$20:$N$95,63),$N$20:$N$95,0))),"")</f>
        <v/>
      </c>
      <c r="E82" s="291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3" t="n">
        <v>64</v>
      </c>
      <c r="B83" s="303">
        <f>IFERROR(INDEX('계좌현황'!A:A,INDEX($L$20:$L$95,MATCH(LARGE($N$20:$N$95,64),$N$20:$N$95,0))),"")</f>
        <v/>
      </c>
      <c r="C83" s="303">
        <f>IFERROR(INDEX('계좌현황'!C:C,INDEX($L$20:$L$95,MATCH(LARGE($N$20:$N$95,64),$N$20:$N$95,0))),"")</f>
        <v/>
      </c>
      <c r="D83" s="303">
        <f>IFERROR(INDEX('계좌현황'!D:D,INDEX($L$20:$L$95,MATCH(LARGE($N$20:$N$95,64),$N$20:$N$95,0))),"")</f>
        <v/>
      </c>
      <c r="E83" s="303">
        <f>IFERROR(INDEX('계좌현황'!E:E,INDEX($L$20:$L$95,MATCH(LARGE($N$20:$N$95,64),$N$20:$N$95,0))),"")</f>
        <v/>
      </c>
      <c r="F83" s="327">
        <f>IFERROR(INDEX('계좌현황'!F:F,INDEX($L$20:$L$95,MATCH(LARGE($N$20:$N$95,64),$N$20:$N$95,0))),"")</f>
        <v/>
      </c>
      <c r="G83" s="328">
        <f>IFERROR(INDEX('계좌현황'!K:K,INDEX($L$20:$L$95,MATCH(LARGE($N$20:$N$95,64),$N$20:$N$95,0))),0)</f>
        <v/>
      </c>
      <c r="H83" s="329">
        <f>IF($B$3=0,0,G83/$B$3)</f>
        <v/>
      </c>
      <c r="I83" s="32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1" t="n">
        <v>65</v>
      </c>
      <c r="B84" s="291">
        <f>IFERROR(INDEX('계좌현황'!A:A,INDEX($L$20:$L$95,MATCH(LARGE($N$20:$N$95,65),$N$20:$N$95,0))),"")</f>
        <v/>
      </c>
      <c r="C84" s="291">
        <f>IFERROR(INDEX('계좌현황'!C:C,INDEX($L$20:$L$95,MATCH(LARGE($N$20:$N$95,65),$N$20:$N$95,0))),"")</f>
        <v/>
      </c>
      <c r="D84" s="291">
        <f>IFERROR(INDEX('계좌현황'!D:D,INDEX($L$20:$L$95,MATCH(LARGE($N$20:$N$95,65),$N$20:$N$95,0))),"")</f>
        <v/>
      </c>
      <c r="E84" s="291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1" t="n">
        <v>66</v>
      </c>
      <c r="B85" s="291">
        <f>IFERROR(INDEX('계좌현황'!A:A,INDEX($L$20:$L$95,MATCH(LARGE($N$20:$N$95,66),$N$20:$N$95,0))),"")</f>
        <v/>
      </c>
      <c r="C85" s="291">
        <f>IFERROR(INDEX('계좌현황'!C:C,INDEX($L$20:$L$95,MATCH(LARGE($N$20:$N$95,66),$N$20:$N$95,0))),"")</f>
        <v/>
      </c>
      <c r="D85" s="291">
        <f>IFERROR(INDEX('계좌현황'!D:D,INDEX($L$20:$L$95,MATCH(LARGE($N$20:$N$95,66),$N$20:$N$95,0))),"")</f>
        <v/>
      </c>
      <c r="E85" s="291">
        <f>IFERROR(INDEX('계좌현황'!E:E,INDEX($L$20:$L$95,MATCH(LARGE($N$20:$N$95,66),$N$20:$N$95,0))),"")</f>
        <v/>
      </c>
      <c r="F85" s="318">
        <f>IFERROR(INDEX('계좌현황'!F:F,INDEX($L$20:$L$95,MATCH(LARGE($N$20:$N$95,66),$N$20:$N$95,0))),"")</f>
        <v/>
      </c>
      <c r="G85" s="319">
        <f>IFERROR(INDEX('계좌현황'!K:K,INDEX($L$20:$L$95,MATCH(LARGE($N$20:$N$95,66),$N$20:$N$95,0))),0)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3" t="n">
        <v>67</v>
      </c>
      <c r="B86" s="303">
        <f>IFERROR(INDEX('계좌현황'!A:A,INDEX($L$20:$L$95,MATCH(LARGE($N$20:$N$95,67),$N$20:$N$95,0))),"")</f>
        <v/>
      </c>
      <c r="C86" s="303">
        <f>IFERROR(INDEX('계좌현황'!C:C,INDEX($L$20:$L$95,MATCH(LARGE($N$20:$N$95,67),$N$20:$N$95,0))),"")</f>
        <v/>
      </c>
      <c r="D86" s="303">
        <f>IFERROR(INDEX('계좌현황'!D:D,INDEX($L$20:$L$95,MATCH(LARGE($N$20:$N$95,67),$N$20:$N$95,0))),"")</f>
        <v/>
      </c>
      <c r="E86" s="303">
        <f>IFERROR(INDEX('계좌현황'!E:E,INDEX($L$20:$L$95,MATCH(LARGE($N$20:$N$95,67),$N$20:$N$95,0))),"")</f>
        <v/>
      </c>
      <c r="F86" s="327">
        <f>IFERROR(INDEX('계좌현황'!F:F,INDEX($L$20:$L$95,MATCH(LARGE($N$20:$N$95,67),$N$20:$N$95,0))),"")</f>
        <v/>
      </c>
      <c r="G86" s="328">
        <f>IFERROR(INDEX('계좌현황'!K:K,INDEX($L$20:$L$95,MATCH(LARGE($N$20:$N$95,67),$N$20:$N$95,0))),0)</f>
        <v/>
      </c>
      <c r="H86" s="329">
        <f>IF($B$3=0,0,G86/$B$3)</f>
        <v/>
      </c>
      <c r="I86" s="329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1" t="n">
        <v>68</v>
      </c>
      <c r="B87" s="291">
        <f>IFERROR(INDEX('계좌현황'!A:A,INDEX($L$20:$L$95,MATCH(LARGE($N$20:$N$95,68),$N$20:$N$95,0))),"")</f>
        <v/>
      </c>
      <c r="C87" s="291">
        <f>IFERROR(INDEX('계좌현황'!C:C,INDEX($L$20:$L$95,MATCH(LARGE($N$20:$N$95,68),$N$20:$N$95,0))),"")</f>
        <v/>
      </c>
      <c r="D87" s="291">
        <f>IFERROR(INDEX('계좌현황'!D:D,INDEX($L$20:$L$95,MATCH(LARGE($N$20:$N$95,68),$N$20:$N$95,0))),"")</f>
        <v/>
      </c>
      <c r="E87" s="291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3" t="n">
        <v>69</v>
      </c>
      <c r="B88" s="303">
        <f>IFERROR(INDEX('계좌현황'!A:A,INDEX($L$20:$L$95,MATCH(LARGE($N$20:$N$95,69),$N$20:$N$95,0))),"")</f>
        <v/>
      </c>
      <c r="C88" s="303">
        <f>IFERROR(INDEX('계좌현황'!C:C,INDEX($L$20:$L$95,MATCH(LARGE($N$20:$N$95,69),$N$20:$N$95,0))),"")</f>
        <v/>
      </c>
      <c r="D88" s="303">
        <f>IFERROR(INDEX('계좌현황'!D:D,INDEX($L$20:$L$95,MATCH(LARGE($N$20:$N$95,69),$N$20:$N$95,0))),"")</f>
        <v/>
      </c>
      <c r="E88" s="303">
        <f>IFERROR(INDEX('계좌현황'!E:E,INDEX($L$20:$L$95,MATCH(LARGE($N$20:$N$95,69),$N$20:$N$95,0))),"")</f>
        <v/>
      </c>
      <c r="F88" s="327">
        <f>IFERROR(INDEX('계좌현황'!F:F,INDEX($L$20:$L$95,MATCH(LARGE($N$20:$N$95,69),$N$20:$N$95,0))),"")</f>
        <v/>
      </c>
      <c r="G88" s="328">
        <f>IFERROR(INDEX('계좌현황'!K:K,INDEX($L$20:$L$95,MATCH(LARGE($N$20:$N$95,69),$N$20:$N$95,0))),0)</f>
        <v/>
      </c>
      <c r="H88" s="329">
        <f>IF($B$3=0,0,G88/$B$3)</f>
        <v/>
      </c>
      <c r="I88" s="32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1" t="n">
        <v>70</v>
      </c>
      <c r="B89" s="291">
        <f>IFERROR(INDEX('계좌현황'!A:A,INDEX($L$20:$L$95,MATCH(LARGE($N$20:$N$95,70),$N$20:$N$95,0))),"")</f>
        <v/>
      </c>
      <c r="C89" s="291">
        <f>IFERROR(INDEX('계좌현황'!C:C,INDEX($L$20:$L$95,MATCH(LARGE($N$20:$N$95,70),$N$20:$N$95,0))),"")</f>
        <v/>
      </c>
      <c r="D89" s="291">
        <f>IFERROR(INDEX('계좌현황'!D:D,INDEX($L$20:$L$95,MATCH(LARGE($N$20:$N$95,70),$N$20:$N$95,0))),"")</f>
        <v/>
      </c>
      <c r="E89" s="291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1" t="n">
        <v>71</v>
      </c>
      <c r="B90" s="291">
        <f>IFERROR(INDEX('계좌현황'!A:A,INDEX($L$20:$L$95,MATCH(LARGE($N$20:$N$95,71),$N$20:$N$95,0))),"")</f>
        <v/>
      </c>
      <c r="C90" s="291">
        <f>IFERROR(INDEX('계좌현황'!C:C,INDEX($L$20:$L$95,MATCH(LARGE($N$20:$N$95,71),$N$20:$N$95,0))),"")</f>
        <v/>
      </c>
      <c r="D90" s="291">
        <f>IFERROR(INDEX('계좌현황'!D:D,INDEX($L$20:$L$95,MATCH(LARGE($N$20:$N$95,71),$N$20:$N$95,0))),"")</f>
        <v/>
      </c>
      <c r="E90" s="291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1" t="n">
        <v>72</v>
      </c>
      <c r="B91" s="291">
        <f>IFERROR(INDEX('계좌현황'!A:A,INDEX($L$20:$L$95,MATCH(LARGE($N$20:$N$95,72),$N$20:$N$95,0))),"")</f>
        <v/>
      </c>
      <c r="C91" s="291">
        <f>IFERROR(INDEX('계좌현황'!C:C,INDEX($L$20:$L$95,MATCH(LARGE($N$20:$N$95,72),$N$20:$N$95,0))),"")</f>
        <v/>
      </c>
      <c r="D91" s="291">
        <f>IFERROR(INDEX('계좌현황'!D:D,INDEX($L$20:$L$95,MATCH(LARGE($N$20:$N$95,72),$N$20:$N$95,0))),"")</f>
        <v/>
      </c>
      <c r="E91" s="291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1" t="n">
        <v>73</v>
      </c>
      <c r="B92" s="291">
        <f>IFERROR(INDEX('계좌현황'!A:A,INDEX($L$20:$L$95,MATCH(LARGE($N$20:$N$95,73),$N$20:$N$95,0))),"")</f>
        <v/>
      </c>
      <c r="C92" s="291">
        <f>IFERROR(INDEX('계좌현황'!C:C,INDEX($L$20:$L$95,MATCH(LARGE($N$20:$N$95,73),$N$20:$N$95,0))),"")</f>
        <v/>
      </c>
      <c r="D92" s="291">
        <f>IFERROR(INDEX('계좌현황'!D:D,INDEX($L$20:$L$95,MATCH(LARGE($N$20:$N$95,73),$N$20:$N$95,0))),"")</f>
        <v/>
      </c>
      <c r="E92" s="291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1" t="n">
        <v>74</v>
      </c>
      <c r="B93" s="291">
        <f>IFERROR(INDEX('계좌현황'!A:A,INDEX($L$20:$L$95,MATCH(LARGE($N$20:$N$95,74),$N$20:$N$95,0))),"")</f>
        <v/>
      </c>
      <c r="C93" s="291">
        <f>IFERROR(INDEX('계좌현황'!C:C,INDEX($L$20:$L$95,MATCH(LARGE($N$20:$N$95,74),$N$20:$N$95,0))),"")</f>
        <v/>
      </c>
      <c r="D93" s="291">
        <f>IFERROR(INDEX('계좌현황'!D:D,INDEX($L$20:$L$95,MATCH(LARGE($N$20:$N$95,74),$N$20:$N$95,0))),"")</f>
        <v/>
      </c>
      <c r="E93" s="291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4" t="n">
        <v>75</v>
      </c>
      <c r="B94" s="294">
        <f>IFERROR(INDEX('계좌현황'!A:A,INDEX($L$20:$L$95,MATCH(LARGE($N$20:$N$95,75),$N$20:$N$95,0))),"")</f>
        <v/>
      </c>
      <c r="C94" s="294">
        <f>IFERROR(INDEX('계좌현황'!C:C,INDEX($L$20:$L$95,MATCH(LARGE($N$20:$N$95,75),$N$20:$N$95,0))),"")</f>
        <v/>
      </c>
      <c r="D94" s="294">
        <f>IFERROR(INDEX('계좌현황'!D:D,INDEX($L$20:$L$95,MATCH(LARGE($N$20:$N$95,75),$N$20:$N$95,0))),"")</f>
        <v/>
      </c>
      <c r="E94" s="294">
        <f>IFERROR(INDEX('계좌현황'!E:E,INDEX($L$20:$L$95,MATCH(LARGE($N$20:$N$95,75),$N$20:$N$95,0))),"")</f>
        <v/>
      </c>
      <c r="F94" s="330">
        <f>IFERROR(INDEX('계좌현황'!F:F,INDEX($L$20:$L$95,MATCH(LARGE($N$20:$N$95,75),$N$20:$N$95,0))),"")</f>
        <v/>
      </c>
      <c r="G94" s="331">
        <f>IFERROR(INDEX('계좌현황'!K:K,INDEX($L$20:$L$95,MATCH(LARGE($N$20:$N$95,75),$N$20:$N$95,0))),0)</f>
        <v/>
      </c>
      <c r="H94" s="332">
        <f>IF($B$3=0,0,G94/$B$3)</f>
        <v/>
      </c>
      <c r="I94" s="332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300" t="n">
        <v>76</v>
      </c>
      <c r="B95" s="300">
        <f>IFERROR(INDEX('계좌현황'!A:A,INDEX($L$20:$L$95,MATCH(LARGE($N$20:$N$95,76),$N$20:$N$95,0))),"")</f>
        <v/>
      </c>
      <c r="C95" s="300">
        <f>IFERROR(INDEX('계좌현황'!C:C,INDEX($L$20:$L$95,MATCH(LARGE($N$20:$N$95,76),$N$20:$N$95,0))),"")</f>
        <v/>
      </c>
      <c r="D95" s="300">
        <f>IFERROR(INDEX('계좌현황'!D:D,INDEX($L$20:$L$95,MATCH(LARGE($N$20:$N$95,76),$N$20:$N$95,0))),"")</f>
        <v/>
      </c>
      <c r="E95" s="300">
        <f>IFERROR(INDEX('계좌현황'!E:E,INDEX($L$20:$L$95,MATCH(LARGE($N$20:$N$95,76),$N$20:$N$95,0))),"")</f>
        <v/>
      </c>
      <c r="F95" s="333">
        <f>IFERROR(INDEX('계좌현황'!F:F,INDEX($L$20:$L$95,MATCH(LARGE($N$20:$N$95,76),$N$20:$N$95,0))),"")</f>
        <v/>
      </c>
      <c r="G95" s="334">
        <f>IFERROR(INDEX('계좌현황'!K:K,INDEX($L$20:$L$95,MATCH(LARGE($N$20:$N$95,76),$N$20:$N$95,0))),0)</f>
        <v/>
      </c>
      <c r="H95" s="335">
        <f>IF($B$3=0,0,G95/$B$3)</f>
        <v/>
      </c>
      <c r="I95" s="335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7" t="inlineStr">
        <is>
          <t>합계</t>
        </is>
      </c>
      <c r="G96" s="336">
        <f>SUM(G20:G95)</f>
        <v/>
      </c>
      <c r="H96" s="337">
        <f>SUM(H20:H95)</f>
        <v/>
      </c>
    </row>
    <row r="99">
      <c r="A99" s="274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5" min="1" max="1"/>
    <col outlineLevel="1" width="12.59765625" customWidth="1" style="205" min="2" max="5"/>
    <col outlineLevel="1" width="11.1328125" customWidth="1" style="205" min="6" max="6"/>
    <col width="15" customWidth="1" style="205" min="7" max="7"/>
    <col width="16.265625" customWidth="1" style="205" min="8" max="8"/>
    <col width="4.3984375" customWidth="1" style="205" min="14" max="16"/>
    <col outlineLevel="1" width="12.59765625" customWidth="1" style="205" min="21" max="33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205">
      <c r="A2" s="204" t="n"/>
      <c r="B2" s="204" t="n"/>
      <c r="C2" s="204" t="n"/>
      <c r="D2" s="204" t="n"/>
      <c r="E2" s="204" t="n"/>
      <c r="F2" s="204" t="n"/>
      <c r="G2" s="16" t="n"/>
      <c r="H2" s="251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205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5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5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3">
        <f t="array" ref="U4">IFERROR(INDEX(지수RAW!$AT$7:$AT$12040,MATCH($D4,지수RAW!$AP$7:$AP$12040,0)-1,1),지수RAW!$AU$4)</f>
        <v/>
      </c>
      <c r="V4" s="253">
        <f>IFERROR(__xludf.DUMMYFUNCTION("iferror(index('지수RAW'!$AL$7:$AL$12040,MATCH($D4,'지수RAW'!$AH$7:$AH$12040,0)-1,1),GOOGLEFINANCE(V$2))"),13880.99)</f>
        <v/>
      </c>
      <c r="W4" s="25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5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3">
        <f t="array" ref="U5">IFERROR(INDEX(지수RAW!$AT$7:$AT$12040,MATCH($D5,지수RAW!$AP$7:$AP$12040,0)-1,1),지수RAW!$AU$4)</f>
        <v/>
      </c>
      <c r="V5" s="253">
        <f>IFERROR(__xludf.DUMMYFUNCTION("iferror(index('지수RAW'!$AL$7:$AL$12040,MATCH($D5,'지수RAW'!$AH$7:$AH$12040,0)-1,1),GOOGLEFINANCE(V$2))"),10022.51)</f>
        <v/>
      </c>
      <c r="W5" s="25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5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3">
        <f t="array" ref="U6">IFERROR(INDEX(지수RAW!$AT$7:$AT$12040,MATCH($D6,지수RAW!$AP$7:$AP$12040,0)-1,1),지수RAW!$AU$4)</f>
        <v/>
      </c>
      <c r="V6" s="253">
        <f>IFERROR(__xludf.DUMMYFUNCTION("iferror(index('지수RAW'!$AL$7:$AL$12040,MATCH($D6,'지수RAW'!$AH$7:$AH$12040,0)-1,1),GOOGLEFINANCE(V$2))"),10542.55)</f>
        <v/>
      </c>
      <c r="W6" s="25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5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3">
        <f t="array" ref="U7">IFERROR(INDEX(지수RAW!$AT$7:$AT$12040,MATCH($D7,지수RAW!$AP$7:$AP$12040,0)-1,1),지수RAW!$AU$4)</f>
        <v/>
      </c>
      <c r="V7" s="253">
        <f>IFERROR(__xludf.DUMMYFUNCTION("iferror(index('지수RAW'!$AL$7:$AL$12040,MATCH($D7,'지수RAW'!$AH$7:$AH$12040,0)-1,1),GOOGLEFINANCE(V$2))"),6927.08)</f>
        <v/>
      </c>
      <c r="W7" s="25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5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3">
        <f t="array" ref="U8">IFERROR(INDEX(지수RAW!$AT$7:$AT$12040,MATCH($D8,지수RAW!$AP$7:$AP$12040,0)-1,1),지수RAW!$AU$4)</f>
        <v/>
      </c>
      <c r="V8" s="253">
        <f>IFERROR(__xludf.DUMMYFUNCTION("iferror(index('지수RAW'!$AL$7:$AL$12040,MATCH($D8,'지수RAW'!$AH$7:$AH$12040,0)-1,1),GOOGLEFINANCE(V$2))"),9231.28)</f>
        <v/>
      </c>
      <c r="W8" s="25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5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3">
        <f t="array" ref="U9">IFERROR(INDEX(지수RAW!$AT$7:$AT$12040,MATCH($D9,지수RAW!$AP$7:$AP$12040,0)-1,1),지수RAW!$AU$4)</f>
        <v/>
      </c>
      <c r="V9" s="253">
        <f>IFERROR(__xludf.DUMMYFUNCTION("iferror(index('지수RAW'!$AL$7:$AL$12040,MATCH($D9,'지수RAW'!$AH$7:$AH$12040,0)-1,1),GOOGLEFINANCE(V$2))"),7318.37)</f>
        <v/>
      </c>
      <c r="W9" s="25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5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3">
        <f t="array" ref="U10">IFERROR(INDEX(지수RAW!$AT$7:$AT$12040,MATCH($D10,지수RAW!$AP$7:$AP$12040,0)-1,1),지수RAW!$AU$4)</f>
        <v/>
      </c>
      <c r="V10" s="253">
        <f>IFERROR(__xludf.DUMMYFUNCTION("iferror(index('지수RAW'!$AL$7:$AL$12040,MATCH($D10,'지수RAW'!$AH$7:$AH$12040,0)-1,1),GOOGLEFINANCE(V$2))"),6387.27)</f>
        <v/>
      </c>
      <c r="W10" s="25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5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3">
        <f t="array" ref="U11">IFERROR(INDEX(지수RAW!$AT$7:$AT$12040,MATCH($D11,지수RAW!$AP$7:$AP$12040,0)-1,1),지수RAW!$AU$4)</f>
        <v/>
      </c>
      <c r="V11" s="253">
        <f>IFERROR(__xludf.DUMMYFUNCTION("iferror(index('지수RAW'!$AL$7:$AL$12040,MATCH($D11,'지수RAW'!$AH$7:$AH$12040,0)-1,1),GOOGLEFINANCE(V$2))"),7736.32)</f>
        <v/>
      </c>
      <c r="W11" s="25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5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3">
        <f t="array" ref="U12">IFERROR(INDEX(지수RAW!$AT$7:$AT$12040,MATCH($D12,지수RAW!$AP$7:$AP$12040,0)-1,1),지수RAW!$AU$4)</f>
        <v/>
      </c>
      <c r="V12" s="253">
        <f>IFERROR(__xludf.DUMMYFUNCTION("iferror(index('지수RAW'!$AL$7:$AL$12040,MATCH($D12,'지수RAW'!$AH$7:$AH$12040,0)-1,1),GOOGLEFINANCE(V$2))"),7012.26)</f>
        <v/>
      </c>
      <c r="W12" s="25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5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3">
        <f t="array" ref="U13">IFERROR(INDEX(지수RAW!$AT$7:$AT$12040,MATCH($D13,지수RAW!$AP$7:$AP$12040,0)-1,1),지수RAW!$AU$4)</f>
        <v/>
      </c>
      <c r="V13" s="253">
        <f>IFERROR(__xludf.DUMMYFUNCTION("iferror(index('지수RAW'!$AL$7:$AL$12040,MATCH($D13,'지수RAW'!$AH$7:$AH$12040,0)-1,1),GOOGLEFINANCE(V$2))"),6618.76)</f>
        <v/>
      </c>
      <c r="W13" s="25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5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3">
        <f t="array" ref="U14">IFERROR(INDEX(지수RAW!$AT$7:$AT$12040,MATCH($D14,지수RAW!$AP$7:$AP$12040,0)-1,1),지수RAW!$AU$4)</f>
        <v/>
      </c>
      <c r="V14" s="253">
        <f>IFERROR(__xludf.DUMMYFUNCTION("iferror(index('지수RAW'!$AL$7:$AL$12040,MATCH($D14,'지수RAW'!$AH$7:$AH$12040,0)-1,1),GOOGLEFINANCE(V$2))"),6340.38)</f>
        <v/>
      </c>
      <c r="W14" s="25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5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3">
        <f t="array" ref="U15">IFERROR(INDEX(지수RAW!$AT$7:$AT$12040,MATCH($D15,지수RAW!$AP$7:$AP$12040,0)-1,1),지수RAW!$AU$4)</f>
        <v/>
      </c>
      <c r="V15" s="253">
        <f>IFERROR(__xludf.DUMMYFUNCTION("iferror(index('지수RAW'!$AL$7:$AL$12040,MATCH($D15,'지수RAW'!$AH$7:$AH$12040,0)-1,1),GOOGLEFINANCE(V$2))"),4021.237)</f>
        <v/>
      </c>
      <c r="W15" s="25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5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3">
        <f t="array" ref="U16">IFERROR(INDEX(지수RAW!$AT$7:$AT$12040,MATCH($D16,지수RAW!$AP$7:$AP$12040,0)-1,1),지수RAW!$AU$4)</f>
        <v/>
      </c>
      <c r="V16" s="253">
        <f>IFERROR(__xludf.DUMMYFUNCTION("iferror(index('지수RAW'!$AL$7:$AL$12040,MATCH($D16,'지수RAW'!$AH$7:$AH$12040,0)-1,1),GOOGLEFINANCE(V$2))"),3711.907)</f>
        <v/>
      </c>
      <c r="W16" s="25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5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3">
        <f t="array" ref="U17">IFERROR(INDEX(지수RAW!$AT$7:$AT$12040,MATCH($D17,지수RAW!$AP$7:$AP$12040,0)-1,1),지수RAW!$AU$4)</f>
        <v/>
      </c>
      <c r="V17" s="253">
        <f>IFERROR(__xludf.DUMMYFUNCTION("iferror(index('지수RAW'!$AL$7:$AL$12040,MATCH($D17,'지수RAW'!$AH$7:$AH$12040,0)-1,1),GOOGLEFINANCE(V$2))"),3419.343)</f>
        <v/>
      </c>
      <c r="W17" s="25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5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3">
        <f t="array" ref="U18">IFERROR(INDEX(지수RAW!$AT$7:$AT$12040,MATCH($D18,지수RAW!$AP$7:$AP$12040,0)-1,1),지수RAW!$AU$4)</f>
        <v/>
      </c>
      <c r="V18" s="253">
        <f>IFERROR(__xludf.DUMMYFUNCTION("iferror(index('지수RAW'!$AL$7:$AL$12040,MATCH($D18,'지수RAW'!$AH$7:$AH$12040,0)-1,1),GOOGLEFINANCE(V$2))"),3801.876)</f>
        <v/>
      </c>
      <c r="W18" s="25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5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3">
        <f t="array" ref="U19">IFERROR(INDEX(지수RAW!$AT$7:$AT$12040,MATCH($D19,지수RAW!$AP$7:$AP$12040,0)-1,1),지수RAW!$AU$4)</f>
        <v/>
      </c>
      <c r="V19" s="253">
        <f>IFERROR(__xludf.DUMMYFUNCTION("iferror(index('지수RAW'!$AL$7:$AL$12040,MATCH($D19,'지수RAW'!$AH$7:$AH$12040,0)-1,1),GOOGLEFINANCE(V$2))"),4121.252)</f>
        <v/>
      </c>
      <c r="W19" s="25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5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3">
        <f t="array" ref="U20">IFERROR(INDEX(지수RAW!$AT$7:$AT$12040,MATCH($D20,지수RAW!$AP$7:$AP$12040,0)-1,1),지수RAW!$AU$4)</f>
        <v/>
      </c>
      <c r="V20" s="253">
        <f>IFERROR(__xludf.DUMMYFUNCTION("iferror(index('지수RAW'!$AL$7:$AL$12040,MATCH($D20,'지수RAW'!$AH$7:$AH$12040,0)-1,1),GOOGLEFINANCE(V$2))"),5286.545)</f>
        <v/>
      </c>
      <c r="W20" s="25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5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3">
        <f t="array" ref="U21">IFERROR(INDEX(지수RAW!$AT$7:$AT$12040,MATCH($D21,지수RAW!$AP$7:$AP$12040,0)-1,1),지수RAW!$AU$4)</f>
        <v/>
      </c>
      <c r="V21" s="253">
        <f>IFERROR(__xludf.DUMMYFUNCTION("iferror(index('지수RAW'!$AL$7:$AL$12040,MATCH($D21,'지수RAW'!$AH$7:$AH$12040,0)-1,1),GOOGLEFINANCE(V$2))"),8554.387)</f>
        <v/>
      </c>
      <c r="W21" s="25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5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3">
        <f t="array" ref="U22">IFERROR(INDEX(지수RAW!$AT$7:$AT$12040,MATCH($D22,지수RAW!$AP$7:$AP$12040,0)-1,1),지수RAW!$AU$4)</f>
        <v/>
      </c>
      <c r="V22" s="253">
        <f>IFERROR(__xludf.DUMMYFUNCTION("iferror(index('지수RAW'!$AL$7:$AL$12040,MATCH($D22,'지수RAW'!$AH$7:$AH$12040,0)-1,1),GOOGLEFINANCE(V$2))"),10769.18)</f>
        <v/>
      </c>
      <c r="W22" s="25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5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3">
        <f t="array" ref="U23">IFERROR(INDEX(지수RAW!$AT$7:$AT$12040,MATCH($D23,지수RAW!$AP$7:$AP$12040,0)-1,1),지수RAW!$AU$4)</f>
        <v/>
      </c>
      <c r="V23" s="253">
        <f>IFERROR(__xludf.DUMMYFUNCTION("iferror(index('지수RAW'!$AL$7:$AL$12040,MATCH($D23,'지수RAW'!$AH$7:$AH$12040,0)-1,1),GOOGLEFINANCE(V$2))"),10084.75)</f>
        <v/>
      </c>
      <c r="W23" s="25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5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3">
        <f t="array" ref="U24">IFERROR(INDEX(지수RAW!$AT$7:$AT$12040,MATCH($D24,지수RAW!$AP$7:$AP$12040,0)-1,1),지수RAW!$AU$4)</f>
        <v/>
      </c>
      <c r="V24" s="253">
        <f>IFERROR(__xludf.DUMMYFUNCTION("iferror(index('지수RAW'!$AL$7:$AL$12040,MATCH($D24,'지수RAW'!$AH$7:$AH$12040,0)-1,1),GOOGLEFINANCE(V$2))"),9619.062)</f>
        <v/>
      </c>
      <c r="W24" s="25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5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3">
        <f t="array" ref="U25">IFERROR(INDEX(지수RAW!$AT$7:$AT$12040,MATCH($D25,지수RAW!$AP$7:$AP$12040,0)-1,1),지수RAW!$AU$4)</f>
        <v/>
      </c>
      <c r="V25" s="253">
        <f>IFERROR(__xludf.DUMMYFUNCTION("iferror(index('지수RAW'!$AL$7:$AL$12040,MATCH($D25,'지수RAW'!$AH$7:$AH$12040,0)-1,1),GOOGLEFINANCE(V$2))"),8296.118)</f>
        <v/>
      </c>
      <c r="W25" s="25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5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3">
        <f t="array" ref="U26">IFERROR(INDEX(지수RAW!$AT$7:$AT$12040,MATCH($D26,지수RAW!$AP$7:$AP$12040,0)-1,1),지수RAW!$AU$4)</f>
        <v/>
      </c>
      <c r="V26" s="253">
        <f>IFERROR(__xludf.DUMMYFUNCTION("iferror(index('지수RAW'!$AL$7:$AL$12040,MATCH($D26,'지수RAW'!$AH$7:$AH$12040,0)-1,1),GOOGLEFINANCE(V$2))"),9159.36)</f>
        <v/>
      </c>
      <c r="W26" s="25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5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3">
        <f t="array" ref="U27">IFERROR(INDEX(지수RAW!$AT$7:$AT$12040,MATCH($D27,지수RAW!$AP$7:$AP$12040,0)-1,1),지수RAW!$AU$4)</f>
        <v/>
      </c>
      <c r="V27" s="253">
        <f>IFERROR(__xludf.DUMMYFUNCTION("iferror(index('지수RAW'!$AL$7:$AL$12040,MATCH($D27,'지수RAW'!$AH$7:$AH$12040,0)-1,1),GOOGLEFINANCE(V$2))"),7573.91)</f>
        <v/>
      </c>
      <c r="W27" s="25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5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3">
        <f t="array" ref="U28">IFERROR(INDEX(지수RAW!$AT$7:$AT$12040,MATCH($D28,지수RAW!$AP$7:$AP$12040,0)-1,1),지수RAW!$AU$4)</f>
        <v/>
      </c>
      <c r="V28" s="253">
        <f>IFERROR(__xludf.DUMMYFUNCTION("iferror(index('지수RAW'!$AL$7:$AL$12040,MATCH($D28,'지수RAW'!$AH$7:$AH$12040,0)-1,1),GOOGLEFINANCE(V$2))"),7174.535)</f>
        <v/>
      </c>
      <c r="W28" s="25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5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3">
        <f t="array" ref="U29">IFERROR(INDEX(지수RAW!$AT$7:$AT$12040,MATCH($D29,지수RAW!$AP$7:$AP$12040,0)-1,1),지수RAW!$AU$4)</f>
        <v/>
      </c>
      <c r="V29" s="253">
        <f>IFERROR(__xludf.DUMMYFUNCTION("iferror(index('지수RAW'!$AL$7:$AL$12040,MATCH($D29,'지수RAW'!$AH$7:$AH$12040,0)-1,1),GOOGLEFINANCE(V$2))"),9338.332)</f>
        <v/>
      </c>
      <c r="W29" s="25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5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3">
        <f t="array" ref="U30">IFERROR(INDEX(지수RAW!$AT$7:$AT$12040,MATCH($D30,지수RAW!$AP$7:$AP$12040,0)-1,1),지수RAW!$AU$4)</f>
        <v/>
      </c>
      <c r="V30" s="253">
        <f>IFERROR(__xludf.DUMMYFUNCTION("iferror(index('지수RAW'!$AL$7:$AL$12040,MATCH($D30,'지수RAW'!$AH$7:$AH$12040,0)-1,1),GOOGLEFINANCE(V$2))"),8531.393)</f>
        <v/>
      </c>
      <c r="W30" s="25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5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3">
        <f t="array" ref="U31">IFERROR(INDEX(지수RAW!$AT$7:$AT$12040,MATCH($D31,지수RAW!$AP$7:$AP$12040,0)-1,1),지수RAW!$AU$4)</f>
        <v/>
      </c>
      <c r="V31" s="253">
        <f>IFERROR(__xludf.DUMMYFUNCTION("iferror(index('지수RAW'!$AL$7:$AL$12040,MATCH($D31,'지수RAW'!$AH$7:$AH$12040,0)-1,1),GOOGLEFINANCE(V$2))"),6422.229)</f>
        <v/>
      </c>
      <c r="W31" s="25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5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3">
        <f t="array" ref="U32">IFERROR(INDEX(지수RAW!$AT$7:$AT$12040,MATCH($D32,지수RAW!$AP$7:$AP$12040,0)-1,1),지수RAW!$AU$4)</f>
        <v/>
      </c>
      <c r="V32" s="253">
        <f>IFERROR(__xludf.DUMMYFUNCTION("iferror(index('지수RAW'!$AL$7:$AL$12040,MATCH($D32,'지수RAW'!$AH$7:$AH$12040,0)-1,1),GOOGLEFINANCE(V$2))"),8631.604)</f>
        <v/>
      </c>
      <c r="W32" s="25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5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3">
        <f t="array" ref="U33">IFERROR(INDEX(지수RAW!$AT$7:$AT$12040,MATCH($D33,지수RAW!$AP$7:$AP$12040,0)-1,1),지수RAW!$AU$4)</f>
        <v/>
      </c>
      <c r="V33" s="253">
        <f>IFERROR(__xludf.DUMMYFUNCTION("iferror(index('지수RAW'!$AL$7:$AL$12040,MATCH($D33,'지수RAW'!$AH$7:$AH$12040,0)-1,1),GOOGLEFINANCE(V$2))"),9447.014)</f>
        <v/>
      </c>
      <c r="W33" s="25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5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3">
        <f t="array" ref="U34">IFERROR(INDEX(지수RAW!$AT$7:$AT$12040,MATCH($D34,지수RAW!$AP$7:$AP$12040,0)-1,1),지수RAW!$AU$4)</f>
        <v/>
      </c>
      <c r="V34" s="253">
        <f>IFERROR(__xludf.DUMMYFUNCTION("iferror(index('지수RAW'!$AL$7:$AL$12040,MATCH($D34,'지수RAW'!$AH$7:$AH$12040,0)-1,1),GOOGLEFINANCE(V$2))"),9136.464)</f>
        <v/>
      </c>
      <c r="W34" s="25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5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3">
        <f t="array" ref="U35">IFERROR(INDEX(지수RAW!$AT$7:$AT$12040,MATCH($D35,지수RAW!$AP$7:$AP$12040,0)-1,1),지수RAW!$AU$4)</f>
        <v/>
      </c>
      <c r="V35" s="253">
        <f>IFERROR(__xludf.DUMMYFUNCTION("iferror(index('지수RAW'!$AL$7:$AL$12040,MATCH($D35,'지수RAW'!$AH$7:$AH$12040,0)-1,1),GOOGLEFINANCE(V$2))"),11350.44)</f>
        <v/>
      </c>
      <c r="W35" s="25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5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3">
        <f t="array" ref="U36">IFERROR(INDEX(지수RAW!$AT$7:$AT$12040,MATCH($D36,지수RAW!$AP$7:$AP$12040,0)-1,1),지수RAW!$AU$4)</f>
        <v/>
      </c>
      <c r="V36" s="253">
        <f>IFERROR(__xludf.DUMMYFUNCTION("iferror(index('지수RAW'!$AL$7:$AL$12040,MATCH($D36,'지수RAW'!$AH$7:$AH$12040,0)-1,1),GOOGLEFINANCE(V$2))"),11656.86)</f>
        <v/>
      </c>
      <c r="W36" s="25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5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3">
        <f t="array" ref="U37">IFERROR(INDEX(지수RAW!$AT$7:$AT$12040,MATCH($D37,지수RAW!$AP$7:$AP$12040,0)-1,1),지수RAW!$AU$4)</f>
        <v/>
      </c>
      <c r="V37" s="253">
        <f>IFERROR(__xludf.DUMMYFUNCTION("iferror(index('지수RAW'!$AL$7:$AL$12040,MATCH($D37,'지수RAW'!$AH$7:$AH$12040,0)-1,1),GOOGLEFINANCE(V$2))"),10779.78)</f>
        <v/>
      </c>
      <c r="W37" s="25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5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3">
        <f t="array" ref="U38">IFERROR(INDEX(지수RAW!$AT$7:$AT$12040,MATCH($D38,지수RAW!$AP$7:$AP$12040,0)-1,1),지수RAW!$AU$4)</f>
        <v/>
      </c>
      <c r="V38" s="253">
        <f>IFERROR(__xludf.DUMMYFUNCTION("iferror(index('지수RAW'!$AL$7:$AL$12040,MATCH($D38,'지수RAW'!$AH$7:$AH$12040,0)-1,1),GOOGLEFINANCE(V$2))"),13798.8)</f>
        <v/>
      </c>
      <c r="W38" s="25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5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3">
        <f t="array" ref="U39">IFERROR(INDEX(지수RAW!$AT$7:$AT$12040,MATCH($D39,지수RAW!$AP$7:$AP$12040,0)-1,1),지수RAW!$AU$4)</f>
        <v/>
      </c>
      <c r="V39" s="253">
        <f>IFERROR(__xludf.DUMMYFUNCTION("iferror(index('지수RAW'!$AL$7:$AL$12040,MATCH($D39,'지수RAW'!$AH$7:$AH$12040,0)-1,1),GOOGLEFINANCE(V$2))"),19704.15)</f>
        <v/>
      </c>
      <c r="W39" s="25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5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3">
        <f t="array" ref="U40">IFERROR(INDEX(지수RAW!$AT$7:$AT$12040,MATCH($D40,지수RAW!$AP$7:$AP$12040,0)-1,1),지수RAW!$AU$4)</f>
        <v/>
      </c>
      <c r="V40" s="253">
        <f>IFERROR(__xludf.DUMMYFUNCTION("iferror(index('지수RAW'!$AL$7:$AL$12040,MATCH($D40,'지수RAW'!$AH$7:$AH$12040,0)-1,1),GOOGLEFINANCE(V$2))"),28943.58)</f>
        <v/>
      </c>
      <c r="W40" s="25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5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3">
        <f t="array" ref="U41">IFERROR(INDEX(지수RAW!$AT$7:$AT$12040,MATCH($D41,지수RAW!$AP$7:$AP$12040,0)-1,1),지수RAW!$AU$4)</f>
        <v/>
      </c>
      <c r="V41" s="253">
        <f>IFERROR(__xludf.DUMMYFUNCTION("iferror(index('지수RAW'!$AL$7:$AL$12040,MATCH($D41,'지수RAW'!$AH$7:$AH$12040,0)-1,1),GOOGLEFINANCE(V$2))"),33119.93)</f>
        <v/>
      </c>
      <c r="W41" s="25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5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3">
        <f t="array" ref="U42">IFERROR(INDEX(지수RAW!$AT$7:$AT$12040,MATCH($D42,지수RAW!$AP$7:$AP$12040,0)-1,1),지수RAW!$AU$4)</f>
        <v/>
      </c>
      <c r="V42" s="253">
        <f>IFERROR(__xludf.DUMMYFUNCTION("iferror(index('지수RAW'!$AL$7:$AL$12040,MATCH($D42,'지수RAW'!$AH$7:$AH$12040,0)-1,1),GOOGLEFINANCE(V$2))"),45203.05)</f>
        <v/>
      </c>
      <c r="W42" s="25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5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3">
        <f t="array" ref="U43">IFERROR(INDEX(지수RAW!$AT$7:$AT$12040,MATCH($D43,지수RAW!$AP$7:$AP$12040,0)-1,1),지수RAW!$AU$4)</f>
        <v/>
      </c>
      <c r="V43" s="253">
        <f>IFERROR(__xludf.DUMMYFUNCTION("iferror(index('지수RAW'!$AL$7:$AL$12040,MATCH($D43,'지수RAW'!$AH$7:$AH$12040,0)-1,1),GOOGLEFINANCE(V$2))"),58794.94)</f>
        <v/>
      </c>
      <c r="W43" s="25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5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3">
        <f t="array" ref="U44">IFERROR(INDEX(지수RAW!$AT$7:$AT$12040,MATCH($D44,지수RAW!$AP$7:$AP$12040,0)-1,1),지수RAW!$AU$4)</f>
        <v/>
      </c>
      <c r="V44" s="253">
        <f>IFERROR(__xludf.DUMMYFUNCTION("iferror(index('지수RAW'!$AL$7:$AL$12040,MATCH($D44,'지수RAW'!$AH$7:$AH$12040,0)-1,1),GOOGLEFINANCE(V$2))"),57766.05)</f>
        <v/>
      </c>
      <c r="W44" s="25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5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3">
        <f t="array" ref="U45">IFERROR(INDEX(지수RAW!$AT$7:$AT$12040,MATCH($D45,지수RAW!$AP$7:$AP$12040,0)-1,1),지수RAW!$AU$4)</f>
        <v/>
      </c>
      <c r="V45" s="253">
        <f>IFERROR(__xludf.DUMMYFUNCTION("iferror(index('지수RAW'!$AL$7:$AL$12040,MATCH($D45,'지수RAW'!$AH$7:$AH$12040,0)-1,1),GOOGLEFINANCE(V$2))"),37309.36)</f>
        <v/>
      </c>
      <c r="W45" s="25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5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3">
        <f t="array" ref="U46">IFERROR(INDEX(지수RAW!$AT$7:$AT$12040,MATCH($D46,지수RAW!$AP$7:$AP$12040,0)-1,1),지수RAW!$AU$4)</f>
        <v/>
      </c>
      <c r="V46" s="253">
        <f>IFERROR(__xludf.DUMMYFUNCTION("iferror(index('지수RAW'!$AL$7:$AL$12040,MATCH($D46,'지수RAW'!$AH$7:$AH$12040,0)-1,1),GOOGLEFINANCE(V$2))"),35031.71)</f>
        <v/>
      </c>
      <c r="W46" s="25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5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3">
        <f t="array" ref="U47">IFERROR(INDEX(지수RAW!$AT$7:$AT$12040,MATCH($D47,지수RAW!$AP$7:$AP$12040,0)-1,1),지수RAW!$AU$4)</f>
        <v/>
      </c>
      <c r="V47" s="253">
        <f>IFERROR(__xludf.DUMMYFUNCTION("iferror(index('지수RAW'!$AL$7:$AL$12040,MATCH($D47,'지수RAW'!$AH$7:$AH$12040,0)-1,1),GOOGLEFINANCE(V$2))"),41538.9)</f>
        <v/>
      </c>
      <c r="W47" s="25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5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3">
        <f t="array" ref="U48">IFERROR(INDEX(지수RAW!$AT$7:$AT$12040,MATCH($D48,지수RAW!$AP$7:$AP$12040,0)-1,1),지수RAW!$AU$4)</f>
        <v/>
      </c>
      <c r="V48" s="253">
        <f>IFERROR(__xludf.DUMMYFUNCTION("iferror(index('지수RAW'!$AL$7:$AL$12040,MATCH($D48,'지수RAW'!$AH$7:$AH$12040,0)-1,1),GOOGLEFINANCE(V$2))"),47135.83)</f>
        <v/>
      </c>
      <c r="W48" s="25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5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3">
        <f t="array" ref="U49">IFERROR(INDEX(지수RAW!$AT$7:$AT$12040,MATCH($D49,지수RAW!$AP$7:$AP$12040,0)-1,1),지수RAW!$AU$4)</f>
        <v/>
      </c>
      <c r="V49" s="253">
        <f>IFERROR(__xludf.DUMMYFUNCTION("iferror(index('지수RAW'!$AL$7:$AL$12040,MATCH($D49,'지수RAW'!$AH$7:$AH$12040,0)-1,1),GOOGLEFINANCE(V$2))"),43788.04)</f>
        <v/>
      </c>
      <c r="W49" s="25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5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3">
        <f t="array" ref="U50">IFERROR(INDEX(지수RAW!$AT$7:$AT$12040,MATCH($D50,지수RAW!$AP$7:$AP$12040,0)-1,1),지수RAW!$AU$4)</f>
        <v/>
      </c>
      <c r="V50" s="253">
        <f>IFERROR(__xludf.DUMMYFUNCTION("iferror(index('지수RAW'!$AL$7:$AL$12040,MATCH($D50,'지수RAW'!$AH$7:$AH$12040,0)-1,1),GOOGLEFINANCE(V$2))"),61340.66)</f>
        <v/>
      </c>
      <c r="W50" s="25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5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3">
        <f t="array" ref="U51">IFERROR(INDEX(지수RAW!$AT$7:$AT$12040,MATCH($D51,지수RAW!$AP$7:$AP$12040,0)-1,1),지수RAW!$AU$4)</f>
        <v/>
      </c>
      <c r="V51" s="253">
        <f>IFERROR(__xludf.DUMMYFUNCTION("iferror(index('지수RAW'!$AL$7:$AL$12040,MATCH($D51,'지수RAW'!$AH$7:$AH$12040,0)-1,1),GOOGLEFINANCE(V$2))"),56959.33)</f>
        <v/>
      </c>
      <c r="W51" s="25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5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3">
        <f t="array" ref="U52">IFERROR(INDEX(지수RAW!$AT$7:$AT$12040,MATCH($D52,지수RAW!$AP$7:$AP$12040,0)-1,1),지수RAW!$AU$4)</f>
        <v/>
      </c>
      <c r="V52" s="253">
        <f>IFERROR(__xludf.DUMMYFUNCTION("iferror(index('지수RAW'!$AL$7:$AL$12040,MATCH($D52,'지수RAW'!$AH$7:$AH$12040,0)-1,1),GOOGLEFINANCE(V$2))"),46203.3)</f>
        <v/>
      </c>
      <c r="W52" s="25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5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3">
        <f t="array" ref="U53">IFERROR(INDEX(지수RAW!$AT$7:$AT$12040,MATCH($D53,지수RAW!$AP$7:$AP$12040,0)-1,1),지수RAW!$AU$4)</f>
        <v/>
      </c>
      <c r="V53" s="253">
        <f>IFERROR(__xludf.DUMMYFUNCTION("iferror(index('지수RAW'!$AL$7:$AL$12040,MATCH($D53,'지수RAW'!$AH$7:$AH$12040,0)-1,1),GOOGLEFINANCE(V$2))"),38494.39)</f>
        <v/>
      </c>
      <c r="W53" s="25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5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3">
        <f t="array" ref="U54">IFERROR(INDEX(지수RAW!$AT$7:$AT$12040,MATCH($D54,지수RAW!$AP$7:$AP$12040,0)-1,1),지수RAW!$AU$4)</f>
        <v/>
      </c>
      <c r="V54" s="253">
        <f>IFERROR(__xludf.DUMMYFUNCTION("iferror(index('지수RAW'!$AL$7:$AL$12040,MATCH($D54,'지수RAW'!$AH$7:$AH$12040,0)-1,1),GOOGLEFINANCE(V$2))"),43193.8)</f>
        <v/>
      </c>
      <c r="W54" s="25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5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3">
        <f t="array" ref="U55">IFERROR(INDEX(지수RAW!$AT$7:$AT$12040,MATCH($D55,지수RAW!$AP$7:$AP$12040,0)-1,1),지수RAW!$AU$4)</f>
        <v/>
      </c>
      <c r="V55" s="253">
        <f>IFERROR(__xludf.DUMMYFUNCTION("iferror(index('지수RAW'!$AL$7:$AL$12040,MATCH($D55,'지수RAW'!$AH$7:$AH$12040,0)-1,1),GOOGLEFINANCE(V$2))"),45521.5)</f>
        <v/>
      </c>
      <c r="W55" s="25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5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3">
        <f t="array" ref="U56">IFERROR(INDEX(지수RAW!$AT$7:$AT$12040,MATCH($D56,지수RAW!$AP$7:$AP$12040,0)-1,1),지수RAW!$AU$4)</f>
        <v/>
      </c>
      <c r="V56" s="253">
        <f>IFERROR(__xludf.DUMMYFUNCTION("iferror(index('지수RAW'!$AL$7:$AL$12040,MATCH($D56,'지수RAW'!$AH$7:$AH$12040,0)-1,1),GOOGLEFINANCE(V$2))"),37648.9)</f>
        <v/>
      </c>
      <c r="W56" s="25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5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3">
        <f t="array" ref="U57">IFERROR(INDEX(지수RAW!$AT$7:$AT$12040,MATCH($D57,지수RAW!$AP$7:$AP$12040,0)-1,1),지수RAW!$AU$4)</f>
        <v/>
      </c>
      <c r="V57" s="253">
        <f>IFERROR(__xludf.DUMMYFUNCTION("iferror(index('지수RAW'!$AL$7:$AL$12040,MATCH($D57,'지수RAW'!$AH$7:$AH$12040,0)-1,1),GOOGLEFINANCE(V$2))"),31772.85)</f>
        <v/>
      </c>
      <c r="W57" s="25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5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3">
        <f t="array" ref="U58">IFERROR(INDEX(지수RAW!$AT$7:$AT$12040,MATCH($D58,지수RAW!$AP$7:$AP$12040,0)-1,1),지수RAW!$AU$4)</f>
        <v/>
      </c>
      <c r="V58" s="253">
        <f>IFERROR(__xludf.DUMMYFUNCTION("iferror(index('지수RAW'!$AL$7:$AL$12040,MATCH($D58,'지수RAW'!$AH$7:$AH$12040,0)-1,1),GOOGLEFINANCE(V$2))"),19913.14)</f>
        <v/>
      </c>
      <c r="W58" s="25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5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3">
        <f t="array" ref="U59">IFERROR(INDEX(지수RAW!$AT$7:$AT$12040,MATCH($D59,지수RAW!$AP$7:$AP$12040,0)-1,1),지수RAW!$AU$4)</f>
        <v/>
      </c>
      <c r="V59" s="253">
        <f>IFERROR(__xludf.DUMMYFUNCTION("iferror(index('지수RAW'!$AL$7:$AL$12040,MATCH($D59,'지수RAW'!$AH$7:$AH$12040,0)-1,1),GOOGLEFINANCE(V$2))"),23308.66)</f>
        <v/>
      </c>
      <c r="W59" s="25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5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3">
        <f t="array" ref="U60">IFERROR(INDEX(지수RAW!$AT$7:$AT$12040,MATCH($D60,지수RAW!$AP$7:$AP$12040,0)-1,1),지수RAW!$AU$4)</f>
        <v/>
      </c>
      <c r="V60" s="253">
        <f>IFERROR(__xludf.DUMMYFUNCTION("iferror(index('지수RAW'!$AL$7:$AL$12040,MATCH($D60,'지수RAW'!$AH$7:$AH$12040,0)-1,1),GOOGLEFINANCE(V$2))"),20049.38)</f>
        <v/>
      </c>
      <c r="W60" s="25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5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3">
        <f t="array" ref="U61">IFERROR(INDEX(지수RAW!$AT$7:$AT$12040,MATCH($D61,지수RAW!$AP$7:$AP$12040,0)-1,1),지수RAW!$AU$4)</f>
        <v/>
      </c>
      <c r="V61" s="253">
        <f>IFERROR(__xludf.DUMMYFUNCTION("iferror(index('지수RAW'!$AL$7:$AL$12040,MATCH($D61,'지수RAW'!$AH$7:$AH$12040,0)-1,1),GOOGLEFINANCE(V$2))"),19424.58)</f>
        <v/>
      </c>
      <c r="W61" s="25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5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3">
        <f t="array" ref="U62">IFERROR(INDEX(지수RAW!$AT$7:$AT$12040,MATCH($D62,지수RAW!$AP$7:$AP$12040,0)-1,1),지수RAW!$AU$4)</f>
        <v/>
      </c>
      <c r="V62" s="253">
        <f>IFERROR(__xludf.DUMMYFUNCTION("iferror(index('지수RAW'!$AL$7:$AL$12040,MATCH($D62,'지수RAW'!$AH$7:$AH$12040,0)-1,1),GOOGLEFINANCE(V$2))"),20492.16)</f>
        <v/>
      </c>
      <c r="W62" s="25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5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3">
        <f t="array" ref="U63">IFERROR(INDEX(지수RAW!$AT$7:$AT$12040,MATCH($D63,지수RAW!$AP$7:$AP$12040,0)-1,1),지수RAW!$AU$4)</f>
        <v/>
      </c>
      <c r="V63" s="253">
        <f>IFERROR(__xludf.DUMMYFUNCTION("iferror(index('지수RAW'!$AL$7:$AL$12040,MATCH($D63,'지수RAW'!$AH$7:$AH$12040,0)-1,1),GOOGLEFINANCE(V$2))"),17162.97)</f>
        <v/>
      </c>
      <c r="W63" s="25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5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3">
        <f t="array" ref="U64">IFERROR(INDEX(지수RAW!$AT$7:$AT$12040,MATCH($D64,지수RAW!$AP$7:$AP$12040,0)-1,1),지수RAW!$AU$4)</f>
        <v/>
      </c>
      <c r="V64" s="253">
        <f>IFERROR(__xludf.DUMMYFUNCTION("iferror(index('지수RAW'!$AL$7:$AL$12040,MATCH($D64,'지수RAW'!$AH$7:$AH$12040,0)-1,1),GOOGLEFINANCE(V$2))"),16529.2)</f>
        <v/>
      </c>
      <c r="W64" s="25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5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3">
        <f t="array" ref="U65">IFERROR(INDEX(지수RAW!$AT$7:$AT$12040,MATCH($D65,지수RAW!$AP$7:$AP$12040,0)-1,1),지수RAW!$AU$4)</f>
        <v/>
      </c>
      <c r="V65" s="253">
        <f>IFERROR(__xludf.DUMMYFUNCTION("iferror(index('지수RAW'!$AL$7:$AL$12040,MATCH($D65,'지수RAW'!$AH$7:$AH$12040,0)-1,1),GOOGLEFINANCE(V$2))"),23129.07)</f>
        <v/>
      </c>
      <c r="W65" s="25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5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3">
        <f t="array" ref="U66">IFERROR(INDEX(지수RAW!$AT$7:$AT$12040,MATCH($D66,지수RAW!$AP$7:$AP$12040,0)-1,1),지수RAW!$AU$4)</f>
        <v/>
      </c>
      <c r="V66" s="253">
        <f>IFERROR(__xludf.DUMMYFUNCTION("iferror(index('지수RAW'!$AL$7:$AL$12040,MATCH($D66,'지수RAW'!$AH$7:$AH$12040,0)-1,1),GOOGLEFINANCE(V$2))"),23131.85)</f>
        <v/>
      </c>
      <c r="W66" s="25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5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3">
        <f t="array" ref="U67">IFERROR(INDEX(지수RAW!$AT$7:$AT$12040,MATCH($D67,지수RAW!$AP$7:$AP$12040,0)-1,1),지수RAW!$AU$4)</f>
        <v/>
      </c>
      <c r="V67" s="253">
        <f>IFERROR(__xludf.DUMMYFUNCTION("iferror(index('지수RAW'!$AL$7:$AL$12040,MATCH($D67,'지수RAW'!$AH$7:$AH$12040,0)-1,1),GOOGLEFINANCE(V$2))"),28474.26)</f>
        <v/>
      </c>
      <c r="W67" s="25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5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3">
        <f t="array" ref="U68">IFERROR(INDEX(지수RAW!$AT$7:$AT$12040,MATCH($D68,지수RAW!$AP$7:$AP$12040,0)-1,1),지수RAW!$AU$4)</f>
        <v/>
      </c>
      <c r="V68" s="253">
        <f>IFERROR(__xludf.DUMMYFUNCTION("iferror(index('지수RAW'!$AL$7:$AL$12040,MATCH($D68,'지수RAW'!$AH$7:$AH$12040,0)-1,1),GOOGLEFINANCE(V$2))"),29253.14)</f>
        <v/>
      </c>
      <c r="W68" s="25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5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3">
        <f t="array" ref="U69">IFERROR(INDEX(지수RAW!$AT$7:$AT$12040,MATCH($D69,지수RAW!$AP$7:$AP$12040,0)-1,1),지수RAW!$AU$4)</f>
        <v/>
      </c>
      <c r="V69" s="253">
        <f>IFERROR(__xludf.DUMMYFUNCTION("iferror(index('지수RAW'!$AL$7:$AL$12040,MATCH($D69,'지수RAW'!$AH$7:$AH$12040,0)-1,1),GOOGLEFINANCE(V$2))"),27218.21)</f>
        <v/>
      </c>
      <c r="W69" s="25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5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3">
        <f t="array" ref="U70">IFERROR(INDEX(지수RAW!$AT$7:$AT$12040,MATCH($D70,지수RAW!$AP$7:$AP$12040,0)-1,1),지수RAW!$AU$4)</f>
        <v/>
      </c>
      <c r="V70" s="253">
        <f>IFERROR(__xludf.DUMMYFUNCTION("iferror(index('지수RAW'!$AL$7:$AL$12040,MATCH($D70,'지수RAW'!$AH$7:$AH$12040,0)-1,1),GOOGLEFINANCE(V$2))"),30472.82)</f>
        <v/>
      </c>
      <c r="W70" s="25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5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3">
        <f t="array" ref="U71">IFERROR(INDEX(지수RAW!$AT$7:$AT$12040,MATCH($D71,지수RAW!$AP$7:$AP$12040,0)-1,1),지수RAW!$AU$4)</f>
        <v/>
      </c>
      <c r="V71" s="253">
        <f>IFERROR(__xludf.DUMMYFUNCTION("iferror(index('지수RAW'!$AL$7:$AL$12040,MATCH($D71,'지수RAW'!$AH$7:$AH$12040,0)-1,1),GOOGLEFINANCE(V$2))"),29244.09)</f>
        <v/>
      </c>
      <c r="W71" s="25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5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3">
        <f t="array" ref="U72">IFERROR(INDEX(지수RAW!$AT$7:$AT$12040,MATCH($D72,지수RAW!$AP$7:$AP$12040,0)-1,1),지수RAW!$AU$4)</f>
        <v/>
      </c>
      <c r="V72" s="253">
        <f>IFERROR(__xludf.DUMMYFUNCTION("iferror(index('지수RAW'!$AL$7:$AL$12040,MATCH($D72,'지수RAW'!$AH$7:$AH$12040,0)-1,1),GOOGLEFINANCE(V$2))"),25936.08)</f>
        <v/>
      </c>
      <c r="W72" s="25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5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3">
        <f t="array" ref="U73">IFERROR(INDEX(지수RAW!$AT$7:$AT$12040,MATCH($D73,지수RAW!$AP$7:$AP$12040,0)-1,1),지수RAW!$AU$4)</f>
        <v/>
      </c>
      <c r="V73" s="253">
        <f>IFERROR(__xludf.DUMMYFUNCTION("iferror(index('지수RAW'!$AL$7:$AL$12040,MATCH($D73,'지수RAW'!$AH$7:$AH$12040,0)-1,1),GOOGLEFINANCE(V$2))"),26968.96)</f>
        <v/>
      </c>
      <c r="W73" s="25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5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3">
        <f t="array" ref="U74">IFERROR(INDEX(지수RAW!$AT$7:$AT$12040,MATCH($D74,지수RAW!$AP$7:$AP$12040,0)-1,1),지수RAW!$AU$4)</f>
        <v/>
      </c>
      <c r="V74" s="253">
        <f>IFERROR(__xludf.DUMMYFUNCTION("iferror(index('지수RAW'!$AL$7:$AL$12040,MATCH($D74,'지수RAW'!$AH$7:$AH$12040,0)-1,1),GOOGLEFINANCE(V$2))"),34661.5)</f>
        <v/>
      </c>
      <c r="W74" s="25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5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3">
        <f t="array" ref="U75">IFERROR(INDEX(지수RAW!$AT$7:$AT$12040,MATCH($D75,지수RAW!$AP$7:$AP$12040,0)-1,1),지수RAW!$AU$4)</f>
        <v/>
      </c>
      <c r="V75" s="253">
        <f>IFERROR(__xludf.DUMMYFUNCTION("iferror(index('지수RAW'!$AL$7:$AL$12040,MATCH($D75,'지수RAW'!$AH$7:$AH$12040,0)-1,1),GOOGLEFINANCE(V$2))"),37723.79)</f>
        <v/>
      </c>
      <c r="W75" s="25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5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3">
        <f t="array" ref="U76">IFERROR(INDEX(지수RAW!$AT$7:$AT$12040,MATCH($D76,지수RAW!$AP$7:$AP$12040,0)-1,1),지수RAW!$AU$4)</f>
        <v/>
      </c>
      <c r="V76" s="253">
        <f>IFERROR(__xludf.DUMMYFUNCTION("iferror(index('지수RAW'!$AL$7:$AL$12040,MATCH($D76,'지수RAW'!$AH$7:$AH$12040,0)-1,1),GOOGLEFINANCE(V$2))"),42291.37)</f>
        <v/>
      </c>
      <c r="W76" s="25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5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3">
        <f t="array" ref="U77">IFERROR(INDEX(지수RAW!$AT$7:$AT$12040,MATCH($D77,지수RAW!$AP$7:$AP$12040,0)-1,1),지수RAW!$AU$4)</f>
        <v/>
      </c>
      <c r="V77" s="253">
        <f>IFERROR(__xludf.DUMMYFUNCTION("iferror(index('지수RAW'!$AL$7:$AL$12040,MATCH($D77,'지수RAW'!$AH$7:$AH$12040,0)-1,1),GOOGLEFINANCE(V$2))"),42582.21)</f>
        <v/>
      </c>
      <c r="W77" s="25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5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3">
        <f t="array" ref="U78">IFERROR(INDEX(지수RAW!$AT$7:$AT$12040,MATCH($D78,지수RAW!$AP$7:$AP$12040,0)-1,1),지수RAW!$AU$4)</f>
        <v/>
      </c>
      <c r="V78" s="253">
        <f>IFERROR(__xludf.DUMMYFUNCTION("iferror(index('지수RAW'!$AL$7:$AL$12040,MATCH($D78,'지수RAW'!$AH$7:$AH$12040,0)-1,1),GOOGLEFINANCE(V$2))"),61253.9)</f>
        <v/>
      </c>
      <c r="W78" s="25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5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3">
        <f t="array" ref="U79">IFERROR(INDEX(지수RAW!$AT$7:$AT$12040,MATCH($D79,지수RAW!$AP$7:$AP$12040,0)-1,1),지수RAW!$AU$4)</f>
        <v/>
      </c>
      <c r="V79" s="253">
        <f>IFERROR(__xludf.DUMMYFUNCTION("iferror(index('지수RAW'!$AL$7:$AL$12040,MATCH($D79,'지수RAW'!$AH$7:$AH$12040,0)-1,1),GOOGLEFINANCE(V$2))"),71341.71)</f>
        <v/>
      </c>
      <c r="W79" s="25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5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3">
        <f t="array" ref="U80">IFERROR(INDEX(지수RAW!$AT$7:$AT$12040,MATCH($D80,지수RAW!$AP$7:$AP$12040,0)-1,1),지수RAW!$AU$4)</f>
        <v/>
      </c>
      <c r="V80" s="253">
        <f>IFERROR(__xludf.DUMMYFUNCTION("iferror(index('지수RAW'!$AL$7:$AL$12040,MATCH($D80,'지수RAW'!$AH$7:$AH$12040,0)-1,1),GOOGLEFINANCE(V$2))"),60751.65)</f>
        <v/>
      </c>
      <c r="W80" s="25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5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3">
        <f t="array" ref="U81">IFERROR(INDEX(지수RAW!$AT$7:$AT$12040,MATCH($D81,지수RAW!$AP$7:$AP$12040,0)-1,1),지수RAW!$AU$4)</f>
        <v/>
      </c>
      <c r="V81" s="253">
        <f>IFERROR(__xludf.DUMMYFUNCTION("iferror(index('지수RAW'!$AL$7:$AL$12040,MATCH($D81,'지수RAW'!$AH$7:$AH$12040,0)-1,1),GOOGLEFINANCE(V$2))"),68571.17)</f>
        <v/>
      </c>
      <c r="W81" s="25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5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3">
        <f t="array" ref="U82">IFERROR(INDEX(지수RAW!$AT$7:$AT$12040,MATCH($D82,지수RAW!$AP$7:$AP$12040,0)-1,1),지수RAW!$AU$4)</f>
        <v/>
      </c>
      <c r="V82" s="253">
        <f>IFERROR(__xludf.DUMMYFUNCTION("iferror(index('지수RAW'!$AL$7:$AL$12040,MATCH($D82,'지수RAW'!$AH$7:$AH$12040,0)-1,1),GOOGLEFINANCE(V$2))"),60860.1)</f>
        <v/>
      </c>
      <c r="W82" s="25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5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3">
        <f t="array" ref="U83">IFERROR(INDEX(지수RAW!$AT$7:$AT$12040,MATCH($D83,지수RAW!$AP$7:$AP$12040,0)-1,1),지수RAW!$AU$4)</f>
        <v/>
      </c>
      <c r="V83" s="253">
        <f>IFERROR(__xludf.DUMMYFUNCTION("iferror(index('지수RAW'!$AL$7:$AL$12040,MATCH($D83,'지수RAW'!$AH$7:$AH$12040,0)-1,1),GOOGLEFINANCE(V$2))"),66110.05)</f>
        <v/>
      </c>
      <c r="W83" s="25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5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3">
        <f t="array" ref="U84">IFERROR(INDEX(지수RAW!$AT$7:$AT$12040,MATCH($D84,지수RAW!$AP$7:$AP$12040,0)-1,1),지수RAW!$AU$4)</f>
        <v/>
      </c>
      <c r="V84" s="253">
        <f>IFERROR(__xludf.DUMMYFUNCTION("iferror(index('지수RAW'!$AL$7:$AL$12040,MATCH($D84,'지수RAW'!$AH$7:$AH$12040,0)-1,1),GOOGLEFINANCE(V$2))"),59244.12)</f>
        <v/>
      </c>
      <c r="W84" s="25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5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3">
        <f t="array" ref="U85">IFERROR(INDEX(지수RAW!$AT$7:$AT$12040,MATCH($D85,지수RAW!$AP$7:$AP$12040,0)-1,1),지수RAW!$AU$4)</f>
        <v/>
      </c>
      <c r="V85" s="253">
        <f>IFERROR(__xludf.DUMMYFUNCTION("iferror(index('지수RAW'!$AL$7:$AL$12040,MATCH($D85,'지수RAW'!$AH$7:$AH$12040,0)-1,1),GOOGLEFINANCE(V$2))"),64544.22)</f>
        <v/>
      </c>
      <c r="W85" s="25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5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3">
        <f t="array" ref="U86">IFERROR(INDEX(지수RAW!$AT$7:$AT$12040,MATCH($D86,지수RAW!$AP$7:$AP$12040,0)-1,1),지수RAW!$AU$4)</f>
        <v/>
      </c>
      <c r="V86" s="253">
        <f>IFERROR(__xludf.DUMMYFUNCTION("iferror(index('지수RAW'!$AL$7:$AL$12040,MATCH($D86,'지수RAW'!$AH$7:$AH$12040,0)-1,1),GOOGLEFINANCE(V$2))"),72327.32)</f>
        <v/>
      </c>
      <c r="W86" s="25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5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3">
        <f t="array" ref="U87">IFERROR(INDEX(지수RAW!$AT$7:$AT$12040,MATCH($D87,지수RAW!$AP$7:$AP$12040,0)-1,1),지수RAW!$AU$4)</f>
        <v/>
      </c>
      <c r="V87" s="253">
        <f>IFERROR(__xludf.DUMMYFUNCTION("iferror(index('지수RAW'!$AL$7:$AL$12040,MATCH($D87,'지수RAW'!$AH$7:$AH$12040,0)-1,1),GOOGLEFINANCE(V$2))"),96716.79)</f>
        <v/>
      </c>
      <c r="W87" s="25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5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3">
        <f t="array" ref="U88">IFERROR(INDEX(지수RAW!$AT$7:$AT$12040,MATCH($D88,지수RAW!$AP$7:$AP$12040,0)-1,1),지수RAW!$AU$4)</f>
        <v/>
      </c>
      <c r="V88" s="253">
        <f>IFERROR(__xludf.DUMMYFUNCTION("iferror(index('지수RAW'!$AL$7:$AL$12040,MATCH($D88,'지수RAW'!$AH$7:$AH$12040,0)-1,1),GOOGLEFINANCE(V$2))"),92382.89)</f>
        <v/>
      </c>
      <c r="W88" s="25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5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3">
        <f t="array" ref="U89">IFERROR(INDEX(지수RAW!$AT$7:$AT$12040,MATCH($D89,지수RAW!$AP$7:$AP$12040,0)-1,1),지수RAW!$AU$4)</f>
        <v/>
      </c>
      <c r="V89" s="253">
        <f>IFERROR(__xludf.DUMMYFUNCTION("iferror(index('지수RAW'!$AL$7:$AL$12040,MATCH($D89,'지수RAW'!$AH$7:$AH$12040,0)-1,1),GOOGLEFINANCE(V$2))"),104008.8)</f>
        <v/>
      </c>
      <c r="W89" s="25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5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3">
        <f t="array" ref="U90">IFERROR(INDEX(지수RAW!$AT$7:$AT$12040,MATCH($D90,지수RAW!$AP$7:$AP$12040,0)-1,1),지수RAW!$AU$4)</f>
        <v/>
      </c>
      <c r="V90" s="253">
        <f>IFERROR(__xludf.DUMMYFUNCTION("iferror(index('지수RAW'!$AL$7:$AL$12040,MATCH($D90,'지수RAW'!$AH$7:$AH$12040,0)-1,1),GOOGLEFINANCE(V$2))"),80376.5)</f>
        <v/>
      </c>
      <c r="W90" s="25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5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3">
        <f t="array" ref="U91">IFERROR(INDEX(지수RAW!$AT$7:$AT$12040,MATCH($D91,지수RAW!$AP$7:$AP$12040,0)-1,1),지수RAW!$AU$4)</f>
        <v/>
      </c>
      <c r="V91" s="253">
        <f>IFERROR(__xludf.DUMMYFUNCTION("iferror(index('지수RAW'!$AL$7:$AL$12040,MATCH($D91,'지수RAW'!$AH$7:$AH$12040,0)-1,1),GOOGLEFINANCE(V$2))"),81559.22)</f>
        <v/>
      </c>
      <c r="W91" s="25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5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3">
        <f t="array" ref="U92">IFERROR(INDEX(지수RAW!$AT$7:$AT$12040,MATCH($D92,지수RAW!$AP$7:$AP$12040,0)-1,1),지수RAW!$AU$4)</f>
        <v/>
      </c>
      <c r="V92" s="253">
        <f>IFERROR(__xludf.DUMMYFUNCTION("iferror(index('지수RAW'!$AL$7:$AL$12040,MATCH($D92,'지수RAW'!$AH$7:$AH$12040,0)-1,1),GOOGLEFINANCE(V$2))"),95041.93)</f>
        <v/>
      </c>
      <c r="W92" s="25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5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3">
        <f t="array" ref="U93">IFERROR(INDEX(지수RAW!$AT$7:$AT$12040,MATCH($D93,지수RAW!$AP$7:$AP$12040,0)-1,1),지수RAW!$AU$4)</f>
        <v/>
      </c>
      <c r="V93" s="253">
        <f>IFERROR(__xludf.DUMMYFUNCTION("iferror(index('지수RAW'!$AL$7:$AL$12040,MATCH($D93,'지수RAW'!$AH$7:$AH$12040,0)-1,1),GOOGLEFINANCE(V$2))"),103735.2)</f>
        <v/>
      </c>
      <c r="W93" s="25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5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3">
        <f t="array" ref="U94">IFERROR(INDEX(지수RAW!$AT$7:$AT$12040,MATCH($D94,지수RAW!$AP$7:$AP$12040,0)-1,1),지수RAW!$AU$4)</f>
        <v/>
      </c>
      <c r="V94" s="253">
        <f>IFERROR(__xludf.DUMMYFUNCTION("iferror(index('지수RAW'!$AL$7:$AL$12040,MATCH($D94,'지수RAW'!$AH$7:$AH$12040,0)-1,1),GOOGLEFINANCE(V$2))"),108527.5)</f>
        <v/>
      </c>
      <c r="W94" s="25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5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3">
        <f t="array" ref="U95">IFERROR(INDEX(지수RAW!$AT$7:$AT$12040,MATCH($D95,지수RAW!$AP$7:$AP$12040,0)-1,1),지수RAW!$AU$4)</f>
        <v/>
      </c>
      <c r="V95" s="253">
        <f>IFERROR(__xludf.DUMMYFUNCTION("iferror(index('지수RAW'!$AL$7:$AL$12040,MATCH($D95,'지수RAW'!$AH$7:$AH$12040,0)-1,1),GOOGLEFINANCE(V$2))"),118454.4)</f>
        <v/>
      </c>
      <c r="W95" s="25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5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3">
        <f t="array" ref="U96">IFERROR(INDEX(지수RAW!$AT$7:$AT$12040,MATCH($D96,지수RAW!$AP$7:$AP$12040,0)-1,1),지수RAW!$AU$4)</f>
        <v/>
      </c>
      <c r="V96" s="253">
        <f>IFERROR(__xludf.DUMMYFUNCTION("iferror(index('지수RAW'!$AL$7:$AL$12040,MATCH($D96,'지수RAW'!$AH$7:$AH$12040,0)-1,1),GOOGLEFINANCE(V$2))"),109251.6)</f>
        <v/>
      </c>
      <c r="W96" s="25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5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3">
        <f t="array" ref="U97">IFERROR(INDEX(지수RAW!$AT$7:$AT$12040,MATCH($D97,지수RAW!$AP$7:$AP$12040,0)-1,1),지수RAW!$AU$4)</f>
        <v/>
      </c>
      <c r="V97" s="253">
        <f>IFERROR(__xludf.DUMMYFUNCTION("iferror(index('지수RAW'!$AL$7:$AL$12040,MATCH($D97,'지수RAW'!$AH$7:$AH$12040,0)-1,1),GOOGLEFINANCE(V$2))"),114433.1)</f>
        <v/>
      </c>
      <c r="W97" s="25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5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3">
        <f t="array" ref="U98">IFERROR(INDEX(지수RAW!$AT$7:$AT$12040,MATCH($D98,지수RAW!$AP$7:$AP$12040,0)-1,1),지수RAW!$AU$4)</f>
        <v/>
      </c>
      <c r="V98" s="253">
        <f>IFERROR(__xludf.DUMMYFUNCTION("iferror(index('지수RAW'!$AL$7:$AL$12040,MATCH($D98,'지수RAW'!$AH$7:$AH$12040,0)-1,1),GOOGLEFINANCE(V$2))"),109243.2)</f>
        <v/>
      </c>
      <c r="W98" s="25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5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3">
        <f t="array" ref="U99">IFERROR(INDEX(지수RAW!$AT$7:$AT$12040,MATCH($D99,지수RAW!$AP$7:$AP$12040,0)-1,1),지수RAW!$AU$4)</f>
        <v/>
      </c>
      <c r="V99" s="253">
        <f>IFERROR(__xludf.DUMMYFUNCTION("iferror(index('지수RAW'!$AL$7:$AL$12040,MATCH($D99,'지수RAW'!$AH$7:$AH$12040,0)-1,1),GOOGLEFINANCE(V$2))"),90899.38)</f>
        <v/>
      </c>
      <c r="W99" s="25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5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3">
        <f t="array" ref="U100">IFERROR(INDEX(지수RAW!$AT$7:$AT$12040,MATCH($D100,지수RAW!$AP$7:$AP$12040,0)-1,1),지수RAW!$AU$4)</f>
        <v/>
      </c>
      <c r="V100" s="253">
        <f>IFERROR(__xludf.DUMMYFUNCTION("iferror(index('지수RAW'!$AL$7:$AL$12040,MATCH($D100,'지수RAW'!$AH$7:$AH$12040,0)-1,1),GOOGLEFINANCE(V$2))"),88262.84)</f>
        <v/>
      </c>
      <c r="W100" s="25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5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3">
        <f t="array" ref="U101">IFERROR(INDEX(지수RAW!$AT$7:$AT$12040,MATCH($D101,지수RAW!$AP$7:$AP$12040,0)-1,1),지수RAW!$AU$4)</f>
        <v/>
      </c>
      <c r="V101" s="253">
        <f>IFERROR(__xludf.DUMMYFUNCTION("iferror(index('지수RAW'!$AL$7:$AL$12040,MATCH($D101,'지수RAW'!$AH$7:$AH$12040,0)-1,1),GOOGLEFINANCE(V$2))"),83894.56)</f>
        <v/>
      </c>
      <c r="W101" s="25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5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3">
        <f t="array" ref="U102">IFERROR(INDEX(지수RAW!$AT$7:$AT$12040,MATCH($D102,지수RAW!$AP$7:$AP$12040,0)-1,1),지수RAW!$AU$4)</f>
        <v/>
      </c>
      <c r="V102" s="253">
        <f>IFERROR(__xludf.DUMMYFUNCTION("iferror(index('지수RAW'!$AL$7:$AL$12040,MATCH($D102,'지수RAW'!$AH$7:$AH$12040,0)-1,1),GOOGLEFINANCE(V$2))"),65696.42)</f>
        <v/>
      </c>
      <c r="W102" s="25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5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3">
        <f t="array" ref="U103">IFERROR(INDEX(지수RAW!$AT$7:$AT$12040,MATCH($D103,지수RAW!$AP$7:$AP$12040,0)-1,1),지수RAW!$AU$4)</f>
        <v/>
      </c>
      <c r="V103" s="253">
        <f>IFERROR(__xludf.DUMMYFUNCTION("iferror(index('지수RAW'!$AL$7:$AL$12040,MATCH($D103,'지수RAW'!$AH$7:$AH$12040,0)-1,1),GOOGLEFINANCE(V$2))"),67647.5)</f>
        <v/>
      </c>
      <c r="W103" s="25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5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3">
        <f t="array" ref="U104">IFERROR(INDEX(지수RAW!$AT$7:$AT$12040,MATCH($D104,지수RAW!$AP$7:$AP$12040,0)-1,1),지수RAW!$AU$4)</f>
        <v/>
      </c>
      <c r="V104" s="253">
        <f>IFERROR(__xludf.DUMMYFUNCTION("iferror(index('지수RAW'!$AL$7:$AL$12040,MATCH($D104,'지수RAW'!$AH$7:$AH$12040,0)-1,1),GOOGLEFINANCE(V$2))"),75902.99)</f>
        <v/>
      </c>
      <c r="W104" s="25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5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3">
        <f t="array" ref="U105">IFERROR(INDEX(지수RAW!$AT$7:$AT$12040,MATCH($D105,지수RAW!$AP$7:$AP$12040,0)-1,1),지수RAW!$AU$4)</f>
        <v/>
      </c>
      <c r="V105" s="253">
        <f>IFERROR(__xludf.DUMMYFUNCTION("iferror(index('지수RAW'!$AL$7:$AL$12040,MATCH($D105,'지수RAW'!$AH$7:$AH$12040,0)-1,1),GOOGLEFINANCE(V$2))"),74032.05)</f>
        <v/>
      </c>
      <c r="W105" s="25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5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3">
        <f t="array" ref="U106">IFERROR(INDEX(지수RAW!$AT$7:$AT$12040,MATCH($D106,지수RAW!$AP$7:$AP$12040,0)-1,1),지수RAW!$AU$4)</f>
        <v/>
      </c>
      <c r="V106" s="253">
        <f>IFERROR(__xludf.DUMMYFUNCTION("iferror(index('지수RAW'!$AL$7:$AL$12040,MATCH($D106,'지수RAW'!$AH$7:$AH$12040,0)-1,1),GOOGLEFINANCE(V$2))"),59513.99)</f>
        <v/>
      </c>
      <c r="W106" s="25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5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3">
        <f t="array" ref="U107">IFERROR(INDEX(지수RAW!$AT$7:$AT$12040,MATCH($D107,지수RAW!$AP$7:$AP$12040,0)-1,1),지수RAW!$AU$4)</f>
        <v/>
      </c>
      <c r="V107" s="253">
        <f>IFERROR(__xludf.DUMMYFUNCTION("iferror(index('지수RAW'!$AL$7:$AL$12040,MATCH($D107,'지수RAW'!$AH$7:$AH$12040,0)-1,1),GOOGLEFINANCE(V$2))"),64324)</f>
        <v/>
      </c>
      <c r="W107" s="25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5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3">
        <f t="array" ref="U108">IFERROR(INDEX(지수RAW!$AT$7:$AT$12040,MATCH($D108,지수RAW!$AP$7:$AP$12040,0)-1,1),지수RAW!$AU$4)</f>
        <v/>
      </c>
      <c r="V108" s="253">
        <f>IFERROR(__xludf.DUMMYFUNCTION("iferror(index('지수RAW'!$AL$7:$AL$12040,MATCH($D108,'지수RAW'!$AH$7:$AH$12040,0)-1,1),GOOGLEFINANCE(V$2))"),64324)</f>
        <v/>
      </c>
      <c r="W108" s="25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5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3">
        <f t="array" ref="U109">IFERROR(INDEX(지수RAW!$AT$7:$AT$12040,MATCH($D109,지수RAW!$AP$7:$AP$12040,0)-1,1),지수RAW!$AU$4)</f>
        <v/>
      </c>
      <c r="V109" s="253">
        <f>IFERROR(__xludf.DUMMYFUNCTION("iferror(index('지수RAW'!$AL$7:$AL$12040,MATCH($D109,'지수RAW'!$AH$7:$AH$12040,0)-1,1),GOOGLEFINANCE(V$2))"),64324)</f>
        <v/>
      </c>
      <c r="W109" s="25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5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3">
        <f t="array" ref="U110">IFERROR(INDEX(지수RAW!$AT$7:$AT$12040,MATCH($D110,지수RAW!$AP$7:$AP$12040,0)-1,1),지수RAW!$AU$4)</f>
        <v/>
      </c>
      <c r="V110" s="253">
        <f>IFERROR(__xludf.DUMMYFUNCTION("iferror(index('지수RAW'!$AL$7:$AL$12040,MATCH($D110,'지수RAW'!$AH$7:$AH$12040,0)-1,1),GOOGLEFINANCE(V$2))"),64324)</f>
        <v/>
      </c>
      <c r="W110" s="25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5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3">
        <f t="array" ref="U111">IFERROR(INDEX(지수RAW!$AT$7:$AT$12040,MATCH($D111,지수RAW!$AP$7:$AP$12040,0)-1,1),지수RAW!$AU$4)</f>
        <v/>
      </c>
      <c r="V111" s="253">
        <f>IFERROR(__xludf.DUMMYFUNCTION("iferror(index('지수RAW'!$AL$7:$AL$12040,MATCH($D111,'지수RAW'!$AH$7:$AH$12040,0)-1,1),GOOGLEFINANCE(V$2))"),64324)</f>
        <v/>
      </c>
      <c r="W111" s="25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5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3">
        <f t="array" ref="U112">IFERROR(INDEX(지수RAW!$AT$7:$AT$12040,MATCH($D112,지수RAW!$AP$7:$AP$12040,0)-1,1),지수RAW!$AU$4)</f>
        <v/>
      </c>
      <c r="V112" s="253">
        <f>IFERROR(__xludf.DUMMYFUNCTION("iferror(index('지수RAW'!$AL$7:$AL$12040,MATCH($D112,'지수RAW'!$AH$7:$AH$12040,0)-1,1),GOOGLEFINANCE(V$2))"),64324)</f>
        <v/>
      </c>
      <c r="W112" s="25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5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3">
        <f t="array" ref="U113">IFERROR(INDEX(지수RAW!$AT$7:$AT$12040,MATCH($D113,지수RAW!$AP$7:$AP$12040,0)-1,1),지수RAW!$AU$4)</f>
        <v/>
      </c>
      <c r="V113" s="253">
        <f>IFERROR(__xludf.DUMMYFUNCTION("iferror(index('지수RAW'!$AL$7:$AL$12040,MATCH($D113,'지수RAW'!$AH$7:$AH$12040,0)-1,1),GOOGLEFINANCE(V$2))"),64324)</f>
        <v/>
      </c>
      <c r="W113" s="25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5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3">
        <f t="array" ref="U114">IFERROR(INDEX(지수RAW!$AT$7:$AT$12040,MATCH($D114,지수RAW!$AP$7:$AP$12040,0)-1,1),지수RAW!$AU$4)</f>
        <v/>
      </c>
      <c r="V114" s="253">
        <f>IFERROR(__xludf.DUMMYFUNCTION("iferror(index('지수RAW'!$AL$7:$AL$12040,MATCH($D114,'지수RAW'!$AH$7:$AH$12040,0)-1,1),GOOGLEFINANCE(V$2))"),64324)</f>
        <v/>
      </c>
      <c r="W114" s="25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5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3">
        <f t="array" ref="U115">IFERROR(INDEX(지수RAW!$AT$7:$AT$12040,MATCH($D115,지수RAW!$AP$7:$AP$12040,0)-1,1),지수RAW!$AU$4)</f>
        <v/>
      </c>
      <c r="V115" s="253">
        <f>IFERROR(__xludf.DUMMYFUNCTION("iferror(index('지수RAW'!$AL$7:$AL$12040,MATCH($D115,'지수RAW'!$AH$7:$AH$12040,0)-1,1),GOOGLEFINANCE(V$2))"),64324)</f>
        <v/>
      </c>
      <c r="W115" s="25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5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3">
        <f t="array" ref="U116">IFERROR(INDEX(지수RAW!$AT$7:$AT$12040,MATCH($D116,지수RAW!$AP$7:$AP$12040,0)-1,1),지수RAW!$AU$4)</f>
        <v/>
      </c>
      <c r="V116" s="253">
        <f>IFERROR(__xludf.DUMMYFUNCTION("iferror(index('지수RAW'!$AL$7:$AL$12040,MATCH($D116,'지수RAW'!$AH$7:$AH$12040,0)-1,1),GOOGLEFINANCE(V$2))"),64324)</f>
        <v/>
      </c>
      <c r="W116" s="25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5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3">
        <f t="array" ref="U117">IFERROR(INDEX(지수RAW!$AT$7:$AT$12040,MATCH($D117,지수RAW!$AP$7:$AP$12040,0)-1,1),지수RAW!$AU$4)</f>
        <v/>
      </c>
      <c r="V117" s="253">
        <f>IFERROR(__xludf.DUMMYFUNCTION("iferror(index('지수RAW'!$AL$7:$AL$12040,MATCH($D117,'지수RAW'!$AH$7:$AH$12040,0)-1,1),GOOGLEFINANCE(V$2))"),64324)</f>
        <v/>
      </c>
      <c r="W117" s="25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5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3">
        <f t="array" ref="U118">IFERROR(INDEX(지수RAW!$AT$7:$AT$12040,MATCH($D118,지수RAW!$AP$7:$AP$12040,0)-1,1),지수RAW!$AU$4)</f>
        <v/>
      </c>
      <c r="V118" s="253">
        <f>IFERROR(__xludf.DUMMYFUNCTION("iferror(index('지수RAW'!$AL$7:$AL$12040,MATCH($D118,'지수RAW'!$AH$7:$AH$12040,0)-1,1),GOOGLEFINANCE(V$2))"),64324)</f>
        <v/>
      </c>
      <c r="W118" s="25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5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3">
        <f t="array" ref="U119">IFERROR(INDEX(지수RAW!$AT$7:$AT$12040,MATCH($D119,지수RAW!$AP$7:$AP$12040,0)-1,1),지수RAW!$AU$4)</f>
        <v/>
      </c>
      <c r="V119" s="253">
        <f>IFERROR(__xludf.DUMMYFUNCTION("iferror(index('지수RAW'!$AL$7:$AL$12040,MATCH($D119,'지수RAW'!$AH$7:$AH$12040,0)-1,1),GOOGLEFINANCE(V$2))"),64324)</f>
        <v/>
      </c>
      <c r="W119" s="25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5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3">
        <f t="array" ref="U120">IFERROR(INDEX(지수RAW!$AT$7:$AT$12040,MATCH($D120,지수RAW!$AP$7:$AP$12040,0)-1,1),지수RAW!$AU$4)</f>
        <v/>
      </c>
      <c r="V120" s="253">
        <f>IFERROR(__xludf.DUMMYFUNCTION("iferror(index('지수RAW'!$AL$7:$AL$12040,MATCH($D120,'지수RAW'!$AH$7:$AH$12040,0)-1,1),GOOGLEFINANCE(V$2))"),64324)</f>
        <v/>
      </c>
      <c r="W120" s="25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5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3">
        <f t="array" ref="U121">IFERROR(INDEX(지수RAW!$AT$7:$AT$12040,MATCH($D121,지수RAW!$AP$7:$AP$12040,0)-1,1),지수RAW!$AU$4)</f>
        <v/>
      </c>
      <c r="V121" s="253">
        <f>IFERROR(__xludf.DUMMYFUNCTION("iferror(index('지수RAW'!$AL$7:$AL$12040,MATCH($D121,'지수RAW'!$AH$7:$AH$12040,0)-1,1),GOOGLEFINANCE(V$2))"),64324)</f>
        <v/>
      </c>
      <c r="W121" s="25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5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3">
        <f t="array" ref="U122">IFERROR(INDEX(지수RAW!$AT$7:$AT$12040,MATCH($D122,지수RAW!$AP$7:$AP$12040,0)-1,1),지수RAW!$AU$4)</f>
        <v/>
      </c>
      <c r="V122" s="253">
        <f>IFERROR(__xludf.DUMMYFUNCTION("iferror(index('지수RAW'!$AL$7:$AL$12040,MATCH($D122,'지수RAW'!$AH$7:$AH$12040,0)-1,1),GOOGLEFINANCE(V$2))"),64324)</f>
        <v/>
      </c>
      <c r="W122" s="25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5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3">
        <f t="array" ref="U123">IFERROR(INDEX(지수RAW!$AT$7:$AT$12040,MATCH($D123,지수RAW!$AP$7:$AP$12040,0)-1,1),지수RAW!$AU$4)</f>
        <v/>
      </c>
      <c r="V123" s="253">
        <f>IFERROR(__xludf.DUMMYFUNCTION("iferror(index('지수RAW'!$AL$7:$AL$12040,MATCH($D123,'지수RAW'!$AH$7:$AH$12040,0)-1,1),GOOGLEFINANCE(V$2))"),64324)</f>
        <v/>
      </c>
      <c r="W123" s="25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5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3">
        <f t="array" ref="U124">IFERROR(INDEX(지수RAW!$AT$7:$AT$12040,MATCH($D124,지수RAW!$AP$7:$AP$12040,0)-1,1),지수RAW!$AU$4)</f>
        <v/>
      </c>
      <c r="V124" s="253">
        <f>IFERROR(__xludf.DUMMYFUNCTION("iferror(index('지수RAW'!$AL$7:$AL$12040,MATCH($D124,'지수RAW'!$AH$7:$AH$12040,0)-1,1),GOOGLEFINANCE(V$2))"),64324)</f>
        <v/>
      </c>
      <c r="W124" s="25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5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3">
        <f t="array" ref="U125">IFERROR(INDEX(지수RAW!$AT$7:$AT$12040,MATCH($D125,지수RAW!$AP$7:$AP$12040,0)-1,1),지수RAW!$AU$4)</f>
        <v/>
      </c>
      <c r="V125" s="253">
        <f>IFERROR(__xludf.DUMMYFUNCTION("iferror(index('지수RAW'!$AL$7:$AL$12040,MATCH($D125,'지수RAW'!$AH$7:$AH$12040,0)-1,1),GOOGLEFINANCE(V$2))"),64324)</f>
        <v/>
      </c>
      <c r="W125" s="25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5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3">
        <f t="array" ref="U126">IFERROR(INDEX(지수RAW!$AT$7:$AT$12040,MATCH($D126,지수RAW!$AP$7:$AP$12040,0)-1,1),지수RAW!$AU$4)</f>
        <v/>
      </c>
      <c r="V126" s="253">
        <f>IFERROR(__xludf.DUMMYFUNCTION("iferror(index('지수RAW'!$AL$7:$AL$12040,MATCH($D126,'지수RAW'!$AH$7:$AH$12040,0)-1,1),GOOGLEFINANCE(V$2))"),64324)</f>
        <v/>
      </c>
      <c r="W126" s="25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5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3">
        <f t="array" ref="U127">IFERROR(INDEX(지수RAW!$AT$7:$AT$12040,MATCH($D127,지수RAW!$AP$7:$AP$12040,0)-1,1),지수RAW!$AU$4)</f>
        <v/>
      </c>
      <c r="V127" s="253">
        <f>IFERROR(__xludf.DUMMYFUNCTION("iferror(index('지수RAW'!$AL$7:$AL$12040,MATCH($D127,'지수RAW'!$AH$7:$AH$12040,0)-1,1),GOOGLEFINANCE(V$2))"),64324)</f>
        <v/>
      </c>
      <c r="W127" s="25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5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3">
        <f t="array" ref="U128">IFERROR(INDEX(지수RAW!$AT$7:$AT$12040,MATCH($D128,지수RAW!$AP$7:$AP$12040,0)-1,1),지수RAW!$AU$4)</f>
        <v/>
      </c>
      <c r="V128" s="253">
        <f>IFERROR(__xludf.DUMMYFUNCTION("iferror(index('지수RAW'!$AL$7:$AL$12040,MATCH($D128,'지수RAW'!$AH$7:$AH$12040,0)-1,1),GOOGLEFINANCE(V$2))"),64324)</f>
        <v/>
      </c>
      <c r="W128" s="25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5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3">
        <f t="array" ref="U129">IFERROR(INDEX(지수RAW!$AT$7:$AT$12040,MATCH($D129,지수RAW!$AP$7:$AP$12040,0)-1,1),지수RAW!$AU$4)</f>
        <v/>
      </c>
      <c r="V129" s="253">
        <f>IFERROR(__xludf.DUMMYFUNCTION("iferror(index('지수RAW'!$AL$7:$AL$12040,MATCH($D129,'지수RAW'!$AH$7:$AH$12040,0)-1,1),GOOGLEFINANCE(V$2))"),64324)</f>
        <v/>
      </c>
      <c r="W129" s="25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5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3">
        <f t="array" ref="U130">IFERROR(INDEX(지수RAW!$AT$7:$AT$12040,MATCH($D130,지수RAW!$AP$7:$AP$12040,0)-1,1),지수RAW!$AU$4)</f>
        <v/>
      </c>
      <c r="V130" s="253">
        <f>IFERROR(__xludf.DUMMYFUNCTION("iferror(index('지수RAW'!$AL$7:$AL$12040,MATCH($D130,'지수RAW'!$AH$7:$AH$12040,0)-1,1),GOOGLEFINANCE(V$2))"),64324)</f>
        <v/>
      </c>
      <c r="W130" s="25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5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3">
        <f t="array" ref="U131">IFERROR(INDEX(지수RAW!$AT$7:$AT$12040,MATCH($D131,지수RAW!$AP$7:$AP$12040,0)-1,1),지수RAW!$AU$4)</f>
        <v/>
      </c>
      <c r="V131" s="253">
        <f>IFERROR(__xludf.DUMMYFUNCTION("iferror(index('지수RAW'!$AL$7:$AL$12040,MATCH($D131,'지수RAW'!$AH$7:$AH$12040,0)-1,1),GOOGLEFINANCE(V$2))"),64324)</f>
        <v/>
      </c>
      <c r="W131" s="25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5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3">
        <f t="array" ref="U132">IFERROR(INDEX(지수RAW!$AT$7:$AT$12040,MATCH($D132,지수RAW!$AP$7:$AP$12040,0)-1,1),지수RAW!$AU$4)</f>
        <v/>
      </c>
      <c r="V132" s="253">
        <f>IFERROR(__xludf.DUMMYFUNCTION("iferror(index('지수RAW'!$AL$7:$AL$12040,MATCH($D132,'지수RAW'!$AH$7:$AH$12040,0)-1,1),GOOGLEFINANCE(V$2))"),64324)</f>
        <v/>
      </c>
      <c r="W132" s="25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5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3">
        <f t="array" ref="U133">IFERROR(INDEX(지수RAW!$AT$7:$AT$12040,MATCH($D133,지수RAW!$AP$7:$AP$12040,0)-1,1),지수RAW!$AU$4)</f>
        <v/>
      </c>
      <c r="V133" s="253">
        <f>IFERROR(__xludf.DUMMYFUNCTION("iferror(index('지수RAW'!$AL$7:$AL$12040,MATCH($D133,'지수RAW'!$AH$7:$AH$12040,0)-1,1),GOOGLEFINANCE(V$2))"),64324)</f>
        <v/>
      </c>
      <c r="W133" s="25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5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3">
        <f t="array" ref="U134">IFERROR(INDEX(지수RAW!$AT$7:$AT$12040,MATCH($D134,지수RAW!$AP$7:$AP$12040,0)-1,1),지수RAW!$AU$4)</f>
        <v/>
      </c>
      <c r="V134" s="253">
        <f>IFERROR(__xludf.DUMMYFUNCTION("iferror(index('지수RAW'!$AL$7:$AL$12040,MATCH($D134,'지수RAW'!$AH$7:$AH$12040,0)-1,1),GOOGLEFINANCE(V$2))"),64324)</f>
        <v/>
      </c>
      <c r="W134" s="25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5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3">
        <f t="array" ref="U135">IFERROR(INDEX(지수RAW!$AT$7:$AT$12040,MATCH($D135,지수RAW!$AP$7:$AP$12040,0)-1,1),지수RAW!$AU$4)</f>
        <v/>
      </c>
      <c r="V135" s="253">
        <f>IFERROR(__xludf.DUMMYFUNCTION("iferror(index('지수RAW'!$AL$7:$AL$12040,MATCH($D135,'지수RAW'!$AH$7:$AH$12040,0)-1,1),GOOGLEFINANCE(V$2))"),64324)</f>
        <v/>
      </c>
      <c r="W135" s="25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5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3">
        <f t="array" ref="U136">IFERROR(INDEX(지수RAW!$AT$7:$AT$12040,MATCH($D136,지수RAW!$AP$7:$AP$12040,0)-1,1),지수RAW!$AU$4)</f>
        <v/>
      </c>
      <c r="V136" s="253">
        <f>IFERROR(__xludf.DUMMYFUNCTION("iferror(index('지수RAW'!$AL$7:$AL$12040,MATCH($D136,'지수RAW'!$AH$7:$AH$12040,0)-1,1),GOOGLEFINANCE(V$2))"),64324)</f>
        <v/>
      </c>
      <c r="W136" s="25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5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3">
        <f t="array" ref="U137">IFERROR(INDEX(지수RAW!$AT$7:$AT$12040,MATCH($D137,지수RAW!$AP$7:$AP$12040,0)-1,1),지수RAW!$AU$4)</f>
        <v/>
      </c>
      <c r="V137" s="253">
        <f>IFERROR(__xludf.DUMMYFUNCTION("iferror(index('지수RAW'!$AL$7:$AL$12040,MATCH($D137,'지수RAW'!$AH$7:$AH$12040,0)-1,1),GOOGLEFINANCE(V$2))"),64324)</f>
        <v/>
      </c>
      <c r="W137" s="25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5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3">
        <f t="array" ref="U138">IFERROR(INDEX(지수RAW!$AT$7:$AT$12040,MATCH($D138,지수RAW!$AP$7:$AP$12040,0)-1,1),지수RAW!$AU$4)</f>
        <v/>
      </c>
      <c r="V138" s="253">
        <f>IFERROR(__xludf.DUMMYFUNCTION("iferror(index('지수RAW'!$AL$7:$AL$12040,MATCH($D138,'지수RAW'!$AH$7:$AH$12040,0)-1,1),GOOGLEFINANCE(V$2))"),64324)</f>
        <v/>
      </c>
      <c r="W138" s="25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5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3">
        <f t="array" ref="U139">IFERROR(INDEX(지수RAW!$AT$7:$AT$12040,MATCH($D139,지수RAW!$AP$7:$AP$12040,0)-1,1),지수RAW!$AU$4)</f>
        <v/>
      </c>
      <c r="V139" s="253">
        <f>IFERROR(__xludf.DUMMYFUNCTION("iferror(index('지수RAW'!$AL$7:$AL$12040,MATCH($D139,'지수RAW'!$AH$7:$AH$12040,0)-1,1),GOOGLEFINANCE(V$2))"),64324)</f>
        <v/>
      </c>
      <c r="W139" s="25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5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3">
        <f t="array" ref="U140">IFERROR(INDEX(지수RAW!$AT$7:$AT$12040,MATCH($D140,지수RAW!$AP$7:$AP$12040,0)-1,1),지수RAW!$AU$4)</f>
        <v/>
      </c>
      <c r="V140" s="253">
        <f>IFERROR(__xludf.DUMMYFUNCTION("iferror(index('지수RAW'!$AL$7:$AL$12040,MATCH($D140,'지수RAW'!$AH$7:$AH$12040,0)-1,1),GOOGLEFINANCE(V$2))"),64324)</f>
        <v/>
      </c>
      <c r="W140" s="25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5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3">
        <f t="array" ref="U141">IFERROR(INDEX(지수RAW!$AT$7:$AT$12040,MATCH($D141,지수RAW!$AP$7:$AP$12040,0)-1,1),지수RAW!$AU$4)</f>
        <v/>
      </c>
      <c r="V141" s="253">
        <f>IFERROR(__xludf.DUMMYFUNCTION("iferror(index('지수RAW'!$AL$7:$AL$12040,MATCH($D141,'지수RAW'!$AH$7:$AH$12040,0)-1,1),GOOGLEFINANCE(V$2))"),64324)</f>
        <v/>
      </c>
      <c r="W141" s="25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5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3">
        <f t="array" ref="U142">IFERROR(INDEX(지수RAW!$AT$7:$AT$12040,MATCH($D142,지수RAW!$AP$7:$AP$12040,0)-1,1),지수RAW!$AU$4)</f>
        <v/>
      </c>
      <c r="V142" s="253">
        <f>IFERROR(__xludf.DUMMYFUNCTION("iferror(index('지수RAW'!$AL$7:$AL$12040,MATCH($D142,'지수RAW'!$AH$7:$AH$12040,0)-1,1),GOOGLEFINANCE(V$2))"),64324)</f>
        <v/>
      </c>
      <c r="W142" s="25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5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3">
        <f t="array" ref="U143">IFERROR(INDEX(지수RAW!$AT$7:$AT$12040,MATCH($D143,지수RAW!$AP$7:$AP$12040,0)-1,1),지수RAW!$AU$4)</f>
        <v/>
      </c>
      <c r="V143" s="253">
        <f>IFERROR(__xludf.DUMMYFUNCTION("iferror(index('지수RAW'!$AL$7:$AL$12040,MATCH($D143,'지수RAW'!$AH$7:$AH$12040,0)-1,1),GOOGLEFINANCE(V$2))"),64324)</f>
        <v/>
      </c>
      <c r="W143" s="25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5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3">
        <f t="array" ref="U144">IFERROR(INDEX(지수RAW!$AT$7:$AT$12040,MATCH($D144,지수RAW!$AP$7:$AP$12040,0)-1,1),지수RAW!$AU$4)</f>
        <v/>
      </c>
      <c r="V144" s="253">
        <f>IFERROR(__xludf.DUMMYFUNCTION("iferror(index('지수RAW'!$AL$7:$AL$12040,MATCH($D144,'지수RAW'!$AH$7:$AH$12040,0)-1,1),GOOGLEFINANCE(V$2))"),64324)</f>
        <v/>
      </c>
      <c r="W144" s="25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5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3">
        <f t="array" ref="U145">IFERROR(INDEX(지수RAW!$AT$7:$AT$12040,MATCH($D145,지수RAW!$AP$7:$AP$12040,0)-1,1),지수RAW!$AU$4)</f>
        <v/>
      </c>
      <c r="V145" s="253">
        <f>IFERROR(__xludf.DUMMYFUNCTION("iferror(index('지수RAW'!$AL$7:$AL$12040,MATCH($D145,'지수RAW'!$AH$7:$AH$12040,0)-1,1),GOOGLEFINANCE(V$2))"),64324)</f>
        <v/>
      </c>
      <c r="W145" s="25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5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3">
        <f t="array" ref="U146">IFERROR(INDEX(지수RAW!$AT$7:$AT$12040,MATCH($D146,지수RAW!$AP$7:$AP$12040,0)-1,1),지수RAW!$AU$4)</f>
        <v/>
      </c>
      <c r="V146" s="253">
        <f>IFERROR(__xludf.DUMMYFUNCTION("iferror(index('지수RAW'!$AL$7:$AL$12040,MATCH($D146,'지수RAW'!$AH$7:$AH$12040,0)-1,1),GOOGLEFINANCE(V$2))"),64324)</f>
        <v/>
      </c>
      <c r="W146" s="25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5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3">
        <f t="array" ref="U147">IFERROR(INDEX(지수RAW!$AT$7:$AT$12040,MATCH($D147,지수RAW!$AP$7:$AP$12040,0)-1,1),지수RAW!$AU$4)</f>
        <v/>
      </c>
      <c r="V147" s="253">
        <f>IFERROR(__xludf.DUMMYFUNCTION("iferror(index('지수RAW'!$AL$7:$AL$12040,MATCH($D147,'지수RAW'!$AH$7:$AH$12040,0)-1,1),GOOGLEFINANCE(V$2))"),64324)</f>
        <v/>
      </c>
      <c r="W147" s="25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5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3">
        <f t="array" ref="U148">IFERROR(INDEX(지수RAW!$AT$7:$AT$12040,MATCH($D148,지수RAW!$AP$7:$AP$12040,0)-1,1),지수RAW!$AU$4)</f>
        <v/>
      </c>
      <c r="V148" s="253">
        <f>IFERROR(__xludf.DUMMYFUNCTION("iferror(index('지수RAW'!$AL$7:$AL$12040,MATCH($D148,'지수RAW'!$AH$7:$AH$12040,0)-1,1),GOOGLEFINANCE(V$2))"),64324)</f>
        <v/>
      </c>
      <c r="W148" s="25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5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3">
        <f t="array" ref="U149">IFERROR(INDEX(지수RAW!$AT$7:$AT$12040,MATCH($D149,지수RAW!$AP$7:$AP$12040,0)-1,1),지수RAW!$AU$4)</f>
        <v/>
      </c>
      <c r="V149" s="253">
        <f>IFERROR(__xludf.DUMMYFUNCTION("iferror(index('지수RAW'!$AL$7:$AL$12040,MATCH($D149,'지수RAW'!$AH$7:$AH$12040,0)-1,1),GOOGLEFINANCE(V$2))"),64324)</f>
        <v/>
      </c>
      <c r="W149" s="25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5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3">
        <f t="array" ref="U150">IFERROR(INDEX(지수RAW!$AT$7:$AT$12040,MATCH($D150,지수RAW!$AP$7:$AP$12040,0)-1,1),지수RAW!$AU$4)</f>
        <v/>
      </c>
      <c r="V150" s="253">
        <f>IFERROR(__xludf.DUMMYFUNCTION("iferror(index('지수RAW'!$AL$7:$AL$12040,MATCH($D150,'지수RAW'!$AH$7:$AH$12040,0)-1,1),GOOGLEFINANCE(V$2))"),64324)</f>
        <v/>
      </c>
      <c r="W150" s="25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5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3">
        <f t="array" ref="U151">IFERROR(INDEX(지수RAW!$AT$7:$AT$12040,MATCH($D151,지수RAW!$AP$7:$AP$12040,0)-1,1),지수RAW!$AU$4)</f>
        <v/>
      </c>
      <c r="V151" s="253">
        <f>IFERROR(__xludf.DUMMYFUNCTION("iferror(index('지수RAW'!$AL$7:$AL$12040,MATCH($D151,'지수RAW'!$AH$7:$AH$12040,0)-1,1),GOOGLEFINANCE(V$2))"),64324)</f>
        <v/>
      </c>
      <c r="W151" s="25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5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3">
        <f t="array" ref="U152">IFERROR(INDEX(지수RAW!$AT$7:$AT$12040,MATCH($D152,지수RAW!$AP$7:$AP$12040,0)-1,1),지수RAW!$AU$4)</f>
        <v/>
      </c>
      <c r="V152" s="253">
        <f>IFERROR(__xludf.DUMMYFUNCTION("iferror(index('지수RAW'!$AL$7:$AL$12040,MATCH($D152,'지수RAW'!$AH$7:$AH$12040,0)-1,1),GOOGLEFINANCE(V$2))"),64324)</f>
        <v/>
      </c>
      <c r="W152" s="25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5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3">
        <f t="array" ref="U153">IFERROR(INDEX(지수RAW!$AT$7:$AT$12040,MATCH($D153,지수RAW!$AP$7:$AP$12040,0)-1,1),지수RAW!$AU$4)</f>
        <v/>
      </c>
      <c r="V153" s="253">
        <f>IFERROR(__xludf.DUMMYFUNCTION("iferror(index('지수RAW'!$AL$7:$AL$12040,MATCH($D153,'지수RAW'!$AH$7:$AH$12040,0)-1,1),GOOGLEFINANCE(V$2))"),64324)</f>
        <v/>
      </c>
      <c r="W153" s="25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5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3">
        <f t="array" ref="U154">IFERROR(INDEX(지수RAW!$AT$7:$AT$12040,MATCH($D154,지수RAW!$AP$7:$AP$12040,0)-1,1),지수RAW!$AU$4)</f>
        <v/>
      </c>
      <c r="V154" s="253">
        <f>IFERROR(__xludf.DUMMYFUNCTION("iferror(index('지수RAW'!$AL$7:$AL$12040,MATCH($D154,'지수RAW'!$AH$7:$AH$12040,0)-1,1),GOOGLEFINANCE(V$2))"),64324)</f>
        <v/>
      </c>
      <c r="W154" s="25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5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3">
        <f t="array" ref="U155">IFERROR(INDEX(지수RAW!$AT$7:$AT$12040,MATCH($D155,지수RAW!$AP$7:$AP$12040,0)-1,1),지수RAW!$AU$4)</f>
        <v/>
      </c>
      <c r="V155" s="253">
        <f>IFERROR(__xludf.DUMMYFUNCTION("iferror(index('지수RAW'!$AL$7:$AL$12040,MATCH($D155,'지수RAW'!$AH$7:$AH$12040,0)-1,1),GOOGLEFINANCE(V$2))"),64324)</f>
        <v/>
      </c>
      <c r="W155" s="25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5" min="3" max="5"/>
    <col width="13.1328125" customWidth="1" style="205" min="6" max="6"/>
    <col width="22.59765625" customWidth="1" style="205" min="7" max="7"/>
    <col width="18.3984375" customWidth="1" style="205" min="8" max="9"/>
  </cols>
  <sheetData>
    <row r="1" ht="12.75" customHeight="1" s="205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5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5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5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5">
      <c r="B5" s="60" t="n"/>
      <c r="C5" s="61" t="n"/>
      <c r="D5" s="61" t="n"/>
      <c r="E5" s="62" t="n"/>
      <c r="F5" s="61" t="n"/>
      <c r="G5" s="259" t="n"/>
      <c r="H5" s="61" t="n"/>
      <c r="I5" s="62" t="n"/>
      <c r="J5" s="47" t="n"/>
      <c r="K5" s="47" t="n"/>
      <c r="L5" s="47" t="n"/>
      <c r="M5" s="47" t="n"/>
    </row>
    <row r="6" ht="12.75" customHeight="1" s="205">
      <c r="B6" s="26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1" t="n"/>
      <c r="G6" s="262" t="n"/>
      <c r="H6" s="65" t="n">
        <v>1</v>
      </c>
      <c r="I6" s="263" t="n">
        <v>11</v>
      </c>
      <c r="J6" s="47" t="n"/>
      <c r="K6" s="47" t="n"/>
      <c r="L6" s="47" t="n"/>
      <c r="M6" s="47" t="n"/>
    </row>
    <row r="7" ht="12.75" customHeight="1" s="205">
      <c r="B7" s="26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1" t="n"/>
      <c r="G7" s="262" t="n"/>
      <c r="H7" s="264" t="n"/>
      <c r="I7" s="265" t="n"/>
      <c r="J7" s="47" t="n"/>
      <c r="K7" s="47" t="n"/>
      <c r="L7" s="47" t="n"/>
      <c r="M7" s="47" t="n"/>
    </row>
    <row r="8" ht="12.75" customHeight="1" s="205">
      <c r="B8" s="26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1" t="n"/>
      <c r="G8" s="262" t="n"/>
      <c r="H8" s="264" t="n"/>
      <c r="I8" s="265" t="n"/>
      <c r="J8" s="47" t="n"/>
      <c r="K8" s="47" t="n"/>
      <c r="L8" s="47" t="n"/>
      <c r="M8" s="47" t="n"/>
    </row>
    <row r="9" ht="12.75" customHeight="1" s="205">
      <c r="B9" s="26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1" t="n"/>
      <c r="G9" s="262" t="n"/>
      <c r="H9" s="264" t="n"/>
      <c r="I9" s="265" t="n"/>
      <c r="J9" s="47" t="n"/>
      <c r="K9" s="47" t="n"/>
      <c r="L9" s="47" t="n"/>
      <c r="M9" s="47" t="n"/>
    </row>
    <row r="10" ht="12.75" customHeight="1" s="205">
      <c r="B10" s="26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1" t="n"/>
      <c r="G10" s="262" t="n"/>
      <c r="H10" s="264" t="n"/>
      <c r="I10" s="265" t="n"/>
      <c r="J10" s="47" t="n"/>
      <c r="K10" s="47" t="n"/>
      <c r="L10" s="47" t="n"/>
      <c r="M10" s="47" t="n"/>
    </row>
    <row r="11" ht="12.75" customHeight="1" s="205">
      <c r="B11" s="26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1" t="n"/>
      <c r="G11" s="262" t="n"/>
      <c r="H11" s="264" t="n"/>
      <c r="I11" s="265" t="n"/>
      <c r="J11" s="47" t="n"/>
      <c r="K11" s="47" t="n"/>
      <c r="L11" s="47" t="n"/>
      <c r="M11" s="47" t="n"/>
    </row>
    <row r="12" ht="12.75" customHeight="1" s="205">
      <c r="B12" s="26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1" t="n"/>
      <c r="G12" s="262" t="n"/>
      <c r="H12" s="264" t="n"/>
      <c r="I12" s="265" t="n"/>
      <c r="J12" s="47" t="n"/>
      <c r="K12" s="47" t="n"/>
      <c r="L12" s="47" t="n"/>
      <c r="M12" s="47" t="n"/>
    </row>
    <row r="13" ht="12.75" customHeight="1" s="205">
      <c r="B13" s="26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1" t="n"/>
      <c r="G13" s="262" t="n"/>
      <c r="H13" s="264" t="n"/>
      <c r="I13" s="265" t="n"/>
      <c r="J13" s="47" t="n"/>
      <c r="K13" s="47" t="n"/>
      <c r="L13" s="47" t="n"/>
      <c r="M13" s="47" t="n"/>
    </row>
    <row r="14" ht="12.75" customHeight="1" s="205">
      <c r="B14" s="26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1" t="n"/>
      <c r="G14" s="262" t="n"/>
      <c r="H14" s="264" t="n"/>
      <c r="I14" s="265" t="n"/>
      <c r="J14" s="47" t="n"/>
      <c r="K14" s="47" t="n"/>
      <c r="L14" s="47" t="n"/>
      <c r="M14" s="47" t="n"/>
    </row>
    <row r="15" ht="12.75" customHeight="1" s="205">
      <c r="B15" s="26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1" t="n"/>
      <c r="G15" s="262" t="n"/>
      <c r="H15" s="264" t="n"/>
      <c r="I15" s="265" t="n"/>
      <c r="J15" s="47" t="n"/>
      <c r="K15" s="47" t="n"/>
      <c r="L15" s="47" t="n"/>
      <c r="M15" s="47" t="n"/>
    </row>
    <row r="16" ht="12.75" customHeight="1" s="205">
      <c r="B16" s="26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1" t="n"/>
      <c r="G16" s="262" t="n"/>
      <c r="H16" s="264" t="n"/>
      <c r="I16" s="265" t="n"/>
      <c r="J16" s="47" t="n"/>
      <c r="K16" s="47" t="n"/>
      <c r="L16" s="47" t="n"/>
      <c r="M16" s="47" t="n"/>
    </row>
    <row r="17" ht="12.75" customHeight="1" s="205">
      <c r="B17" s="26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1" t="n"/>
      <c r="G17" s="262" t="n"/>
      <c r="H17" s="264" t="n"/>
      <c r="I17" s="265" t="n"/>
      <c r="J17" s="47" t="n"/>
      <c r="K17" s="47" t="n"/>
      <c r="L17" s="47" t="n"/>
      <c r="M17" s="47" t="n"/>
    </row>
    <row r="18" ht="12.75" customHeight="1" s="205">
      <c r="B18" s="26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1" t="n"/>
      <c r="G18" s="262" t="n"/>
      <c r="H18" s="264" t="n"/>
      <c r="I18" s="265" t="n"/>
      <c r="J18" s="47" t="n"/>
      <c r="K18" s="47" t="n"/>
      <c r="L18" s="47" t="n"/>
      <c r="M18" s="47" t="n"/>
    </row>
    <row r="19" ht="12.75" customHeight="1" s="205">
      <c r="B19" s="26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1" t="n"/>
      <c r="G19" s="262" t="n"/>
      <c r="H19" s="264" t="n"/>
      <c r="I19" s="265" t="n"/>
      <c r="J19" s="47" t="n"/>
      <c r="K19" s="47" t="n"/>
      <c r="L19" s="47" t="n"/>
      <c r="M19" s="47" t="n"/>
    </row>
    <row r="20" ht="12.75" customHeight="1" s="205">
      <c r="B20" s="26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1" t="n"/>
      <c r="G20" s="262" t="n"/>
      <c r="H20" s="264" t="n"/>
      <c r="I20" s="265" t="n"/>
      <c r="J20" s="47" t="n"/>
      <c r="K20" s="47" t="n"/>
      <c r="L20" s="47" t="n"/>
      <c r="M20" s="47" t="n"/>
    </row>
    <row r="21" ht="12.75" customHeight="1" s="205">
      <c r="B21" s="26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1" t="n"/>
      <c r="G21" s="262" t="n"/>
      <c r="H21" s="264" t="n"/>
      <c r="I21" s="265" t="n"/>
      <c r="J21" s="47" t="n"/>
      <c r="K21" s="47" t="n"/>
      <c r="L21" s="47" t="n"/>
      <c r="M21" s="47" t="n"/>
    </row>
    <row r="22" ht="12.75" customHeight="1" s="205">
      <c r="B22" s="26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1" t="n"/>
      <c r="G22" s="262" t="n"/>
      <c r="H22" s="264" t="n"/>
      <c r="I22" s="265" t="n"/>
      <c r="J22" s="47" t="n"/>
      <c r="K22" s="47" t="n"/>
      <c r="L22" s="47" t="n"/>
      <c r="M22" s="47" t="n"/>
    </row>
    <row r="23" ht="12.75" customHeight="1" s="205">
      <c r="B23" s="26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1" t="n"/>
      <c r="G23" s="262" t="n"/>
      <c r="H23" s="264" t="n"/>
      <c r="I23" s="265" t="n"/>
      <c r="J23" s="47" t="n"/>
      <c r="K23" s="47" t="n"/>
      <c r="L23" s="47" t="n"/>
      <c r="M23" s="47" t="n"/>
    </row>
    <row r="24" ht="12.75" customHeight="1" s="205">
      <c r="B24" s="26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1" t="n"/>
      <c r="G24" s="262" t="n"/>
      <c r="H24" s="264" t="n"/>
      <c r="I24" s="265" t="n"/>
      <c r="J24" s="47" t="n"/>
      <c r="K24" s="47" t="n"/>
      <c r="L24" s="47" t="n"/>
      <c r="M24" s="47" t="n"/>
    </row>
    <row r="25" ht="12.75" customHeight="1" s="205">
      <c r="B25" s="26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1" t="n"/>
      <c r="G25" s="262" t="n"/>
      <c r="H25" s="264" t="n"/>
      <c r="I25" s="265" t="n"/>
      <c r="J25" s="47" t="n"/>
      <c r="K25" s="47" t="n"/>
      <c r="L25" s="47" t="n"/>
      <c r="M25" s="47" t="n"/>
    </row>
    <row r="26" ht="12.75" customHeight="1" s="205">
      <c r="B26" s="26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1" t="n"/>
      <c r="G26" s="262" t="n"/>
      <c r="H26" s="264" t="n"/>
      <c r="I26" s="265" t="n"/>
      <c r="J26" s="47" t="n"/>
      <c r="K26" s="47" t="n"/>
      <c r="L26" s="47" t="n"/>
      <c r="M26" s="47" t="n"/>
    </row>
    <row r="27" ht="12.75" customHeight="1" s="205">
      <c r="B27" s="26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1" t="n"/>
      <c r="G27" s="262" t="n"/>
      <c r="H27" s="264" t="n"/>
      <c r="I27" s="265" t="n"/>
      <c r="J27" s="47" t="n"/>
      <c r="K27" s="47" t="n"/>
      <c r="L27" s="47" t="n"/>
      <c r="M27" s="47" t="n"/>
    </row>
    <row r="28" ht="12.75" customHeight="1" s="205">
      <c r="B28" s="26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1" t="n"/>
      <c r="G28" s="262" t="n"/>
      <c r="H28" s="264" t="n"/>
      <c r="I28" s="265" t="n"/>
      <c r="J28" s="47" t="n"/>
      <c r="K28" s="47" t="n"/>
      <c r="L28" s="47" t="n"/>
      <c r="M28" s="47" t="n"/>
    </row>
    <row r="29" ht="12.75" customHeight="1" s="205">
      <c r="B29" s="26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1" t="n"/>
      <c r="G29" s="262" t="n"/>
      <c r="H29" s="264" t="n"/>
      <c r="I29" s="265" t="n"/>
      <c r="J29" s="47" t="n"/>
      <c r="K29" s="47" t="n"/>
      <c r="L29" s="47" t="n"/>
      <c r="M29" s="47" t="n"/>
    </row>
    <row r="30" ht="12.75" customHeight="1" s="205">
      <c r="B30" s="26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1" t="n"/>
      <c r="G30" s="262" t="n"/>
      <c r="H30" s="264" t="n"/>
      <c r="I30" s="265" t="n"/>
      <c r="J30" s="47" t="n"/>
      <c r="K30" s="47" t="n"/>
      <c r="L30" s="47" t="n"/>
      <c r="M30" s="47" t="n"/>
    </row>
    <row r="31" ht="12.75" customHeight="1" s="205">
      <c r="B31" s="26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1" t="n"/>
      <c r="G31" s="262" t="n"/>
      <c r="H31" s="264" t="n"/>
      <c r="I31" s="265" t="n"/>
      <c r="J31" s="47" t="n"/>
      <c r="K31" s="47" t="n"/>
      <c r="L31" s="47" t="n"/>
      <c r="M31" s="47" t="n"/>
    </row>
    <row r="32" ht="12.75" customHeight="1" s="205">
      <c r="B32" s="26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1" t="n"/>
      <c r="G32" s="262" t="n"/>
      <c r="H32" s="264" t="n"/>
      <c r="I32" s="265" t="n"/>
      <c r="J32" s="47" t="n"/>
      <c r="K32" s="47" t="n"/>
      <c r="L32" s="47" t="n"/>
      <c r="M32" s="47" t="n"/>
    </row>
    <row r="33" ht="12.75" customHeight="1" s="205">
      <c r="B33" s="26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1" t="n"/>
      <c r="G33" s="262" t="n"/>
      <c r="H33" s="264" t="n"/>
      <c r="I33" s="265" t="n"/>
      <c r="J33" s="47" t="n"/>
      <c r="K33" s="47" t="n"/>
      <c r="L33" s="47" t="n"/>
      <c r="M33" s="47" t="n"/>
    </row>
    <row r="34" ht="12.75" customHeight="1" s="205">
      <c r="B34" s="26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1" t="n"/>
      <c r="G34" s="262" t="n"/>
      <c r="H34" s="264" t="n"/>
      <c r="I34" s="265" t="n"/>
      <c r="J34" s="47" t="n"/>
      <c r="K34" s="47" t="n"/>
      <c r="L34" s="47" t="n"/>
      <c r="M34" s="47" t="n"/>
    </row>
    <row r="35" ht="12.75" customHeight="1" s="205">
      <c r="B35" s="26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1" t="n"/>
      <c r="G35" s="262" t="n"/>
      <c r="H35" s="264" t="n"/>
      <c r="I35" s="265" t="n"/>
      <c r="J35" s="47" t="n"/>
      <c r="K35" s="47" t="n"/>
      <c r="L35" s="47" t="n"/>
      <c r="M35" s="47" t="n"/>
    </row>
    <row r="36" ht="12.75" customHeight="1" s="205">
      <c r="B36" s="26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1" t="n"/>
      <c r="G36" s="262" t="n"/>
      <c r="H36" s="264" t="n"/>
      <c r="I36" s="265" t="n"/>
      <c r="J36" s="47" t="n"/>
      <c r="K36" s="47" t="n"/>
      <c r="L36" s="47" t="n"/>
      <c r="M36" s="47" t="n"/>
    </row>
    <row r="37" ht="12.75" customHeight="1" s="205">
      <c r="B37" s="26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1" t="n"/>
      <c r="G37" s="262" t="n"/>
      <c r="H37" s="264" t="n"/>
      <c r="I37" s="265" t="n"/>
      <c r="J37" s="47" t="n"/>
      <c r="K37" s="47" t="n"/>
      <c r="L37" s="47" t="n"/>
      <c r="M37" s="47" t="n"/>
    </row>
    <row r="38" ht="12.75" customHeight="1" s="205">
      <c r="B38" s="26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1" t="n"/>
      <c r="G38" s="262" t="n"/>
      <c r="H38" s="264" t="n"/>
      <c r="I38" s="265" t="n"/>
      <c r="J38" s="47" t="n"/>
      <c r="K38" s="47" t="n"/>
      <c r="L38" s="47" t="n"/>
      <c r="M38" s="47" t="n"/>
    </row>
    <row r="39" ht="12.75" customHeight="1" s="205">
      <c r="B39" s="26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1" t="n"/>
      <c r="G39" s="262" t="n"/>
      <c r="H39" s="264" t="n"/>
      <c r="I39" s="265" t="n"/>
      <c r="J39" s="47" t="n"/>
      <c r="K39" s="47" t="n"/>
      <c r="L39" s="47" t="n"/>
      <c r="M39" s="47" t="n"/>
    </row>
    <row r="40" ht="12.75" customHeight="1" s="205">
      <c r="B40" s="26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1" t="n"/>
      <c r="G40" s="262" t="n"/>
      <c r="H40" s="264" t="n"/>
      <c r="I40" s="265" t="n"/>
      <c r="J40" s="47" t="n"/>
      <c r="K40" s="47" t="n"/>
      <c r="L40" s="47" t="n"/>
      <c r="M40" s="47" t="n"/>
    </row>
    <row r="41" ht="12.75" customHeight="1" s="205">
      <c r="B41" s="26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1" t="n"/>
      <c r="G41" s="262" t="n"/>
      <c r="H41" s="264" t="n"/>
      <c r="I41" s="265" t="n"/>
      <c r="J41" s="47" t="n"/>
      <c r="K41" s="47" t="n"/>
      <c r="L41" s="47" t="n"/>
      <c r="M41" s="47" t="n"/>
    </row>
    <row r="42" ht="12.75" customHeight="1" s="205">
      <c r="B42" s="26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1" t="n"/>
      <c r="G42" s="262" t="n"/>
      <c r="H42" s="264" t="n"/>
      <c r="I42" s="265" t="n"/>
      <c r="J42" s="47" t="n"/>
      <c r="K42" s="47" t="n"/>
      <c r="L42" s="47" t="n"/>
      <c r="M42" s="47" t="n"/>
    </row>
    <row r="43" ht="12.75" customHeight="1" s="205">
      <c r="B43" s="26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1" t="n"/>
      <c r="G43" s="262" t="n"/>
      <c r="H43" s="264" t="n"/>
      <c r="I43" s="265" t="n"/>
      <c r="J43" s="47" t="n"/>
      <c r="K43" s="47" t="n"/>
      <c r="L43" s="47" t="n"/>
      <c r="M43" s="47" t="n"/>
    </row>
    <row r="44" ht="12.75" customHeight="1" s="205">
      <c r="B44" s="26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1" t="n"/>
      <c r="G44" s="262" t="n"/>
      <c r="H44" s="264" t="n"/>
      <c r="I44" s="265" t="n"/>
      <c r="J44" s="47" t="n"/>
      <c r="K44" s="47" t="n"/>
      <c r="L44" s="47" t="n"/>
      <c r="M44" s="47" t="n"/>
    </row>
    <row r="45" ht="12.75" customHeight="1" s="205">
      <c r="B45" s="26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1" t="n"/>
      <c r="G45" s="262" t="n"/>
      <c r="H45" s="264" t="n"/>
      <c r="I45" s="265" t="n"/>
      <c r="J45" s="47" t="n"/>
      <c r="K45" s="47" t="n"/>
      <c r="L45" s="47" t="n"/>
      <c r="M45" s="47" t="n"/>
    </row>
    <row r="46" ht="12.75" customHeight="1" s="205">
      <c r="B46" s="26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1" t="n"/>
      <c r="G46" s="262" t="n"/>
      <c r="H46" s="264" t="n"/>
      <c r="I46" s="265" t="n"/>
      <c r="J46" s="47" t="n"/>
      <c r="K46" s="47" t="n"/>
      <c r="L46" s="47" t="n"/>
      <c r="M46" s="47" t="n"/>
    </row>
    <row r="47" ht="12.75" customHeight="1" s="205">
      <c r="B47" s="26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1" t="n"/>
      <c r="G47" s="262" t="n"/>
      <c r="H47" s="264" t="n"/>
      <c r="I47" s="265" t="n"/>
      <c r="J47" s="47" t="n"/>
      <c r="K47" s="47" t="n"/>
      <c r="L47" s="47" t="n"/>
      <c r="M47" s="47" t="n"/>
    </row>
    <row r="48" ht="12.75" customHeight="1" s="205">
      <c r="B48" s="26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1" t="n"/>
      <c r="G48" s="262" t="n"/>
      <c r="H48" s="264" t="n"/>
      <c r="I48" s="265" t="n"/>
      <c r="J48" s="47" t="n"/>
      <c r="K48" s="47" t="n"/>
      <c r="L48" s="47" t="n"/>
      <c r="M48" s="47" t="n"/>
    </row>
    <row r="49" ht="12.75" customHeight="1" s="205">
      <c r="B49" s="26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1" t="n"/>
      <c r="G49" s="262" t="n"/>
      <c r="H49" s="264" t="n"/>
      <c r="I49" s="265" t="n"/>
      <c r="J49" s="47" t="n"/>
      <c r="K49" s="47" t="n"/>
      <c r="L49" s="47" t="n"/>
      <c r="M49" s="47" t="n"/>
    </row>
    <row r="50" ht="12.75" customHeight="1" s="205">
      <c r="B50" s="26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1" t="n"/>
      <c r="G50" s="262" t="n"/>
      <c r="H50" s="264" t="n"/>
      <c r="I50" s="265" t="n"/>
      <c r="J50" s="47" t="n"/>
      <c r="K50" s="47" t="n"/>
      <c r="L50" s="47" t="n"/>
      <c r="M50" s="47" t="n"/>
    </row>
    <row r="51" ht="12.75" customHeight="1" s="205">
      <c r="B51" s="26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1" t="n"/>
      <c r="G51" s="262" t="n"/>
      <c r="H51" s="264" t="n"/>
      <c r="I51" s="265" t="n"/>
      <c r="J51" s="47" t="n"/>
      <c r="K51" s="47" t="n"/>
      <c r="L51" s="47" t="n"/>
      <c r="M51" s="47" t="n"/>
    </row>
    <row r="52" ht="12.75" customHeight="1" s="205">
      <c r="B52" s="26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1" t="n"/>
      <c r="G52" s="262" t="n"/>
      <c r="H52" s="264" t="n"/>
      <c r="I52" s="265" t="n"/>
      <c r="J52" s="47" t="n"/>
      <c r="K52" s="47" t="n"/>
      <c r="L52" s="47" t="n"/>
      <c r="M52" s="47" t="n"/>
    </row>
    <row r="53" ht="12.75" customHeight="1" s="205">
      <c r="B53" s="26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1" t="n"/>
      <c r="G53" s="262" t="n"/>
      <c r="H53" s="264" t="n"/>
      <c r="I53" s="265" t="n"/>
      <c r="J53" s="47" t="n"/>
      <c r="K53" s="47" t="n"/>
      <c r="L53" s="47" t="n"/>
      <c r="M53" s="47" t="n"/>
    </row>
    <row r="54" ht="12.75" customHeight="1" s="205">
      <c r="B54" s="26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1" t="n"/>
      <c r="G54" s="262" t="n"/>
      <c r="H54" s="264" t="n"/>
      <c r="I54" s="265" t="n"/>
      <c r="J54" s="47" t="n"/>
      <c r="K54" s="47" t="n"/>
      <c r="L54" s="47" t="n"/>
      <c r="M54" s="47" t="n"/>
    </row>
    <row r="55" ht="12.75" customHeight="1" s="205">
      <c r="B55" s="26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1" t="n"/>
      <c r="G55" s="262" t="n"/>
      <c r="H55" s="264" t="n"/>
      <c r="I55" s="265" t="n"/>
      <c r="J55" s="47" t="n"/>
      <c r="K55" s="47" t="n"/>
      <c r="L55" s="47" t="n"/>
      <c r="M55" s="47" t="n"/>
    </row>
    <row r="56" ht="12.75" customHeight="1" s="205">
      <c r="B56" s="26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1" t="n"/>
      <c r="G56" s="262" t="n"/>
      <c r="H56" s="264" t="n"/>
      <c r="I56" s="265" t="n"/>
      <c r="J56" s="47" t="n"/>
      <c r="K56" s="47" t="n"/>
      <c r="L56" s="47" t="n"/>
      <c r="M56" s="47" t="n"/>
    </row>
    <row r="57" ht="12.75" customHeight="1" s="205">
      <c r="B57" s="26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1" t="n"/>
      <c r="G57" s="262" t="n"/>
      <c r="H57" s="264" t="n"/>
      <c r="I57" s="265" t="n"/>
      <c r="J57" s="47" t="n"/>
      <c r="K57" s="47" t="n"/>
      <c r="L57" s="47" t="n"/>
      <c r="M57" s="47" t="n"/>
    </row>
    <row r="58" ht="12.75" customHeight="1" s="205">
      <c r="B58" s="26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1" t="n"/>
      <c r="G58" s="262" t="n"/>
      <c r="H58" s="264" t="n"/>
      <c r="I58" s="265" t="n"/>
      <c r="J58" s="47" t="n"/>
      <c r="K58" s="47" t="n"/>
      <c r="L58" s="47" t="n"/>
      <c r="M58" s="47" t="n"/>
    </row>
    <row r="59" ht="12.75" customHeight="1" s="205">
      <c r="B59" s="26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1" t="n"/>
      <c r="G59" s="262" t="n"/>
      <c r="H59" s="264" t="n"/>
      <c r="I59" s="265" t="n"/>
      <c r="J59" s="47" t="n"/>
      <c r="K59" s="47" t="n"/>
      <c r="L59" s="47" t="n"/>
      <c r="M59" s="47" t="n"/>
    </row>
    <row r="60" ht="12.75" customHeight="1" s="205">
      <c r="B60" s="26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1" t="n"/>
      <c r="G60" s="262" t="n"/>
      <c r="H60" s="264" t="n"/>
      <c r="I60" s="265" t="n"/>
      <c r="J60" s="47" t="n"/>
      <c r="K60" s="47" t="n"/>
      <c r="L60" s="47" t="n"/>
      <c r="M60" s="47" t="n"/>
    </row>
    <row r="61" ht="12.75" customHeight="1" s="205">
      <c r="B61" s="26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1" t="n"/>
      <c r="G61" s="262" t="n"/>
      <c r="H61" s="264" t="n"/>
      <c r="I61" s="265" t="n"/>
      <c r="J61" s="47" t="n"/>
      <c r="K61" s="47" t="n"/>
      <c r="L61" s="47" t="n"/>
      <c r="M61" s="47" t="n"/>
    </row>
    <row r="62" ht="12.75" customHeight="1" s="205">
      <c r="B62" s="26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1" t="n"/>
      <c r="G62" s="262" t="n"/>
      <c r="H62" s="264" t="n"/>
      <c r="I62" s="265" t="n"/>
      <c r="J62" s="47" t="n"/>
      <c r="K62" s="47" t="n"/>
      <c r="L62" s="47" t="n"/>
      <c r="M62" s="47" t="n"/>
    </row>
    <row r="63" ht="12.75" customHeight="1" s="205">
      <c r="B63" s="26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1" t="n"/>
      <c r="G63" s="262" t="n"/>
      <c r="H63" s="264" t="n"/>
      <c r="I63" s="265" t="n"/>
      <c r="J63" s="47" t="n"/>
      <c r="K63" s="47" t="n"/>
      <c r="L63" s="47" t="n"/>
      <c r="M63" s="47" t="n"/>
    </row>
    <row r="64" ht="12.75" customHeight="1" s="205">
      <c r="B64" s="26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1" t="n"/>
      <c r="G64" s="262" t="n"/>
      <c r="H64" s="264" t="n"/>
      <c r="I64" s="265" t="n"/>
      <c r="J64" s="47" t="n"/>
      <c r="K64" s="47" t="n"/>
      <c r="L64" s="47" t="n"/>
      <c r="M64" s="47" t="n"/>
    </row>
    <row r="65" ht="12.75" customHeight="1" s="205">
      <c r="B65" s="26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1" t="n"/>
      <c r="G65" s="262" t="n"/>
      <c r="H65" s="264" t="n"/>
      <c r="I65" s="265" t="n"/>
      <c r="J65" s="47" t="n"/>
      <c r="K65" s="47" t="n"/>
      <c r="L65" s="47" t="n"/>
      <c r="M65" s="47" t="n"/>
    </row>
    <row r="66" ht="12.75" customHeight="1" s="205">
      <c r="B66" s="26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1" t="n"/>
      <c r="G66" s="262" t="n"/>
      <c r="H66" s="264" t="n"/>
      <c r="I66" s="265" t="n"/>
      <c r="J66" s="47" t="n"/>
      <c r="K66" s="47" t="n"/>
      <c r="L66" s="47" t="n"/>
      <c r="M66" s="47" t="n"/>
    </row>
    <row r="67" ht="12.75" customHeight="1" s="205">
      <c r="B67" s="26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1" t="n"/>
      <c r="G67" s="262" t="n"/>
      <c r="H67" s="264" t="n"/>
      <c r="I67" s="265" t="n"/>
      <c r="J67" s="47" t="n"/>
      <c r="K67" s="47" t="n"/>
      <c r="L67" s="47" t="n"/>
      <c r="M67" s="47" t="n"/>
    </row>
    <row r="68" ht="12.75" customHeight="1" s="205">
      <c r="B68" s="26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1" t="n"/>
      <c r="G68" s="262" t="n"/>
      <c r="H68" s="264" t="n"/>
      <c r="I68" s="265" t="n"/>
      <c r="J68" s="47" t="n"/>
      <c r="K68" s="47" t="n"/>
      <c r="L68" s="47" t="n"/>
      <c r="M68" s="47" t="n"/>
    </row>
    <row r="69" ht="12.75" customHeight="1" s="205">
      <c r="B69" s="26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1" t="n"/>
      <c r="G69" s="262" t="n"/>
      <c r="H69" s="264" t="n"/>
      <c r="I69" s="265" t="n"/>
      <c r="J69" s="47" t="n"/>
      <c r="K69" s="47" t="n"/>
      <c r="L69" s="47" t="n"/>
      <c r="M69" s="47" t="n"/>
    </row>
    <row r="70" ht="12.75" customHeight="1" s="205">
      <c r="B70" s="26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1" t="n"/>
      <c r="G70" s="262" t="n"/>
      <c r="H70" s="264" t="n"/>
      <c r="I70" s="265" t="n"/>
      <c r="J70" s="47" t="n"/>
      <c r="K70" s="47" t="n"/>
      <c r="L70" s="47" t="n"/>
      <c r="M70" s="47" t="n"/>
    </row>
    <row r="71" ht="12.75" customHeight="1" s="205">
      <c r="B71" s="26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1" t="n"/>
      <c r="G71" s="262" t="n"/>
      <c r="H71" s="264" t="n"/>
      <c r="I71" s="265" t="n"/>
      <c r="J71" s="47" t="n"/>
      <c r="K71" s="47" t="n"/>
      <c r="L71" s="47" t="n"/>
      <c r="M71" s="47" t="n"/>
    </row>
    <row r="72" ht="12.75" customHeight="1" s="205">
      <c r="B72" s="26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1" t="n"/>
      <c r="G72" s="262" t="n"/>
      <c r="H72" s="264" t="n"/>
      <c r="I72" s="265" t="n"/>
      <c r="J72" s="47" t="n"/>
      <c r="K72" s="47" t="n"/>
      <c r="L72" s="47" t="n"/>
      <c r="M72" s="47" t="n"/>
    </row>
    <row r="73" ht="12.75" customHeight="1" s="205">
      <c r="B73" s="26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1" t="n"/>
      <c r="G73" s="262" t="n"/>
      <c r="H73" s="264" t="n"/>
      <c r="I73" s="265" t="n"/>
      <c r="J73" s="47" t="n"/>
      <c r="K73" s="47" t="n"/>
      <c r="L73" s="47" t="n"/>
      <c r="M73" s="47" t="n"/>
    </row>
    <row r="74" ht="12.75" customHeight="1" s="205">
      <c r="B74" s="26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1" t="n"/>
      <c r="G74" s="262" t="n"/>
      <c r="H74" s="264" t="n"/>
      <c r="I74" s="265" t="n"/>
      <c r="J74" s="47" t="n"/>
      <c r="K74" s="47" t="n"/>
      <c r="L74" s="47" t="n"/>
      <c r="M74" s="47" t="n"/>
    </row>
    <row r="75" ht="12.75" customHeight="1" s="205">
      <c r="B75" s="26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1" t="n"/>
      <c r="G75" s="262" t="n"/>
      <c r="H75" s="264" t="n"/>
      <c r="I75" s="265" t="n"/>
      <c r="J75" s="47" t="n"/>
      <c r="K75" s="47" t="n"/>
      <c r="L75" s="47" t="n"/>
      <c r="M75" s="47" t="n"/>
    </row>
    <row r="76" ht="12.75" customHeight="1" s="205">
      <c r="B76" s="26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1" t="n"/>
      <c r="G76" s="262" t="n"/>
      <c r="H76" s="264" t="n"/>
      <c r="I76" s="265" t="n"/>
      <c r="J76" s="47" t="n"/>
      <c r="K76" s="47" t="n"/>
      <c r="L76" s="47" t="n"/>
      <c r="M76" s="47" t="n"/>
    </row>
    <row r="77" ht="12.75" customHeight="1" s="205">
      <c r="B77" s="26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1" t="n"/>
      <c r="G77" s="262" t="n"/>
      <c r="H77" s="264" t="n"/>
      <c r="I77" s="265" t="n"/>
      <c r="J77" s="47" t="n"/>
      <c r="K77" s="47" t="n"/>
      <c r="L77" s="47" t="n"/>
      <c r="M77" s="47" t="n"/>
    </row>
    <row r="78" ht="12.75" customHeight="1" s="205">
      <c r="B78" s="26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1" t="n"/>
      <c r="G78" s="262" t="n"/>
      <c r="H78" s="264" t="n"/>
      <c r="I78" s="265" t="n"/>
      <c r="J78" s="47" t="n"/>
      <c r="K78" s="47" t="n"/>
      <c r="L78" s="47" t="n"/>
      <c r="M78" s="47" t="n"/>
    </row>
    <row r="79" ht="12.75" customHeight="1" s="205">
      <c r="B79" s="26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1" t="n"/>
      <c r="G79" s="262" t="n"/>
      <c r="H79" s="264" t="n"/>
      <c r="I79" s="265" t="n"/>
      <c r="J79" s="47" t="n"/>
      <c r="K79" s="47" t="n"/>
      <c r="L79" s="47" t="n"/>
      <c r="M79" s="47" t="n"/>
    </row>
    <row r="80" ht="12.75" customHeight="1" s="205">
      <c r="B80" s="26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1" t="n"/>
      <c r="G80" s="262" t="n"/>
      <c r="H80" s="264" t="n"/>
      <c r="I80" s="265" t="n"/>
      <c r="J80" s="47" t="n"/>
      <c r="K80" s="47" t="n"/>
      <c r="L80" s="47" t="n"/>
      <c r="M80" s="47" t="n"/>
    </row>
    <row r="81" ht="12.75" customHeight="1" s="205">
      <c r="B81" s="26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1" t="n"/>
      <c r="G81" s="262" t="n"/>
      <c r="H81" s="264" t="n"/>
      <c r="I81" s="265" t="n"/>
      <c r="J81" s="47" t="n"/>
      <c r="K81" s="47" t="n"/>
      <c r="L81" s="47" t="n"/>
      <c r="M81" s="47" t="n"/>
    </row>
    <row r="82" ht="12.75" customHeight="1" s="205">
      <c r="B82" s="26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1" t="n"/>
      <c r="G82" s="262" t="n"/>
      <c r="H82" s="264" t="n"/>
      <c r="I82" s="265" t="n"/>
      <c r="J82" s="47" t="n"/>
      <c r="K82" s="47" t="n"/>
      <c r="L82" s="47" t="n"/>
      <c r="M82" s="47" t="n"/>
    </row>
    <row r="83" ht="12.75" customHeight="1" s="205">
      <c r="B83" s="26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1" t="n"/>
      <c r="G83" s="262" t="n"/>
      <c r="H83" s="264" t="n"/>
      <c r="I83" s="265" t="n"/>
      <c r="J83" s="47" t="n"/>
      <c r="K83" s="47" t="n"/>
      <c r="L83" s="47" t="n"/>
      <c r="M83" s="47" t="n"/>
    </row>
    <row r="84" ht="12.75" customHeight="1" s="205">
      <c r="B84" s="26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1" t="n"/>
      <c r="G84" s="262" t="n"/>
      <c r="H84" s="264" t="n"/>
      <c r="I84" s="265" t="n"/>
      <c r="J84" s="47" t="n"/>
      <c r="K84" s="47" t="n"/>
      <c r="L84" s="47" t="n"/>
      <c r="M84" s="47" t="n"/>
    </row>
    <row r="85" ht="12.75" customHeight="1" s="205">
      <c r="B85" s="26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1" t="n"/>
      <c r="G85" s="262" t="n"/>
      <c r="H85" s="264" t="n"/>
      <c r="I85" s="265" t="n"/>
      <c r="J85" s="47" t="n"/>
      <c r="K85" s="47" t="n"/>
      <c r="L85" s="47" t="n"/>
      <c r="M85" s="47" t="n"/>
    </row>
    <row r="86" ht="12.75" customHeight="1" s="205">
      <c r="B86" s="26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1" t="n"/>
      <c r="G86" s="262" t="n"/>
      <c r="H86" s="264" t="n"/>
      <c r="I86" s="265" t="n"/>
      <c r="J86" s="47" t="n"/>
      <c r="K86" s="47" t="n"/>
      <c r="L86" s="47" t="n"/>
      <c r="M86" s="47" t="n"/>
    </row>
    <row r="87" ht="12.75" customHeight="1" s="205">
      <c r="B87" s="26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1" t="n"/>
      <c r="G87" s="262" t="n"/>
      <c r="H87" s="264" t="n"/>
      <c r="I87" s="265" t="n"/>
      <c r="J87" s="47" t="n"/>
      <c r="K87" s="47" t="n"/>
      <c r="L87" s="47" t="n"/>
      <c r="M87" s="47" t="n"/>
    </row>
    <row r="88" ht="12.75" customHeight="1" s="205">
      <c r="B88" s="26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1" t="n"/>
      <c r="G88" s="262" t="n"/>
      <c r="H88" s="264" t="n"/>
      <c r="I88" s="265" t="n"/>
      <c r="J88" s="47" t="n"/>
      <c r="K88" s="47" t="n"/>
      <c r="L88" s="47" t="n"/>
      <c r="M88" s="47" t="n"/>
    </row>
    <row r="89" ht="12.75" customHeight="1" s="205">
      <c r="B89" s="26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1" t="n"/>
      <c r="G89" s="262" t="n"/>
      <c r="H89" s="264" t="n"/>
      <c r="I89" s="265" t="n"/>
      <c r="J89" s="47" t="n"/>
      <c r="K89" s="47" t="n"/>
      <c r="L89" s="47" t="n"/>
      <c r="M89" s="47" t="n"/>
    </row>
    <row r="90" ht="12.75" customHeight="1" s="205">
      <c r="B90" s="26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1" t="n"/>
      <c r="G90" s="262" t="n"/>
      <c r="H90" s="264" t="n"/>
      <c r="I90" s="265" t="n"/>
      <c r="J90" s="47" t="n"/>
      <c r="K90" s="47" t="n"/>
      <c r="L90" s="47" t="n"/>
      <c r="M90" s="47" t="n"/>
    </row>
    <row r="91" ht="12.75" customHeight="1" s="205">
      <c r="B91" s="26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1" t="n"/>
      <c r="G91" s="262" t="n"/>
      <c r="H91" s="264" t="n"/>
      <c r="I91" s="265" t="n"/>
      <c r="J91" s="47" t="n"/>
      <c r="K91" s="47" t="n"/>
      <c r="L91" s="47" t="n"/>
      <c r="M91" s="47" t="n"/>
    </row>
    <row r="92" ht="12.75" customHeight="1" s="205">
      <c r="B92" s="26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1" t="n"/>
      <c r="G92" s="262" t="n"/>
      <c r="H92" s="264" t="n"/>
      <c r="I92" s="265" t="n"/>
      <c r="J92" s="47" t="n"/>
      <c r="K92" s="47" t="n"/>
      <c r="L92" s="47" t="n"/>
      <c r="M92" s="47" t="n"/>
    </row>
    <row r="93" ht="12.75" customHeight="1" s="205">
      <c r="B93" s="26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1" t="n"/>
      <c r="G93" s="262" t="n"/>
      <c r="H93" s="264" t="n"/>
      <c r="I93" s="265" t="n"/>
      <c r="J93" s="47" t="n"/>
      <c r="K93" s="47" t="n"/>
      <c r="L93" s="47" t="n"/>
      <c r="M93" s="47" t="n"/>
    </row>
    <row r="94" ht="12.75" customHeight="1" s="205">
      <c r="B94" s="26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1" t="n"/>
      <c r="G94" s="262" t="n"/>
      <c r="H94" s="264" t="n"/>
      <c r="I94" s="265" t="n"/>
      <c r="J94" s="47" t="n"/>
      <c r="K94" s="47" t="n"/>
      <c r="L94" s="47" t="n"/>
      <c r="M94" s="47" t="n"/>
    </row>
    <row r="95" ht="12.75" customHeight="1" s="205">
      <c r="B95" s="26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1" t="n"/>
      <c r="G95" s="262" t="n"/>
      <c r="H95" s="264" t="n"/>
      <c r="I95" s="265" t="n"/>
      <c r="J95" s="47" t="n"/>
      <c r="K95" s="47" t="n"/>
      <c r="L95" s="47" t="n"/>
      <c r="M95" s="47" t="n"/>
    </row>
    <row r="96" ht="12.75" customHeight="1" s="205">
      <c r="B96" s="26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1" t="n"/>
      <c r="G96" s="262" t="n"/>
      <c r="H96" s="264" t="n"/>
      <c r="I96" s="265" t="n"/>
      <c r="J96" s="47" t="n"/>
      <c r="K96" s="47" t="n"/>
      <c r="L96" s="47" t="n"/>
      <c r="M96" s="47" t="n"/>
    </row>
    <row r="97" ht="12.75" customHeight="1" s="205">
      <c r="B97" s="26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1" t="n"/>
      <c r="G97" s="262" t="n"/>
      <c r="H97" s="264" t="n"/>
      <c r="I97" s="265" t="n"/>
      <c r="J97" s="47" t="n"/>
      <c r="K97" s="47" t="n"/>
      <c r="L97" s="47" t="n"/>
      <c r="M97" s="47" t="n"/>
    </row>
    <row r="98" ht="12.75" customHeight="1" s="205">
      <c r="B98" s="26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1" t="n"/>
      <c r="G98" s="262" t="n"/>
      <c r="H98" s="264" t="n"/>
      <c r="I98" s="265" t="n"/>
      <c r="J98" s="47" t="n"/>
      <c r="K98" s="47" t="n"/>
      <c r="L98" s="47" t="n"/>
      <c r="M98" s="47" t="n"/>
    </row>
    <row r="99" ht="12.75" customHeight="1" s="205">
      <c r="B99" s="26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1" t="n"/>
      <c r="G99" s="262" t="n"/>
      <c r="H99" s="264" t="n"/>
      <c r="I99" s="265" t="n"/>
      <c r="J99" s="47" t="n"/>
      <c r="K99" s="47" t="n"/>
      <c r="L99" s="47" t="n"/>
      <c r="M99" s="47" t="n"/>
    </row>
    <row r="100" ht="12.75" customHeight="1" s="205">
      <c r="B100" s="26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1" t="n"/>
      <c r="G100" s="262" t="n"/>
      <c r="H100" s="264" t="n"/>
      <c r="I100" s="265" t="n"/>
      <c r="J100" s="47" t="n"/>
      <c r="K100" s="47" t="n"/>
      <c r="L100" s="47" t="n"/>
      <c r="M100" s="47" t="n"/>
    </row>
    <row r="101" ht="12.75" customHeight="1" s="205">
      <c r="B101" s="26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1" t="n"/>
      <c r="G101" s="262" t="n"/>
      <c r="H101" s="264" t="n"/>
      <c r="I101" s="265" t="n"/>
      <c r="J101" s="47" t="n"/>
      <c r="K101" s="47" t="n"/>
      <c r="L101" s="47" t="n"/>
      <c r="M101" s="47" t="n"/>
    </row>
    <row r="102" ht="12.75" customHeight="1" s="205">
      <c r="B102" s="26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1" t="n"/>
      <c r="G102" s="262" t="n"/>
      <c r="H102" s="264" t="n"/>
      <c r="I102" s="265" t="n"/>
      <c r="J102" s="47" t="n"/>
      <c r="K102" s="47" t="n"/>
      <c r="L102" s="47" t="n"/>
      <c r="M102" s="47" t="n"/>
    </row>
    <row r="103" ht="12.75" customHeight="1" s="205">
      <c r="B103" s="26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1" t="n"/>
      <c r="G103" s="262" t="n"/>
      <c r="H103" s="264" t="n"/>
      <c r="I103" s="265" t="n"/>
      <c r="J103" s="47" t="n"/>
      <c r="K103" s="47" t="n"/>
      <c r="L103" s="47" t="n"/>
      <c r="M103" s="47" t="n"/>
    </row>
    <row r="104" ht="12.75" customHeight="1" s="205">
      <c r="B104" s="26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1" t="n"/>
      <c r="G104" s="262" t="n"/>
      <c r="H104" s="264" t="n"/>
      <c r="I104" s="265" t="n"/>
      <c r="J104" s="47" t="n"/>
      <c r="K104" s="47" t="n"/>
      <c r="L104" s="47" t="n"/>
      <c r="M104" s="47" t="n"/>
    </row>
    <row r="105" ht="12.75" customHeight="1" s="205">
      <c r="B105" s="26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1" t="n"/>
      <c r="G105" s="262" t="n"/>
      <c r="H105" s="264" t="n"/>
      <c r="I105" s="265" t="n"/>
      <c r="J105" s="47" t="n"/>
      <c r="K105" s="47" t="n"/>
      <c r="L105" s="47" t="n"/>
      <c r="M105" s="47" t="n"/>
    </row>
    <row r="106" ht="12.75" customHeight="1" s="205">
      <c r="B106" s="26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1" t="n"/>
      <c r="G106" s="262" t="n"/>
      <c r="H106" s="264" t="n"/>
      <c r="I106" s="265" t="n"/>
      <c r="J106" s="47" t="n"/>
      <c r="K106" s="47" t="n"/>
      <c r="L106" s="47" t="n"/>
      <c r="M106" s="47" t="n"/>
    </row>
    <row r="107" ht="12.75" customHeight="1" s="205">
      <c r="B107" s="26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1" t="n"/>
      <c r="G107" s="262" t="n"/>
      <c r="H107" s="264" t="n"/>
      <c r="I107" s="265" t="n"/>
      <c r="J107" s="47" t="n"/>
      <c r="K107" s="47" t="n"/>
      <c r="L107" s="47" t="n"/>
      <c r="M107" s="47" t="n"/>
    </row>
    <row r="108" ht="12.75" customHeight="1" s="205">
      <c r="B108" s="26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1" t="n"/>
      <c r="G108" s="262" t="n"/>
      <c r="H108" s="264" t="n"/>
      <c r="I108" s="265" t="n"/>
      <c r="J108" s="47" t="n"/>
      <c r="K108" s="47" t="n"/>
      <c r="L108" s="47" t="n"/>
      <c r="M108" s="47" t="n"/>
    </row>
    <row r="109" ht="12.75" customHeight="1" s="205">
      <c r="B109" s="26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1" t="n"/>
      <c r="G109" s="262" t="n"/>
      <c r="H109" s="264" t="n"/>
      <c r="I109" s="265" t="n"/>
      <c r="J109" s="47" t="n"/>
      <c r="K109" s="47" t="n"/>
      <c r="L109" s="47" t="n"/>
      <c r="M109" s="47" t="n"/>
    </row>
    <row r="110" ht="12.75" customHeight="1" s="205">
      <c r="B110" s="26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1" t="n"/>
      <c r="G110" s="262" t="n"/>
      <c r="H110" s="264" t="n"/>
      <c r="I110" s="265" t="n"/>
      <c r="J110" s="47" t="n"/>
      <c r="K110" s="47" t="n"/>
      <c r="L110" s="47" t="n"/>
      <c r="M110" s="47" t="n"/>
    </row>
    <row r="111" ht="12.75" customHeight="1" s="205">
      <c r="B111" s="26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1" t="n"/>
      <c r="G111" s="262" t="n"/>
      <c r="H111" s="264" t="n"/>
      <c r="I111" s="265" t="n"/>
      <c r="J111" s="47" t="n"/>
      <c r="K111" s="47" t="n"/>
      <c r="L111" s="47" t="n"/>
      <c r="M111" s="47" t="n"/>
    </row>
    <row r="112" ht="12.75" customHeight="1" s="205">
      <c r="B112" s="26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1" t="n"/>
      <c r="G112" s="262" t="n"/>
      <c r="H112" s="264" t="n"/>
      <c r="I112" s="265" t="n"/>
      <c r="J112" s="47" t="n"/>
      <c r="K112" s="47" t="n"/>
      <c r="L112" s="47" t="n"/>
      <c r="M112" s="47" t="n"/>
    </row>
    <row r="113" ht="12.75" customHeight="1" s="205">
      <c r="B113" s="26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1" t="n"/>
      <c r="G113" s="262" t="n"/>
      <c r="H113" s="264" t="n"/>
      <c r="I113" s="265" t="n"/>
      <c r="J113" s="47" t="n"/>
      <c r="K113" s="47" t="n"/>
      <c r="L113" s="47" t="n"/>
      <c r="M113" s="47" t="n"/>
    </row>
    <row r="114" ht="12.75" customHeight="1" s="205">
      <c r="B114" s="26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1" t="n"/>
      <c r="G114" s="262" t="n"/>
      <c r="H114" s="264" t="n"/>
      <c r="I114" s="265" t="n"/>
      <c r="J114" s="47" t="n"/>
      <c r="K114" s="47" t="n"/>
      <c r="L114" s="47" t="n"/>
      <c r="M114" s="47" t="n"/>
    </row>
    <row r="115" ht="12.75" customHeight="1" s="205">
      <c r="B115" s="26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1" t="n"/>
      <c r="G115" s="262" t="n"/>
      <c r="H115" s="264" t="n"/>
      <c r="I115" s="265" t="n"/>
      <c r="J115" s="47" t="n"/>
      <c r="K115" s="47" t="n"/>
      <c r="L115" s="47" t="n"/>
      <c r="M115" s="47" t="n"/>
    </row>
    <row r="116" ht="12.75" customHeight="1" s="205">
      <c r="B116" s="26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1" t="n"/>
      <c r="G116" s="262" t="n"/>
      <c r="H116" s="264" t="n"/>
      <c r="I116" s="265" t="n"/>
      <c r="J116" s="47" t="n"/>
      <c r="K116" s="47" t="n"/>
      <c r="L116" s="47" t="n"/>
      <c r="M116" s="47" t="n"/>
    </row>
    <row r="117" ht="12.75" customHeight="1" s="205">
      <c r="B117" s="26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1" t="n"/>
      <c r="G117" s="262" t="n"/>
      <c r="H117" s="264" t="n"/>
      <c r="I117" s="265" t="n"/>
      <c r="J117" s="47" t="n"/>
      <c r="K117" s="47" t="n"/>
      <c r="L117" s="47" t="n"/>
      <c r="M117" s="47" t="n"/>
    </row>
    <row r="118" ht="12.75" customHeight="1" s="205">
      <c r="B118" s="26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1" t="n"/>
      <c r="G118" s="262" t="n"/>
      <c r="H118" s="264" t="n"/>
      <c r="I118" s="265" t="n"/>
      <c r="J118" s="47" t="n"/>
      <c r="K118" s="47" t="n"/>
      <c r="L118" s="47" t="n"/>
      <c r="M118" s="47" t="n"/>
    </row>
    <row r="119" ht="12.75" customHeight="1" s="205">
      <c r="B119" s="26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1" t="n"/>
      <c r="G119" s="262" t="n"/>
      <c r="H119" s="264" t="n"/>
      <c r="I119" s="265" t="n"/>
      <c r="J119" s="47" t="n"/>
      <c r="K119" s="47" t="n"/>
      <c r="L119" s="47" t="n"/>
      <c r="M119" s="47" t="n"/>
    </row>
    <row r="120" ht="12.75" customHeight="1" s="205">
      <c r="B120" s="26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1" t="n"/>
      <c r="G120" s="262" t="n"/>
      <c r="H120" s="264" t="n"/>
      <c r="I120" s="265" t="n"/>
      <c r="J120" s="47" t="n"/>
      <c r="K120" s="47" t="n"/>
      <c r="L120" s="47" t="n"/>
      <c r="M120" s="47" t="n"/>
    </row>
    <row r="121" ht="12.75" customHeight="1" s="205">
      <c r="B121" s="26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1" t="n"/>
      <c r="G121" s="262" t="n"/>
      <c r="H121" s="264" t="n"/>
      <c r="I121" s="265" t="n"/>
      <c r="J121" s="47" t="n"/>
      <c r="K121" s="47" t="n"/>
      <c r="L121" s="47" t="n"/>
      <c r="M121" s="47" t="n"/>
    </row>
    <row r="122" ht="12.75" customHeight="1" s="205">
      <c r="B122" s="26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1" t="n"/>
      <c r="G122" s="262" t="n"/>
      <c r="H122" s="264" t="n"/>
      <c r="I122" s="265" t="n"/>
      <c r="J122" s="47" t="n"/>
      <c r="K122" s="47" t="n"/>
      <c r="L122" s="47" t="n"/>
      <c r="M122" s="47" t="n"/>
    </row>
    <row r="123" ht="12.75" customHeight="1" s="205">
      <c r="B123" s="26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1" t="n"/>
      <c r="G123" s="262" t="n"/>
      <c r="H123" s="264" t="n"/>
      <c r="I123" s="265" t="n"/>
      <c r="J123" s="47" t="n"/>
      <c r="K123" s="47" t="n"/>
      <c r="L123" s="47" t="n"/>
      <c r="M123" s="47" t="n"/>
    </row>
    <row r="124" ht="12.75" customHeight="1" s="205">
      <c r="B124" s="26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1" t="n"/>
      <c r="G124" s="262" t="n"/>
      <c r="H124" s="264" t="n"/>
      <c r="I124" s="265" t="n"/>
      <c r="J124" s="47" t="n"/>
      <c r="K124" s="47" t="n"/>
      <c r="L124" s="47" t="n"/>
      <c r="M124" s="47" t="n"/>
    </row>
    <row r="125" ht="12.75" customHeight="1" s="205">
      <c r="B125" s="26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1" t="n"/>
      <c r="G125" s="262" t="n"/>
      <c r="H125" s="264" t="n"/>
      <c r="I125" s="265" t="n"/>
      <c r="J125" s="47" t="n"/>
      <c r="K125" s="47" t="n"/>
      <c r="L125" s="47" t="n"/>
      <c r="M125" s="47" t="n"/>
    </row>
    <row r="126" ht="12.75" customHeight="1" s="205">
      <c r="B126" s="26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1" t="n"/>
      <c r="G126" s="262" t="n"/>
      <c r="H126" s="264" t="n"/>
      <c r="I126" s="265" t="n"/>
      <c r="J126" s="47" t="n"/>
      <c r="K126" s="47" t="n"/>
      <c r="L126" s="47" t="n"/>
      <c r="M126" s="47" t="n"/>
    </row>
    <row r="127" ht="12.75" customHeight="1" s="205">
      <c r="B127" s="26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1" t="n"/>
      <c r="G127" s="262" t="n"/>
      <c r="H127" s="264" t="n"/>
      <c r="I127" s="265" t="n"/>
      <c r="J127" s="47" t="n"/>
      <c r="K127" s="47" t="n"/>
      <c r="L127" s="47" t="n"/>
      <c r="M127" s="47" t="n"/>
    </row>
    <row r="128" ht="12.75" customHeight="1" s="205">
      <c r="B128" s="26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1" t="n"/>
      <c r="G128" s="262" t="n"/>
      <c r="H128" s="264" t="n"/>
      <c r="I128" s="265" t="n"/>
      <c r="J128" s="47" t="n"/>
      <c r="K128" s="47" t="n"/>
      <c r="L128" s="47" t="n"/>
      <c r="M128" s="47" t="n"/>
    </row>
    <row r="129" ht="12.75" customHeight="1" s="205">
      <c r="B129" s="26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1" t="n"/>
      <c r="G129" s="262" t="n"/>
      <c r="H129" s="264" t="n"/>
      <c r="I129" s="265" t="n"/>
      <c r="J129" s="47" t="n"/>
      <c r="K129" s="47" t="n"/>
      <c r="L129" s="47" t="n"/>
      <c r="M129" s="47" t="n"/>
    </row>
    <row r="130" ht="12.75" customHeight="1" s="205">
      <c r="B130" s="26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1" t="n"/>
      <c r="G130" s="262" t="n"/>
      <c r="H130" s="264" t="n"/>
      <c r="I130" s="265" t="n"/>
      <c r="J130" s="47" t="n"/>
      <c r="K130" s="47" t="n"/>
      <c r="L130" s="47" t="n"/>
      <c r="M130" s="47" t="n"/>
    </row>
    <row r="131" ht="12.75" customHeight="1" s="205">
      <c r="B131" s="26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1" t="n"/>
      <c r="G131" s="262" t="n"/>
      <c r="H131" s="264" t="n"/>
      <c r="I131" s="265" t="n"/>
      <c r="J131" s="47" t="n"/>
      <c r="K131" s="47" t="n"/>
      <c r="L131" s="47" t="n"/>
      <c r="M131" s="47" t="n"/>
    </row>
    <row r="132" ht="12.75" customHeight="1" s="205">
      <c r="B132" s="26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1" t="n"/>
      <c r="G132" s="262" t="n"/>
      <c r="H132" s="264" t="n"/>
      <c r="I132" s="265" t="n"/>
      <c r="J132" s="47" t="n"/>
      <c r="K132" s="47" t="n"/>
      <c r="L132" s="47" t="n"/>
      <c r="M132" s="47" t="n"/>
    </row>
    <row r="133" ht="12.75" customHeight="1" s="205">
      <c r="B133" s="26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1" t="n"/>
      <c r="G133" s="262" t="n"/>
      <c r="H133" s="264" t="n"/>
      <c r="I133" s="265" t="n"/>
      <c r="J133" s="47" t="n"/>
      <c r="K133" s="47" t="n"/>
      <c r="L133" s="47" t="n"/>
      <c r="M133" s="47" t="n"/>
    </row>
    <row r="134" ht="12.75" customHeight="1" s="205">
      <c r="B134" s="26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1" t="n"/>
      <c r="G134" s="262" t="n"/>
      <c r="H134" s="264" t="n"/>
      <c r="I134" s="265" t="n"/>
      <c r="J134" s="47" t="n"/>
      <c r="K134" s="47" t="n"/>
      <c r="L134" s="47" t="n"/>
      <c r="M134" s="47" t="n"/>
    </row>
    <row r="135" ht="12.75" customHeight="1" s="205">
      <c r="B135" s="26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1" t="n"/>
      <c r="G135" s="262" t="n"/>
      <c r="H135" s="264" t="n"/>
      <c r="I135" s="265" t="n"/>
      <c r="J135" s="47" t="n"/>
      <c r="K135" s="47" t="n"/>
      <c r="L135" s="47" t="n"/>
      <c r="M135" s="47" t="n"/>
    </row>
    <row r="136" ht="12.75" customHeight="1" s="205">
      <c r="B136" s="26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1" t="n"/>
      <c r="G136" s="262" t="n"/>
      <c r="H136" s="264" t="n"/>
      <c r="I136" s="265" t="n"/>
      <c r="J136" s="47" t="n"/>
      <c r="K136" s="47" t="n"/>
      <c r="L136" s="47" t="n"/>
      <c r="M136" s="47" t="n"/>
    </row>
    <row r="137" ht="12.75" customHeight="1" s="205">
      <c r="B137" s="26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1" t="n"/>
      <c r="G137" s="262" t="n"/>
      <c r="H137" s="264" t="n"/>
      <c r="I137" s="265" t="n"/>
      <c r="J137" s="47" t="n"/>
      <c r="K137" s="47" t="n"/>
      <c r="L137" s="47" t="n"/>
      <c r="M137" s="47" t="n"/>
    </row>
    <row r="138" ht="12.75" customHeight="1" s="205">
      <c r="B138" s="26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1" t="n"/>
      <c r="G138" s="262" t="n"/>
      <c r="H138" s="264" t="n"/>
      <c r="I138" s="265" t="n"/>
      <c r="J138" s="47" t="n"/>
      <c r="K138" s="47" t="n"/>
      <c r="L138" s="47" t="n"/>
      <c r="M138" s="47" t="n"/>
    </row>
    <row r="139" ht="12.75" customHeight="1" s="205">
      <c r="B139" s="26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1" t="n"/>
      <c r="G139" s="262" t="n"/>
      <c r="H139" s="264" t="n"/>
      <c r="I139" s="265" t="n"/>
      <c r="J139" s="47" t="n"/>
      <c r="K139" s="47" t="n"/>
      <c r="L139" s="47" t="n"/>
      <c r="M139" s="47" t="n"/>
    </row>
    <row r="140" ht="12.75" customHeight="1" s="205">
      <c r="B140" s="26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1" t="n"/>
      <c r="G140" s="262" t="n"/>
      <c r="H140" s="264" t="n"/>
      <c r="I140" s="265" t="n"/>
      <c r="J140" s="47" t="n"/>
      <c r="K140" s="47" t="n"/>
      <c r="L140" s="47" t="n"/>
      <c r="M140" s="47" t="n"/>
    </row>
    <row r="141" ht="12.75" customHeight="1" s="205">
      <c r="B141" s="26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1" t="n"/>
      <c r="G141" s="262" t="n"/>
      <c r="H141" s="264" t="n"/>
      <c r="I141" s="265" t="n"/>
      <c r="J141" s="47" t="n"/>
      <c r="K141" s="47" t="n"/>
      <c r="L141" s="47" t="n"/>
      <c r="M141" s="47" t="n"/>
    </row>
    <row r="142" ht="12.75" customHeight="1" s="205">
      <c r="B142" s="26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1" t="n"/>
      <c r="G142" s="262" t="n"/>
      <c r="H142" s="264" t="n"/>
      <c r="I142" s="265" t="n"/>
      <c r="J142" s="47" t="n"/>
      <c r="K142" s="47" t="n"/>
      <c r="L142" s="47" t="n"/>
      <c r="M142" s="47" t="n"/>
    </row>
    <row r="143" ht="12.75" customHeight="1" s="205">
      <c r="B143" s="26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1" t="n"/>
      <c r="G143" s="262" t="n"/>
      <c r="H143" s="264" t="n"/>
      <c r="I143" s="265" t="n"/>
      <c r="J143" s="47" t="n"/>
      <c r="K143" s="47" t="n"/>
      <c r="L143" s="47" t="n"/>
      <c r="M143" s="47" t="n"/>
    </row>
    <row r="144" ht="12.75" customHeight="1" s="205">
      <c r="B144" s="26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1" t="n"/>
      <c r="G144" s="262" t="n"/>
      <c r="H144" s="264" t="n"/>
      <c r="I144" s="265" t="n"/>
      <c r="J144" s="47" t="n"/>
      <c r="K144" s="47" t="n"/>
      <c r="L144" s="47" t="n"/>
      <c r="M144" s="47" t="n"/>
    </row>
    <row r="145" ht="12.75" customHeight="1" s="205">
      <c r="B145" s="26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1" t="n"/>
      <c r="G145" s="262" t="n"/>
      <c r="H145" s="264" t="n"/>
      <c r="I145" s="265" t="n"/>
      <c r="J145" s="47" t="n"/>
      <c r="K145" s="47" t="n"/>
      <c r="L145" s="47" t="n"/>
      <c r="M145" s="47" t="n"/>
    </row>
    <row r="146" ht="12.75" customHeight="1" s="205">
      <c r="B146" s="26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1" t="n"/>
      <c r="G146" s="262" t="n"/>
      <c r="H146" s="264" t="n"/>
      <c r="I146" s="265" t="n"/>
      <c r="J146" s="47" t="n"/>
      <c r="K146" s="47" t="n"/>
      <c r="L146" s="47" t="n"/>
      <c r="M146" s="47" t="n"/>
    </row>
    <row r="147" ht="12.75" customHeight="1" s="205">
      <c r="B147" s="26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1" t="n"/>
      <c r="G147" s="262" t="n"/>
      <c r="H147" s="264" t="n"/>
      <c r="I147" s="265" t="n"/>
      <c r="J147" s="47" t="n"/>
      <c r="K147" s="47" t="n"/>
      <c r="L147" s="47" t="n"/>
      <c r="M147" s="47" t="n"/>
    </row>
    <row r="148" ht="12.75" customHeight="1" s="205">
      <c r="B148" s="26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1" t="n"/>
      <c r="G148" s="262" t="n"/>
      <c r="H148" s="264" t="n"/>
      <c r="I148" s="265" t="n"/>
      <c r="J148" s="47" t="n"/>
      <c r="K148" s="47" t="n"/>
      <c r="L148" s="47" t="n"/>
      <c r="M148" s="47" t="n"/>
    </row>
    <row r="149" ht="12.75" customHeight="1" s="205">
      <c r="B149" s="26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1" t="n"/>
      <c r="G149" s="262" t="n"/>
      <c r="H149" s="264" t="n"/>
      <c r="I149" s="265" t="n"/>
      <c r="J149" s="47" t="n"/>
      <c r="K149" s="47" t="n"/>
      <c r="L149" s="47" t="n"/>
      <c r="M149" s="47" t="n"/>
    </row>
    <row r="150" ht="12.75" customHeight="1" s="205">
      <c r="B150" s="26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1" t="n"/>
      <c r="G150" s="262" t="n"/>
      <c r="H150" s="264" t="n"/>
      <c r="I150" s="265" t="n"/>
      <c r="J150" s="47" t="n"/>
      <c r="K150" s="47" t="n"/>
      <c r="L150" s="47" t="n"/>
      <c r="M150" s="47" t="n"/>
    </row>
    <row r="151" ht="12.75" customHeight="1" s="205">
      <c r="B151" s="26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1" t="n"/>
      <c r="G151" s="262" t="n"/>
      <c r="H151" s="264" t="n"/>
      <c r="I151" s="265" t="n"/>
      <c r="J151" s="47" t="n"/>
      <c r="K151" s="47" t="n"/>
      <c r="L151" s="47" t="n"/>
      <c r="M151" s="47" t="n"/>
    </row>
    <row r="152" ht="12.75" customHeight="1" s="205">
      <c r="B152" s="26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1" t="n"/>
      <c r="G152" s="262" t="n"/>
      <c r="H152" s="264" t="n"/>
      <c r="I152" s="265" t="n"/>
      <c r="J152" s="47" t="n"/>
      <c r="K152" s="47" t="n"/>
      <c r="L152" s="47" t="n"/>
      <c r="M152" s="47" t="n"/>
    </row>
    <row r="153" ht="12.75" customHeight="1" s="205">
      <c r="B153" s="26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1" t="n"/>
      <c r="G153" s="262" t="n"/>
      <c r="H153" s="264" t="n"/>
      <c r="I153" s="265" t="n"/>
      <c r="J153" s="47" t="n"/>
      <c r="K153" s="47" t="n"/>
      <c r="L153" s="47" t="n"/>
      <c r="M153" s="47" t="n"/>
    </row>
    <row r="154" ht="12.75" customHeight="1" s="205">
      <c r="B154" s="26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1" t="n"/>
      <c r="G154" s="262" t="n"/>
      <c r="H154" s="264" t="n"/>
      <c r="I154" s="265" t="n"/>
      <c r="J154" s="47" t="n"/>
      <c r="K154" s="47" t="n"/>
      <c r="L154" s="47" t="n"/>
      <c r="M154" s="47" t="n"/>
    </row>
    <row r="155" ht="12.75" customHeight="1" s="205">
      <c r="B155" s="26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1" t="n"/>
      <c r="G155" s="262" t="n"/>
      <c r="H155" s="264" t="n"/>
      <c r="I155" s="265" t="n"/>
      <c r="J155" s="47" t="n"/>
      <c r="K155" s="47" t="n"/>
      <c r="L155" s="47" t="n"/>
      <c r="M155" s="47" t="n"/>
    </row>
    <row r="156" ht="12.75" customHeight="1" s="205">
      <c r="B156" s="26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1" t="n"/>
      <c r="G156" s="262" t="n"/>
      <c r="H156" s="264" t="n"/>
      <c r="I156" s="265" t="n"/>
      <c r="J156" s="47" t="n"/>
      <c r="K156" s="47" t="n"/>
      <c r="L156" s="47" t="n"/>
      <c r="M156" s="47" t="n"/>
    </row>
    <row r="157" ht="12.75" customHeight="1" s="205">
      <c r="B157" s="26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1" t="n"/>
      <c r="G157" s="262" t="n"/>
      <c r="H157" s="264" t="n"/>
      <c r="I157" s="265" t="n"/>
      <c r="J157" s="47" t="n"/>
      <c r="K157" s="47" t="n"/>
      <c r="L157" s="47" t="n"/>
      <c r="M157" s="47" t="n"/>
    </row>
    <row r="158" ht="12.75" customHeight="1" s="205">
      <c r="B158" s="26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1" t="n"/>
      <c r="G158" s="262" t="n"/>
      <c r="H158" s="264" t="n"/>
      <c r="I158" s="265" t="n"/>
      <c r="J158" s="47" t="n"/>
      <c r="K158" s="47" t="n"/>
      <c r="L158" s="47" t="n"/>
      <c r="M158" s="47" t="n"/>
    </row>
    <row r="159" ht="12.75" customHeight="1" s="205">
      <c r="B159" s="26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1" t="n"/>
      <c r="G159" s="262" t="n"/>
      <c r="H159" s="264" t="n"/>
      <c r="I159" s="265" t="n"/>
      <c r="J159" s="47" t="n"/>
      <c r="K159" s="47" t="n"/>
      <c r="L159" s="47" t="n"/>
      <c r="M159" s="47" t="n"/>
    </row>
    <row r="160" ht="12.75" customHeight="1" s="205">
      <c r="B160" s="26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1" t="n"/>
      <c r="G160" s="262" t="n"/>
      <c r="H160" s="264" t="n"/>
      <c r="I160" s="265" t="n"/>
      <c r="J160" s="47" t="n"/>
      <c r="K160" s="47" t="n"/>
      <c r="L160" s="47" t="n"/>
      <c r="M160" s="47" t="n"/>
    </row>
    <row r="161" ht="12.75" customHeight="1" s="205">
      <c r="B161" s="26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1" t="n"/>
      <c r="G161" s="262" t="n"/>
      <c r="H161" s="264" t="n"/>
      <c r="I161" s="265" t="n"/>
      <c r="J161" s="47" t="n"/>
      <c r="K161" s="47" t="n"/>
      <c r="L161" s="47" t="n"/>
      <c r="M161" s="47" t="n"/>
    </row>
    <row r="162" ht="12.75" customHeight="1" s="205">
      <c r="B162" s="26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1" t="n"/>
      <c r="G162" s="262" t="n"/>
      <c r="H162" s="264" t="n"/>
      <c r="I162" s="265" t="n"/>
      <c r="J162" s="47" t="n"/>
      <c r="K162" s="47" t="n"/>
      <c r="L162" s="47" t="n"/>
      <c r="M162" s="47" t="n"/>
    </row>
    <row r="163" ht="12.75" customHeight="1" s="205">
      <c r="B163" s="26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1" t="n"/>
      <c r="G163" s="262" t="n"/>
      <c r="H163" s="264" t="n"/>
      <c r="I163" s="265" t="n"/>
      <c r="J163" s="47" t="n"/>
      <c r="K163" s="47" t="n"/>
      <c r="L163" s="47" t="n"/>
      <c r="M163" s="47" t="n"/>
    </row>
    <row r="164" ht="12.75" customHeight="1" s="205">
      <c r="B164" s="26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1" t="n"/>
      <c r="G164" s="262" t="n"/>
      <c r="H164" s="264" t="n"/>
      <c r="I164" s="265" t="n"/>
      <c r="J164" s="47" t="n"/>
      <c r="K164" s="47" t="n"/>
      <c r="L164" s="47" t="n"/>
      <c r="M164" s="47" t="n"/>
    </row>
    <row r="165" ht="12.75" customHeight="1" s="205">
      <c r="B165" s="26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1" t="n"/>
      <c r="G165" s="262" t="n"/>
      <c r="H165" s="264" t="n"/>
      <c r="I165" s="265" t="n"/>
      <c r="J165" s="47" t="n"/>
      <c r="K165" s="47" t="n"/>
      <c r="L165" s="47" t="n"/>
      <c r="M165" s="47" t="n"/>
    </row>
    <row r="166" ht="12.75" customHeight="1" s="205">
      <c r="B166" s="26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1" t="n"/>
      <c r="G166" s="262" t="n"/>
      <c r="H166" s="264" t="n"/>
      <c r="I166" s="265" t="n"/>
      <c r="J166" s="47" t="n"/>
      <c r="K166" s="47" t="n"/>
      <c r="L166" s="47" t="n"/>
      <c r="M166" s="47" t="n"/>
    </row>
    <row r="167" ht="12.75" customHeight="1" s="205">
      <c r="B167" s="26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1" t="n"/>
      <c r="G167" s="262" t="n"/>
      <c r="H167" s="264" t="n"/>
      <c r="I167" s="265" t="n"/>
      <c r="J167" s="47" t="n"/>
      <c r="K167" s="47" t="n"/>
      <c r="L167" s="47" t="n"/>
      <c r="M167" s="47" t="n"/>
    </row>
    <row r="168" ht="12.75" customHeight="1" s="205">
      <c r="B168" s="26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1" t="n"/>
      <c r="G168" s="262" t="n"/>
      <c r="H168" s="264" t="n"/>
      <c r="I168" s="265" t="n"/>
      <c r="J168" s="47" t="n"/>
      <c r="K168" s="47" t="n"/>
      <c r="L168" s="47" t="n"/>
      <c r="M168" s="47" t="n"/>
    </row>
    <row r="169" ht="12.75" customHeight="1" s="205">
      <c r="B169" s="26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1" t="n"/>
      <c r="G169" s="262" t="n"/>
      <c r="H169" s="264" t="n"/>
      <c r="I169" s="265" t="n"/>
      <c r="J169" s="47" t="n"/>
      <c r="K169" s="47" t="n"/>
      <c r="L169" s="47" t="n"/>
      <c r="M169" s="47" t="n"/>
    </row>
    <row r="170" ht="12.75" customHeight="1" s="205">
      <c r="B170" s="26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1" t="n"/>
      <c r="G170" s="262" t="n"/>
      <c r="H170" s="264" t="n"/>
      <c r="I170" s="265" t="n"/>
      <c r="J170" s="47" t="n"/>
      <c r="K170" s="47" t="n"/>
      <c r="L170" s="47" t="n"/>
      <c r="M170" s="47" t="n"/>
    </row>
    <row r="171" ht="12.75" customHeight="1" s="205">
      <c r="B171" s="26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1" t="n"/>
      <c r="G171" s="262" t="n"/>
      <c r="H171" s="264" t="n"/>
      <c r="I171" s="265" t="n"/>
      <c r="J171" s="47" t="n"/>
      <c r="K171" s="47" t="n"/>
      <c r="L171" s="47" t="n"/>
      <c r="M171" s="47" t="n"/>
    </row>
    <row r="172" ht="12.75" customHeight="1" s="205">
      <c r="B172" s="26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1" t="n"/>
      <c r="G172" s="262" t="n"/>
      <c r="H172" s="264" t="n"/>
      <c r="I172" s="265" t="n"/>
      <c r="J172" s="47" t="n"/>
      <c r="K172" s="47" t="n"/>
      <c r="L172" s="47" t="n"/>
      <c r="M172" s="47" t="n"/>
    </row>
    <row r="173" ht="12.75" customHeight="1" s="205">
      <c r="B173" s="26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1" t="n"/>
      <c r="G173" s="262" t="n"/>
      <c r="H173" s="264" t="n"/>
      <c r="I173" s="265" t="n"/>
      <c r="J173" s="47" t="n"/>
      <c r="K173" s="47" t="n"/>
      <c r="L173" s="47" t="n"/>
      <c r="M173" s="47" t="n"/>
    </row>
    <row r="174" ht="12.75" customHeight="1" s="205">
      <c r="B174" s="26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1" t="n"/>
      <c r="G174" s="262" t="n"/>
      <c r="H174" s="264" t="n"/>
      <c r="I174" s="265" t="n"/>
      <c r="J174" s="47" t="n"/>
      <c r="K174" s="47" t="n"/>
      <c r="L174" s="47" t="n"/>
      <c r="M174" s="47" t="n"/>
    </row>
    <row r="175" ht="12.75" customHeight="1" s="205">
      <c r="B175" s="26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1" t="n"/>
      <c r="G175" s="262" t="n"/>
      <c r="H175" s="264" t="n"/>
      <c r="I175" s="265" t="n"/>
      <c r="J175" s="47" t="n"/>
      <c r="K175" s="47" t="n"/>
      <c r="L175" s="47" t="n"/>
      <c r="M175" s="47" t="n"/>
    </row>
    <row r="176" ht="12.75" customHeight="1" s="205">
      <c r="B176" s="26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1" t="n"/>
      <c r="G176" s="262" t="n"/>
      <c r="H176" s="264" t="n"/>
      <c r="I176" s="265" t="n"/>
      <c r="J176" s="47" t="n"/>
      <c r="K176" s="47" t="n"/>
      <c r="L176" s="47" t="n"/>
      <c r="M176" s="47" t="n"/>
    </row>
    <row r="177" ht="12.75" customHeight="1" s="205">
      <c r="B177" s="26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1" t="n"/>
      <c r="G177" s="262" t="n"/>
      <c r="H177" s="264" t="n"/>
      <c r="I177" s="265" t="n"/>
      <c r="J177" s="47" t="n"/>
      <c r="K177" s="47" t="n"/>
      <c r="L177" s="47" t="n"/>
      <c r="M177" s="47" t="n"/>
    </row>
    <row r="178" ht="12.75" customHeight="1" s="205">
      <c r="B178" s="26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1" t="n"/>
      <c r="G178" s="262" t="n"/>
      <c r="H178" s="264" t="n"/>
      <c r="I178" s="265" t="n"/>
      <c r="J178" s="47" t="n"/>
      <c r="K178" s="47" t="n"/>
      <c r="L178" s="47" t="n"/>
      <c r="M178" s="47" t="n"/>
    </row>
    <row r="179" ht="12.75" customHeight="1" s="205">
      <c r="B179" s="26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1" t="n"/>
      <c r="G179" s="262" t="n"/>
      <c r="H179" s="264" t="n"/>
      <c r="I179" s="265" t="n"/>
      <c r="J179" s="47" t="n"/>
      <c r="K179" s="47" t="n"/>
      <c r="L179" s="47" t="n"/>
      <c r="M179" s="47" t="n"/>
    </row>
    <row r="180" ht="12.75" customHeight="1" s="205">
      <c r="B180" s="26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1" t="n"/>
      <c r="G180" s="262" t="n"/>
      <c r="H180" s="264" t="n"/>
      <c r="I180" s="265" t="n"/>
      <c r="J180" s="47" t="n"/>
      <c r="K180" s="47" t="n"/>
      <c r="L180" s="47" t="n"/>
      <c r="M180" s="47" t="n"/>
    </row>
    <row r="181" ht="12.75" customHeight="1" s="205">
      <c r="B181" s="26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1" t="n"/>
      <c r="G181" s="262" t="n"/>
      <c r="H181" s="264" t="n"/>
      <c r="I181" s="265" t="n"/>
      <c r="J181" s="47" t="n"/>
      <c r="K181" s="47" t="n"/>
      <c r="L181" s="47" t="n"/>
      <c r="M181" s="47" t="n"/>
    </row>
    <row r="182" ht="12.75" customHeight="1" s="205">
      <c r="B182" s="26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1" t="n"/>
      <c r="G182" s="262" t="n"/>
      <c r="H182" s="264" t="n"/>
      <c r="I182" s="265" t="n"/>
      <c r="J182" s="47" t="n"/>
      <c r="K182" s="47" t="n"/>
      <c r="L182" s="47" t="n"/>
      <c r="M182" s="47" t="n"/>
    </row>
    <row r="183" ht="12.75" customHeight="1" s="205">
      <c r="B183" s="26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1" t="n"/>
      <c r="G183" s="262" t="n"/>
      <c r="H183" s="264" t="n"/>
      <c r="I183" s="265" t="n"/>
      <c r="J183" s="47" t="n"/>
      <c r="K183" s="47" t="n"/>
      <c r="L183" s="47" t="n"/>
      <c r="M183" s="47" t="n"/>
    </row>
    <row r="184" ht="12.75" customHeight="1" s="205">
      <c r="B184" s="26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1" t="n"/>
      <c r="G184" s="262" t="n"/>
      <c r="H184" s="264" t="n"/>
      <c r="I184" s="265" t="n"/>
      <c r="J184" s="47" t="n"/>
      <c r="K184" s="47" t="n"/>
      <c r="L184" s="47" t="n"/>
      <c r="M184" s="47" t="n"/>
    </row>
    <row r="185" ht="12.75" customHeight="1" s="205">
      <c r="B185" s="26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1" t="n"/>
      <c r="G185" s="262" t="n"/>
      <c r="H185" s="264" t="n"/>
      <c r="I185" s="265" t="n"/>
      <c r="J185" s="47" t="n"/>
      <c r="K185" s="47" t="n"/>
      <c r="L185" s="47" t="n"/>
      <c r="M185" s="47" t="n"/>
    </row>
    <row r="186" ht="12.75" customHeight="1" s="205">
      <c r="B186" s="26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1" t="n"/>
      <c r="G186" s="262" t="n"/>
      <c r="H186" s="264" t="n"/>
      <c r="I186" s="265" t="n"/>
      <c r="J186" s="47" t="n"/>
      <c r="K186" s="47" t="n"/>
      <c r="L186" s="47" t="n"/>
      <c r="M186" s="47" t="n"/>
    </row>
    <row r="187" ht="12.75" customHeight="1" s="205">
      <c r="B187" s="26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1" t="n"/>
      <c r="G187" s="262" t="n"/>
      <c r="H187" s="264" t="n"/>
      <c r="I187" s="265" t="n"/>
      <c r="J187" s="47" t="n"/>
      <c r="K187" s="47" t="n"/>
      <c r="L187" s="47" t="n"/>
      <c r="M187" s="47" t="n"/>
    </row>
    <row r="188" ht="12.75" customHeight="1" s="205">
      <c r="B188" s="26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1" t="n"/>
      <c r="G188" s="262" t="n"/>
      <c r="H188" s="264" t="n"/>
      <c r="I188" s="265" t="n"/>
      <c r="J188" s="47" t="n"/>
      <c r="K188" s="47" t="n"/>
      <c r="L188" s="47" t="n"/>
      <c r="M188" s="47" t="n"/>
    </row>
    <row r="189" ht="12.75" customHeight="1" s="205">
      <c r="B189" s="26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1" t="n"/>
      <c r="G189" s="262" t="n"/>
      <c r="H189" s="264" t="n"/>
      <c r="I189" s="265" t="n"/>
      <c r="J189" s="47" t="n"/>
      <c r="K189" s="47" t="n"/>
      <c r="L189" s="47" t="n"/>
      <c r="M189" s="47" t="n"/>
    </row>
    <row r="190" ht="12.75" customHeight="1" s="205">
      <c r="B190" s="26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1" t="n"/>
      <c r="G190" s="262" t="n"/>
      <c r="H190" s="264" t="n"/>
      <c r="I190" s="265" t="n"/>
      <c r="J190" s="47" t="n"/>
      <c r="K190" s="47" t="n"/>
      <c r="L190" s="47" t="n"/>
      <c r="M190" s="47" t="n"/>
    </row>
    <row r="191" ht="12.75" customHeight="1" s="205">
      <c r="B191" s="26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1" t="n"/>
      <c r="G191" s="262" t="n"/>
      <c r="H191" s="264" t="n"/>
      <c r="I191" s="265" t="n"/>
      <c r="J191" s="47" t="n"/>
      <c r="K191" s="47" t="n"/>
      <c r="L191" s="47" t="n"/>
      <c r="M191" s="47" t="n"/>
    </row>
    <row r="192" ht="12.75" customHeight="1" s="205">
      <c r="B192" s="26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1" t="n"/>
      <c r="G192" s="262" t="n"/>
      <c r="H192" s="264" t="n"/>
      <c r="I192" s="265" t="n"/>
      <c r="J192" s="47" t="n"/>
      <c r="K192" s="47" t="n"/>
      <c r="L192" s="47" t="n"/>
      <c r="M192" s="47" t="n"/>
    </row>
    <row r="193" ht="12.75" customHeight="1" s="205">
      <c r="B193" s="26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1" t="n"/>
      <c r="G193" s="262" t="n"/>
      <c r="H193" s="264" t="n"/>
      <c r="I193" s="265" t="n"/>
      <c r="J193" s="47" t="n"/>
      <c r="K193" s="47" t="n"/>
      <c r="L193" s="47" t="n"/>
      <c r="M193" s="47" t="n"/>
    </row>
    <row r="194" ht="12.75" customHeight="1" s="205">
      <c r="B194" s="26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1" t="n"/>
      <c r="G194" s="262" t="n"/>
      <c r="H194" s="264" t="n"/>
      <c r="I194" s="265" t="n"/>
      <c r="J194" s="47" t="n"/>
      <c r="K194" s="47" t="n"/>
      <c r="L194" s="47" t="n"/>
      <c r="M194" s="47" t="n"/>
    </row>
    <row r="195" ht="12.75" customHeight="1" s="205">
      <c r="B195" s="26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1" t="n"/>
      <c r="G195" s="262" t="n"/>
      <c r="H195" s="264" t="n"/>
      <c r="I195" s="265" t="n"/>
      <c r="J195" s="47" t="n"/>
      <c r="K195" s="47" t="n"/>
      <c r="L195" s="47" t="n"/>
      <c r="M195" s="47" t="n"/>
    </row>
    <row r="196" ht="12.75" customHeight="1" s="205">
      <c r="B196" s="26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1" t="n"/>
      <c r="G196" s="262" t="n"/>
      <c r="H196" s="264" t="n"/>
      <c r="I196" s="265" t="n"/>
      <c r="J196" s="47" t="n"/>
      <c r="K196" s="47" t="n"/>
      <c r="L196" s="47" t="n"/>
      <c r="M196" s="47" t="n"/>
    </row>
    <row r="197" ht="12.75" customHeight="1" s="205">
      <c r="B197" s="26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1" t="n"/>
      <c r="G197" s="262" t="n"/>
      <c r="H197" s="264" t="n"/>
      <c r="I197" s="265" t="n"/>
      <c r="J197" s="47" t="n"/>
      <c r="K197" s="47" t="n"/>
      <c r="L197" s="47" t="n"/>
      <c r="M197" s="47" t="n"/>
    </row>
    <row r="198" ht="12.75" customHeight="1" s="205">
      <c r="B198" s="26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1" t="n"/>
      <c r="G198" s="262" t="n"/>
      <c r="H198" s="264" t="n"/>
      <c r="I198" s="265" t="n"/>
      <c r="J198" s="47" t="n"/>
      <c r="K198" s="47" t="n"/>
      <c r="L198" s="47" t="n"/>
      <c r="M198" s="47" t="n"/>
    </row>
    <row r="199" ht="12.75" customHeight="1" s="205">
      <c r="B199" s="26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1" t="n"/>
      <c r="G199" s="262" t="n"/>
      <c r="H199" s="264" t="n"/>
      <c r="I199" s="265" t="n"/>
      <c r="J199" s="47" t="n"/>
      <c r="K199" s="47" t="n"/>
      <c r="L199" s="47" t="n"/>
      <c r="M199" s="47" t="n"/>
    </row>
    <row r="200" ht="12.75" customHeight="1" s="205">
      <c r="B200" s="26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1" t="n"/>
      <c r="G200" s="262" t="n"/>
      <c r="H200" s="264" t="n"/>
      <c r="I200" s="265" t="n"/>
      <c r="J200" s="47" t="n"/>
      <c r="K200" s="47" t="n"/>
      <c r="L200" s="47" t="n"/>
      <c r="M200" s="47" t="n"/>
    </row>
    <row r="201" ht="12.75" customHeight="1" s="205">
      <c r="B201" s="26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1" t="n"/>
      <c r="G201" s="262" t="n"/>
      <c r="H201" s="264" t="n"/>
      <c r="I201" s="265" t="n"/>
      <c r="J201" s="47" t="n"/>
      <c r="K201" s="47" t="n"/>
      <c r="L201" s="47" t="n"/>
      <c r="M201" s="47" t="n"/>
    </row>
    <row r="202" ht="12.75" customHeight="1" s="205">
      <c r="B202" s="26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1" t="n"/>
      <c r="G202" s="262" t="n"/>
      <c r="H202" s="264" t="n"/>
      <c r="I202" s="265" t="n"/>
      <c r="J202" s="47" t="n"/>
      <c r="K202" s="47" t="n"/>
      <c r="L202" s="47" t="n"/>
      <c r="M202" s="47" t="n"/>
    </row>
    <row r="203" ht="12.75" customHeight="1" s="205">
      <c r="B203" s="26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1" t="n"/>
      <c r="G203" s="262" t="n"/>
      <c r="H203" s="264" t="n"/>
      <c r="I203" s="265" t="n"/>
      <c r="J203" s="47" t="n"/>
      <c r="K203" s="47" t="n"/>
      <c r="L203" s="47" t="n"/>
      <c r="M203" s="47" t="n"/>
    </row>
    <row r="204" ht="12.75" customHeight="1" s="205">
      <c r="B204" s="26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1" t="n"/>
      <c r="G204" s="262" t="n"/>
      <c r="H204" s="264" t="n"/>
      <c r="I204" s="265" t="n"/>
      <c r="J204" s="47" t="n"/>
      <c r="K204" s="47" t="n"/>
      <c r="L204" s="47" t="n"/>
      <c r="M204" s="47" t="n"/>
    </row>
    <row r="205" ht="12.75" customHeight="1" s="205">
      <c r="B205" s="26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1" t="n"/>
      <c r="G205" s="262" t="n"/>
      <c r="H205" s="264" t="n"/>
      <c r="I205" s="265" t="n"/>
      <c r="J205" s="47" t="n"/>
      <c r="K205" s="47" t="n"/>
      <c r="L205" s="47" t="n"/>
      <c r="M205" s="47" t="n"/>
    </row>
    <row r="206" ht="12.75" customHeight="1" s="205">
      <c r="B206" s="26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1" t="n"/>
      <c r="G206" s="262" t="n"/>
      <c r="H206" s="264" t="n"/>
      <c r="I206" s="265" t="n"/>
      <c r="J206" s="47" t="n"/>
      <c r="K206" s="47" t="n"/>
      <c r="L206" s="47" t="n"/>
      <c r="M206" s="47" t="n"/>
    </row>
    <row r="207" ht="12.75" customHeight="1" s="205">
      <c r="B207" s="26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1" t="n"/>
      <c r="G207" s="262" t="n"/>
      <c r="H207" s="264" t="n"/>
      <c r="I207" s="265" t="n"/>
      <c r="J207" s="47" t="n"/>
      <c r="K207" s="47" t="n"/>
      <c r="L207" s="47" t="n"/>
      <c r="M207" s="47" t="n"/>
    </row>
    <row r="208" ht="12.75" customHeight="1" s="205">
      <c r="B208" s="26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1" t="n"/>
      <c r="G208" s="262" t="n"/>
      <c r="H208" s="264" t="n"/>
      <c r="I208" s="265" t="n"/>
      <c r="J208" s="47" t="n"/>
      <c r="K208" s="47" t="n"/>
      <c r="L208" s="47" t="n"/>
      <c r="M208" s="47" t="n"/>
    </row>
    <row r="209" ht="12.75" customHeight="1" s="205">
      <c r="B209" s="26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1" t="n"/>
      <c r="G209" s="262" t="n"/>
      <c r="H209" s="264" t="n"/>
      <c r="I209" s="265" t="n"/>
      <c r="J209" s="47" t="n"/>
      <c r="K209" s="47" t="n"/>
      <c r="L209" s="47" t="n"/>
      <c r="M209" s="47" t="n"/>
    </row>
    <row r="210" ht="12.75" customHeight="1" s="205">
      <c r="B210" s="26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1" t="n"/>
      <c r="G210" s="262" t="n"/>
      <c r="H210" s="264" t="n"/>
      <c r="I210" s="265" t="n"/>
      <c r="J210" s="47" t="n"/>
      <c r="K210" s="47" t="n"/>
      <c r="L210" s="47" t="n"/>
      <c r="M210" s="47" t="n"/>
    </row>
    <row r="211" ht="12.75" customHeight="1" s="205">
      <c r="B211" s="26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1" t="n"/>
      <c r="G211" s="262" t="n"/>
      <c r="H211" s="264" t="n"/>
      <c r="I211" s="265" t="n"/>
      <c r="J211" s="47" t="n"/>
      <c r="K211" s="47" t="n"/>
      <c r="L211" s="47" t="n"/>
      <c r="M211" s="47" t="n"/>
    </row>
    <row r="212" ht="12.75" customHeight="1" s="205">
      <c r="B212" s="26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1" t="n"/>
      <c r="G212" s="262" t="n"/>
      <c r="H212" s="264" t="n"/>
      <c r="I212" s="265" t="n"/>
      <c r="J212" s="47" t="n"/>
      <c r="K212" s="47" t="n"/>
      <c r="L212" s="47" t="n"/>
      <c r="M212" s="47" t="n"/>
    </row>
    <row r="213" ht="12.75" customHeight="1" s="205">
      <c r="B213" s="26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1" t="n"/>
      <c r="G213" s="262" t="n"/>
      <c r="H213" s="264" t="n"/>
      <c r="I213" s="265" t="n"/>
      <c r="J213" s="47" t="n"/>
      <c r="K213" s="47" t="n"/>
      <c r="L213" s="47" t="n"/>
      <c r="M213" s="47" t="n"/>
    </row>
    <row r="214" ht="12.75" customHeight="1" s="205">
      <c r="B214" s="26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1" t="n"/>
      <c r="G214" s="262" t="n"/>
      <c r="H214" s="264" t="n"/>
      <c r="I214" s="265" t="n"/>
      <c r="J214" s="47" t="n"/>
      <c r="K214" s="47" t="n"/>
      <c r="L214" s="47" t="n"/>
      <c r="M214" s="47" t="n"/>
    </row>
    <row r="215" ht="12.75" customHeight="1" s="205">
      <c r="B215" s="26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1" t="n"/>
      <c r="G215" s="262" t="n"/>
      <c r="H215" s="264" t="n"/>
      <c r="I215" s="265" t="n"/>
      <c r="J215" s="47" t="n"/>
      <c r="K215" s="47" t="n"/>
      <c r="L215" s="47" t="n"/>
      <c r="M215" s="47" t="n"/>
    </row>
    <row r="216" ht="12.75" customHeight="1" s="205">
      <c r="B216" s="26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1" t="n"/>
      <c r="G216" s="262" t="n"/>
      <c r="H216" s="264" t="n"/>
      <c r="I216" s="265" t="n"/>
      <c r="J216" s="47" t="n"/>
      <c r="K216" s="47" t="n"/>
      <c r="L216" s="47" t="n"/>
      <c r="M216" s="47" t="n"/>
    </row>
    <row r="217" ht="12.75" customHeight="1" s="205">
      <c r="B217" s="26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1" t="n"/>
      <c r="G217" s="262" t="n"/>
      <c r="H217" s="264" t="n"/>
      <c r="I217" s="265" t="n"/>
      <c r="J217" s="47" t="n"/>
      <c r="K217" s="47" t="n"/>
      <c r="L217" s="47" t="n"/>
      <c r="M217" s="47" t="n"/>
    </row>
    <row r="218" ht="12.75" customHeight="1" s="205">
      <c r="B218" s="26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1" t="n"/>
      <c r="G218" s="262" t="n"/>
      <c r="H218" s="264" t="n"/>
      <c r="I218" s="265" t="n"/>
      <c r="J218" s="47" t="n"/>
      <c r="K218" s="47" t="n"/>
      <c r="L218" s="47" t="n"/>
      <c r="M218" s="47" t="n"/>
    </row>
    <row r="219" ht="12.75" customHeight="1" s="205">
      <c r="B219" s="26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1" t="n"/>
      <c r="G219" s="262" t="n"/>
      <c r="H219" s="264" t="n"/>
      <c r="I219" s="265" t="n"/>
      <c r="J219" s="47" t="n"/>
      <c r="K219" s="47" t="n"/>
      <c r="L219" s="47" t="n"/>
      <c r="M219" s="47" t="n"/>
    </row>
    <row r="220" ht="12.75" customHeight="1" s="205">
      <c r="B220" s="26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1" t="n"/>
      <c r="G220" s="262" t="n"/>
      <c r="H220" s="264" t="n"/>
      <c r="I220" s="265" t="n"/>
      <c r="J220" s="47" t="n"/>
      <c r="K220" s="47" t="n"/>
      <c r="L220" s="47" t="n"/>
      <c r="M220" s="47" t="n"/>
    </row>
    <row r="221" ht="12.75" customHeight="1" s="205">
      <c r="B221" s="26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1" t="n"/>
      <c r="G221" s="262" t="n"/>
      <c r="H221" s="264" t="n"/>
      <c r="I221" s="265" t="n"/>
      <c r="J221" s="47" t="n"/>
      <c r="K221" s="47" t="n"/>
      <c r="L221" s="47" t="n"/>
      <c r="M221" s="47" t="n"/>
    </row>
    <row r="222" ht="12.75" customHeight="1" s="205">
      <c r="B222" s="26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1" t="n"/>
      <c r="G222" s="262" t="n"/>
      <c r="H222" s="264" t="n"/>
      <c r="I222" s="265" t="n"/>
      <c r="J222" s="47" t="n"/>
      <c r="K222" s="47" t="n"/>
      <c r="L222" s="47" t="n"/>
      <c r="M222" s="47" t="n"/>
    </row>
    <row r="223" ht="12.75" customHeight="1" s="205">
      <c r="B223" s="26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1" t="n"/>
      <c r="G223" s="262" t="n"/>
      <c r="H223" s="264" t="n"/>
      <c r="I223" s="265" t="n"/>
      <c r="J223" s="47" t="n"/>
      <c r="K223" s="47" t="n"/>
      <c r="L223" s="47" t="n"/>
      <c r="M223" s="47" t="n"/>
    </row>
    <row r="224" ht="12.75" customHeight="1" s="205">
      <c r="B224" s="26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1" t="n"/>
      <c r="G224" s="262" t="n"/>
      <c r="H224" s="264" t="n"/>
      <c r="I224" s="265" t="n"/>
      <c r="J224" s="47" t="n"/>
      <c r="K224" s="47" t="n"/>
      <c r="L224" s="47" t="n"/>
      <c r="M224" s="47" t="n"/>
    </row>
    <row r="225" ht="12.75" customHeight="1" s="205">
      <c r="B225" s="26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1" t="n"/>
      <c r="G225" s="262" t="n"/>
      <c r="H225" s="264" t="n"/>
      <c r="I225" s="265" t="n"/>
      <c r="J225" s="47" t="n"/>
      <c r="K225" s="47" t="n"/>
      <c r="L225" s="47" t="n"/>
      <c r="M225" s="47" t="n"/>
    </row>
    <row r="226" ht="12.75" customHeight="1" s="205">
      <c r="B226" s="26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1" t="n"/>
      <c r="G226" s="262" t="n"/>
      <c r="H226" s="264" t="n"/>
      <c r="I226" s="265" t="n"/>
      <c r="J226" s="47" t="n"/>
      <c r="K226" s="47" t="n"/>
      <c r="L226" s="47" t="n"/>
      <c r="M226" s="47" t="n"/>
    </row>
    <row r="227" ht="12.75" customHeight="1" s="205">
      <c r="B227" s="26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1" t="n"/>
      <c r="G227" s="262" t="n"/>
      <c r="H227" s="264" t="n"/>
      <c r="I227" s="265" t="n"/>
      <c r="J227" s="47" t="n"/>
      <c r="K227" s="47" t="n"/>
      <c r="L227" s="47" t="n"/>
      <c r="M227" s="47" t="n"/>
    </row>
    <row r="228" ht="12.75" customHeight="1" s="205">
      <c r="B228" s="26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1" t="n"/>
      <c r="G228" s="262" t="n"/>
      <c r="H228" s="264" t="n"/>
      <c r="I228" s="265" t="n"/>
      <c r="J228" s="47" t="n"/>
      <c r="K228" s="47" t="n"/>
      <c r="L228" s="47" t="n"/>
      <c r="M228" s="47" t="n"/>
    </row>
    <row r="229" ht="12.75" customHeight="1" s="205">
      <c r="B229" s="26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1" t="n"/>
      <c r="G229" s="262" t="n"/>
      <c r="H229" s="264" t="n"/>
      <c r="I229" s="265" t="n"/>
      <c r="J229" s="47" t="n"/>
      <c r="K229" s="47" t="n"/>
      <c r="L229" s="47" t="n"/>
      <c r="M229" s="47" t="n"/>
    </row>
    <row r="230" ht="12.75" customHeight="1" s="205">
      <c r="B230" s="26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1" t="n"/>
      <c r="G230" s="262" t="n"/>
      <c r="H230" s="264" t="n"/>
      <c r="I230" s="265" t="n"/>
      <c r="J230" s="47" t="n"/>
      <c r="K230" s="47" t="n"/>
      <c r="L230" s="47" t="n"/>
      <c r="M230" s="47" t="n"/>
    </row>
    <row r="231" ht="12.75" customHeight="1" s="205">
      <c r="B231" s="26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1" t="n"/>
      <c r="G231" s="262" t="n"/>
      <c r="H231" s="264" t="n"/>
      <c r="I231" s="265" t="n"/>
      <c r="J231" s="47" t="n"/>
      <c r="K231" s="47" t="n"/>
      <c r="L231" s="47" t="n"/>
      <c r="M231" s="47" t="n"/>
    </row>
    <row r="232" ht="12.75" customHeight="1" s="205">
      <c r="B232" s="26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1" t="n"/>
      <c r="G232" s="262" t="n"/>
      <c r="H232" s="264" t="n"/>
      <c r="I232" s="265" t="n"/>
      <c r="J232" s="47" t="n"/>
      <c r="K232" s="47" t="n"/>
      <c r="L232" s="47" t="n"/>
      <c r="M232" s="47" t="n"/>
    </row>
    <row r="233" ht="12.75" customHeight="1" s="205">
      <c r="B233" s="26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1" t="n"/>
      <c r="G233" s="262" t="n"/>
      <c r="H233" s="264" t="n"/>
      <c r="I233" s="265" t="n"/>
      <c r="J233" s="47" t="n"/>
      <c r="K233" s="47" t="n"/>
      <c r="L233" s="47" t="n"/>
      <c r="M233" s="47" t="n"/>
    </row>
    <row r="234" ht="12.75" customHeight="1" s="205">
      <c r="B234" s="26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1" t="n"/>
      <c r="G234" s="262" t="n"/>
      <c r="H234" s="264" t="n"/>
      <c r="I234" s="265" t="n"/>
      <c r="J234" s="47" t="n"/>
      <c r="K234" s="47" t="n"/>
      <c r="L234" s="47" t="n"/>
      <c r="M234" s="47" t="n"/>
    </row>
    <row r="235" ht="12.75" customHeight="1" s="205">
      <c r="B235" s="26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1" t="n"/>
      <c r="G235" s="262" t="n"/>
      <c r="H235" s="264" t="n"/>
      <c r="I235" s="265" t="n"/>
      <c r="J235" s="47" t="n"/>
      <c r="K235" s="47" t="n"/>
      <c r="L235" s="47" t="n"/>
      <c r="M235" s="47" t="n"/>
    </row>
    <row r="236" ht="12.75" customHeight="1" s="205">
      <c r="B236" s="26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1" t="n"/>
      <c r="G236" s="262" t="n"/>
      <c r="H236" s="264" t="n"/>
      <c r="I236" s="265" t="n"/>
      <c r="J236" s="47" t="n"/>
      <c r="K236" s="47" t="n"/>
      <c r="L236" s="47" t="n"/>
      <c r="M236" s="47" t="n"/>
    </row>
    <row r="237" ht="12.75" customHeight="1" s="205">
      <c r="B237" s="26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1" t="n"/>
      <c r="G237" s="262" t="n"/>
      <c r="H237" s="264" t="n"/>
      <c r="I237" s="265" t="n"/>
      <c r="J237" s="47" t="n"/>
      <c r="K237" s="47" t="n"/>
      <c r="L237" s="47" t="n"/>
      <c r="M237" s="47" t="n"/>
    </row>
    <row r="238" ht="12.75" customHeight="1" s="205">
      <c r="B238" s="26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1" t="n"/>
      <c r="G238" s="262" t="n"/>
      <c r="H238" s="264" t="n"/>
      <c r="I238" s="265" t="n"/>
      <c r="J238" s="47" t="n"/>
      <c r="K238" s="47" t="n"/>
      <c r="L238" s="47" t="n"/>
      <c r="M238" s="47" t="n"/>
    </row>
    <row r="239" ht="12.75" customHeight="1" s="205">
      <c r="B239" s="26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1" t="n"/>
      <c r="G239" s="262" t="n"/>
      <c r="H239" s="264" t="n"/>
      <c r="I239" s="265" t="n"/>
      <c r="J239" s="47" t="n"/>
      <c r="K239" s="47" t="n"/>
      <c r="L239" s="47" t="n"/>
      <c r="M239" s="47" t="n"/>
    </row>
    <row r="240" ht="12.75" customHeight="1" s="205">
      <c r="B240" s="26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1" t="n"/>
      <c r="G240" s="262" t="n"/>
      <c r="H240" s="264" t="n"/>
      <c r="I240" s="265" t="n"/>
      <c r="J240" s="47" t="n"/>
      <c r="K240" s="47" t="n"/>
      <c r="L240" s="47" t="n"/>
      <c r="M240" s="47" t="n"/>
    </row>
    <row r="241" ht="12.75" customHeight="1" s="205">
      <c r="B241" s="26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1" t="n"/>
      <c r="G241" s="262" t="n"/>
      <c r="H241" s="264" t="n"/>
      <c r="I241" s="265" t="n"/>
      <c r="J241" s="47" t="n"/>
      <c r="K241" s="47" t="n"/>
      <c r="L241" s="47" t="n"/>
      <c r="M241" s="47" t="n"/>
    </row>
    <row r="242" ht="12.75" customHeight="1" s="205">
      <c r="B242" s="26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1" t="n"/>
      <c r="G242" s="262" t="n"/>
      <c r="H242" s="264" t="n"/>
      <c r="I242" s="265" t="n"/>
      <c r="J242" s="47" t="n"/>
      <c r="K242" s="47" t="n"/>
      <c r="L242" s="47" t="n"/>
      <c r="M242" s="47" t="n"/>
    </row>
    <row r="243" ht="12.75" customHeight="1" s="205">
      <c r="B243" s="26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1" t="n"/>
      <c r="G243" s="262" t="n"/>
      <c r="H243" s="264" t="n"/>
      <c r="I243" s="265" t="n"/>
      <c r="J243" s="47" t="n"/>
      <c r="K243" s="47" t="n"/>
      <c r="L243" s="47" t="n"/>
      <c r="M243" s="47" t="n"/>
    </row>
    <row r="244" ht="12.75" customHeight="1" s="205">
      <c r="B244" s="26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1" t="n"/>
      <c r="G244" s="262" t="n"/>
      <c r="H244" s="264" t="n"/>
      <c r="I244" s="265" t="n"/>
      <c r="J244" s="47" t="n"/>
      <c r="K244" s="47" t="n"/>
      <c r="L244" s="47" t="n"/>
      <c r="M244" s="47" t="n"/>
    </row>
    <row r="245" ht="12.75" customHeight="1" s="205">
      <c r="B245" s="26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1" t="n"/>
      <c r="G245" s="262" t="n"/>
      <c r="H245" s="264" t="n"/>
      <c r="I245" s="265" t="n"/>
      <c r="J245" s="47" t="n"/>
      <c r="K245" s="47" t="n"/>
      <c r="L245" s="47" t="n"/>
      <c r="M245" s="47" t="n"/>
    </row>
    <row r="246" ht="12.75" customHeight="1" s="205">
      <c r="B246" s="26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1" t="n"/>
      <c r="G246" s="262" t="n"/>
      <c r="H246" s="264" t="n"/>
      <c r="I246" s="265" t="n"/>
      <c r="J246" s="47" t="n"/>
      <c r="K246" s="47" t="n"/>
      <c r="L246" s="47" t="n"/>
      <c r="M246" s="47" t="n"/>
    </row>
    <row r="247" ht="12.75" customHeight="1" s="205">
      <c r="B247" s="26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1" t="n"/>
      <c r="G247" s="262" t="n"/>
      <c r="H247" s="264" t="n"/>
      <c r="I247" s="265" t="n"/>
      <c r="J247" s="47" t="n"/>
      <c r="K247" s="47" t="n"/>
      <c r="L247" s="47" t="n"/>
      <c r="M247" s="47" t="n"/>
    </row>
    <row r="248" ht="12.75" customHeight="1" s="205">
      <c r="B248" s="26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1" t="n"/>
      <c r="G248" s="262" t="n"/>
      <c r="H248" s="264" t="n"/>
      <c r="I248" s="265" t="n"/>
      <c r="J248" s="47" t="n"/>
      <c r="K248" s="47" t="n"/>
      <c r="L248" s="47" t="n"/>
      <c r="M248" s="47" t="n"/>
    </row>
    <row r="249" ht="12.75" customHeight="1" s="205">
      <c r="B249" s="26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1" t="n"/>
      <c r="G249" s="262" t="n"/>
      <c r="H249" s="264" t="n"/>
      <c r="I249" s="265" t="n"/>
      <c r="J249" s="47" t="n"/>
      <c r="K249" s="47" t="n"/>
      <c r="L249" s="47" t="n"/>
      <c r="M249" s="47" t="n"/>
    </row>
    <row r="250" ht="12.75" customHeight="1" s="205">
      <c r="B250" s="26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1" t="n"/>
      <c r="G250" s="262" t="n"/>
      <c r="H250" s="264" t="n"/>
      <c r="I250" s="265" t="n"/>
      <c r="J250" s="47" t="n"/>
      <c r="K250" s="47" t="n"/>
      <c r="L250" s="47" t="n"/>
      <c r="M250" s="47" t="n"/>
    </row>
    <row r="251" ht="12.75" customHeight="1" s="205">
      <c r="B251" s="26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1" t="n"/>
      <c r="G251" s="262" t="n"/>
      <c r="H251" s="264" t="n"/>
      <c r="I251" s="265" t="n"/>
      <c r="J251" s="47" t="n"/>
      <c r="K251" s="47" t="n"/>
      <c r="L251" s="47" t="n"/>
      <c r="M251" s="47" t="n"/>
    </row>
    <row r="252" ht="12.75" customHeight="1" s="205">
      <c r="B252" s="26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1" t="n"/>
      <c r="G252" s="262" t="n"/>
      <c r="H252" s="264" t="n"/>
      <c r="I252" s="265" t="n"/>
      <c r="J252" s="47" t="n"/>
      <c r="K252" s="47" t="n"/>
      <c r="L252" s="47" t="n"/>
      <c r="M252" s="47" t="n"/>
    </row>
    <row r="253" ht="12.75" customHeight="1" s="205">
      <c r="B253" s="26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1" t="n"/>
      <c r="G253" s="262" t="n"/>
      <c r="H253" s="264" t="n"/>
      <c r="I253" s="265" t="n"/>
      <c r="J253" s="47" t="n"/>
      <c r="K253" s="47" t="n"/>
      <c r="L253" s="47" t="n"/>
      <c r="M253" s="47" t="n"/>
    </row>
    <row r="254" ht="12.75" customHeight="1" s="205">
      <c r="B254" s="26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1" t="n"/>
      <c r="G254" s="262" t="n"/>
      <c r="H254" s="264" t="n"/>
      <c r="I254" s="265" t="n"/>
      <c r="J254" s="47" t="n"/>
      <c r="K254" s="47" t="n"/>
      <c r="L254" s="47" t="n"/>
      <c r="M254" s="47" t="n"/>
    </row>
    <row r="255" ht="12.75" customHeight="1" s="205">
      <c r="B255" s="26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1" t="n"/>
      <c r="G255" s="262" t="n"/>
      <c r="H255" s="264" t="n"/>
      <c r="I255" s="265" t="n"/>
      <c r="J255" s="47" t="n"/>
      <c r="K255" s="47" t="n"/>
      <c r="L255" s="47" t="n"/>
      <c r="M255" s="47" t="n"/>
    </row>
    <row r="256" ht="12.75" customHeight="1" s="205">
      <c r="B256" s="26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1" t="n"/>
      <c r="G256" s="262" t="n"/>
      <c r="H256" s="264" t="n"/>
      <c r="I256" s="265" t="n"/>
      <c r="J256" s="47" t="n"/>
      <c r="K256" s="47" t="n"/>
      <c r="L256" s="47" t="n"/>
      <c r="M256" s="47" t="n"/>
    </row>
    <row r="257" ht="12.75" customHeight="1" s="205">
      <c r="B257" s="26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1" t="n"/>
      <c r="G257" s="262" t="n"/>
      <c r="H257" s="264" t="n"/>
      <c r="I257" s="265" t="n"/>
      <c r="J257" s="47" t="n"/>
      <c r="K257" s="47" t="n"/>
      <c r="L257" s="47" t="n"/>
      <c r="M257" s="47" t="n"/>
    </row>
    <row r="258" ht="12.75" customHeight="1" s="205">
      <c r="B258" s="26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1" t="n"/>
      <c r="G258" s="262" t="n"/>
      <c r="H258" s="264" t="n"/>
      <c r="I258" s="265" t="n"/>
      <c r="J258" s="47" t="n"/>
      <c r="K258" s="47" t="n"/>
      <c r="L258" s="47" t="n"/>
      <c r="M258" s="47" t="n"/>
    </row>
    <row r="259" ht="12.75" customHeight="1" s="205">
      <c r="B259" s="26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1" t="n"/>
      <c r="G259" s="262" t="n"/>
      <c r="H259" s="264" t="n"/>
      <c r="I259" s="265" t="n"/>
      <c r="J259" s="47" t="n"/>
      <c r="K259" s="47" t="n"/>
      <c r="L259" s="47" t="n"/>
      <c r="M259" s="47" t="n"/>
    </row>
    <row r="260" ht="12.75" customHeight="1" s="205">
      <c r="B260" s="26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1" t="n"/>
      <c r="G260" s="262" t="n"/>
      <c r="H260" s="264" t="n"/>
      <c r="I260" s="265" t="n"/>
      <c r="J260" s="47" t="n"/>
      <c r="K260" s="47" t="n"/>
      <c r="L260" s="47" t="n"/>
      <c r="M260" s="47" t="n"/>
    </row>
    <row r="261" ht="12.75" customHeight="1" s="205">
      <c r="B261" s="26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1" t="n"/>
      <c r="G261" s="262" t="n"/>
      <c r="H261" s="264" t="n"/>
      <c r="I261" s="265" t="n"/>
      <c r="J261" s="47" t="n"/>
      <c r="K261" s="47" t="n"/>
      <c r="L261" s="47" t="n"/>
      <c r="M261" s="47" t="n"/>
    </row>
    <row r="262" ht="12.75" customHeight="1" s="205">
      <c r="B262" s="26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1" t="n"/>
      <c r="G262" s="262" t="n"/>
      <c r="H262" s="264" t="n"/>
      <c r="I262" s="265" t="n"/>
      <c r="J262" s="47" t="n"/>
      <c r="K262" s="47" t="n"/>
      <c r="L262" s="47" t="n"/>
      <c r="M262" s="47" t="n"/>
    </row>
    <row r="263" ht="12.75" customHeight="1" s="205">
      <c r="B263" s="26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1" t="n"/>
      <c r="G263" s="262" t="n"/>
      <c r="H263" s="264" t="n"/>
      <c r="I263" s="265" t="n"/>
      <c r="J263" s="47" t="n"/>
      <c r="K263" s="47" t="n"/>
      <c r="L263" s="47" t="n"/>
      <c r="M263" s="47" t="n"/>
    </row>
    <row r="264" ht="12.75" customHeight="1" s="205">
      <c r="B264" s="26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1" t="n"/>
      <c r="G264" s="262" t="n"/>
      <c r="H264" s="264" t="n"/>
      <c r="I264" s="265" t="n"/>
      <c r="J264" s="47" t="n"/>
      <c r="K264" s="47" t="n"/>
      <c r="L264" s="47" t="n"/>
      <c r="M264" s="47" t="n"/>
    </row>
    <row r="265" ht="12.75" customHeight="1" s="205">
      <c r="B265" s="26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1" t="n"/>
      <c r="G265" s="262" t="n"/>
      <c r="H265" s="264" t="n"/>
      <c r="I265" s="265" t="n"/>
      <c r="J265" s="47" t="n"/>
      <c r="K265" s="47" t="n"/>
      <c r="L265" s="47" t="n"/>
      <c r="M265" s="47" t="n"/>
    </row>
    <row r="266" ht="12.75" customHeight="1" s="205">
      <c r="B266" s="26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1" t="n"/>
      <c r="G266" s="262" t="n"/>
      <c r="H266" s="264" t="n"/>
      <c r="I266" s="265" t="n"/>
      <c r="J266" s="47" t="n"/>
      <c r="K266" s="47" t="n"/>
      <c r="L266" s="47" t="n"/>
      <c r="M266" s="47" t="n"/>
    </row>
    <row r="267" ht="12.75" customHeight="1" s="205">
      <c r="B267" s="26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1" t="n"/>
      <c r="G267" s="262" t="n"/>
      <c r="H267" s="264" t="n"/>
      <c r="I267" s="265" t="n"/>
      <c r="J267" s="47" t="n"/>
      <c r="K267" s="47" t="n"/>
      <c r="L267" s="47" t="n"/>
      <c r="M267" s="47" t="n"/>
    </row>
    <row r="268" ht="12.75" customHeight="1" s="205">
      <c r="B268" s="26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1" t="n"/>
      <c r="G268" s="262" t="n"/>
      <c r="H268" s="264" t="n"/>
      <c r="I268" s="265" t="n"/>
      <c r="J268" s="47" t="n"/>
      <c r="K268" s="47" t="n"/>
      <c r="L268" s="47" t="n"/>
      <c r="M268" s="47" t="n"/>
    </row>
    <row r="269" ht="12.75" customHeight="1" s="205">
      <c r="B269" s="26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1" t="n"/>
      <c r="G269" s="262" t="n"/>
      <c r="H269" s="264" t="n"/>
      <c r="I269" s="265" t="n"/>
      <c r="J269" s="47" t="n"/>
      <c r="K269" s="47" t="n"/>
      <c r="L269" s="47" t="n"/>
      <c r="M269" s="47" t="n"/>
    </row>
    <row r="270" ht="12.75" customHeight="1" s="205">
      <c r="B270" s="26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1" t="n"/>
      <c r="G270" s="262" t="n"/>
      <c r="H270" s="264" t="n"/>
      <c r="I270" s="265" t="n"/>
      <c r="J270" s="47" t="n"/>
      <c r="K270" s="47" t="n"/>
      <c r="L270" s="47" t="n"/>
      <c r="M270" s="47" t="n"/>
    </row>
    <row r="271" ht="12.75" customHeight="1" s="205">
      <c r="B271" s="26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1" t="n"/>
      <c r="G271" s="262" t="n"/>
      <c r="H271" s="264" t="n"/>
      <c r="I271" s="265" t="n"/>
      <c r="J271" s="47" t="n"/>
      <c r="K271" s="47" t="n"/>
      <c r="L271" s="47" t="n"/>
      <c r="M271" s="47" t="n"/>
    </row>
    <row r="272" ht="12.75" customHeight="1" s="205">
      <c r="B272" s="26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1" t="n"/>
      <c r="G272" s="262" t="n"/>
      <c r="H272" s="264" t="n"/>
      <c r="I272" s="265" t="n"/>
      <c r="J272" s="47" t="n"/>
      <c r="K272" s="47" t="n"/>
      <c r="L272" s="47" t="n"/>
      <c r="M272" s="47" t="n"/>
    </row>
    <row r="273" ht="12.75" customHeight="1" s="205">
      <c r="B273" s="26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1" t="n"/>
      <c r="G273" s="262" t="n"/>
      <c r="H273" s="264" t="n"/>
      <c r="I273" s="265" t="n"/>
      <c r="J273" s="47" t="n"/>
      <c r="K273" s="47" t="n"/>
      <c r="L273" s="47" t="n"/>
      <c r="M273" s="47" t="n"/>
    </row>
    <row r="274" ht="12.75" customHeight="1" s="205">
      <c r="B274" s="26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1" t="n"/>
      <c r="G274" s="262" t="n"/>
      <c r="H274" s="264" t="n"/>
      <c r="I274" s="265" t="n"/>
      <c r="J274" s="47" t="n"/>
      <c r="K274" s="47" t="n"/>
      <c r="L274" s="47" t="n"/>
      <c r="M274" s="47" t="n"/>
    </row>
    <row r="275" ht="12.75" customHeight="1" s="205">
      <c r="B275" s="26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1" t="n"/>
      <c r="G275" s="262" t="n"/>
      <c r="H275" s="264" t="n"/>
      <c r="I275" s="265" t="n"/>
      <c r="J275" s="47" t="n"/>
      <c r="K275" s="47" t="n"/>
      <c r="L275" s="47" t="n"/>
      <c r="M275" s="47" t="n"/>
    </row>
    <row r="276" ht="12.75" customHeight="1" s="205">
      <c r="B276" s="26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1" t="n"/>
      <c r="G276" s="262" t="n"/>
      <c r="H276" s="264" t="n"/>
      <c r="I276" s="265" t="n"/>
      <c r="J276" s="47" t="n"/>
      <c r="K276" s="47" t="n"/>
      <c r="L276" s="47" t="n"/>
      <c r="M276" s="47" t="n"/>
    </row>
    <row r="277" ht="12.75" customHeight="1" s="205">
      <c r="B277" s="26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1" t="n"/>
      <c r="G277" s="262" t="n"/>
      <c r="H277" s="264" t="n"/>
      <c r="I277" s="265" t="n"/>
      <c r="J277" s="47" t="n"/>
      <c r="K277" s="47" t="n"/>
      <c r="L277" s="47" t="n"/>
      <c r="M277" s="47" t="n"/>
    </row>
    <row r="278" ht="12.75" customHeight="1" s="205">
      <c r="B278" s="26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1" t="n"/>
      <c r="G278" s="262" t="n"/>
      <c r="H278" s="264" t="n"/>
      <c r="I278" s="265" t="n"/>
      <c r="J278" s="47" t="n"/>
      <c r="K278" s="47" t="n"/>
      <c r="L278" s="47" t="n"/>
      <c r="M278" s="47" t="n"/>
    </row>
    <row r="279" ht="12.75" customHeight="1" s="205">
      <c r="B279" s="26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1" t="n"/>
      <c r="G279" s="262" t="n"/>
      <c r="H279" s="264" t="n"/>
      <c r="I279" s="265" t="n"/>
      <c r="J279" s="47" t="n"/>
      <c r="K279" s="47" t="n"/>
      <c r="L279" s="47" t="n"/>
      <c r="M279" s="47" t="n"/>
    </row>
    <row r="280" ht="12.75" customHeight="1" s="205">
      <c r="B280" s="26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1" t="n"/>
      <c r="G280" s="262" t="n"/>
      <c r="H280" s="264" t="n"/>
      <c r="I280" s="265" t="n"/>
      <c r="J280" s="47" t="n"/>
      <c r="K280" s="47" t="n"/>
      <c r="L280" s="47" t="n"/>
      <c r="M280" s="47" t="n"/>
    </row>
    <row r="281" ht="12.75" customHeight="1" s="205">
      <c r="B281" s="26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1" t="n"/>
      <c r="G281" s="262" t="n"/>
      <c r="H281" s="264" t="n"/>
      <c r="I281" s="265" t="n"/>
      <c r="J281" s="47" t="n"/>
      <c r="K281" s="47" t="n"/>
      <c r="L281" s="47" t="n"/>
      <c r="M281" s="47" t="n"/>
    </row>
    <row r="282" ht="12.75" customHeight="1" s="205">
      <c r="B282" s="26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1" t="n"/>
      <c r="G282" s="262" t="n"/>
      <c r="H282" s="264" t="n"/>
      <c r="I282" s="265" t="n"/>
      <c r="J282" s="47" t="n"/>
      <c r="K282" s="47" t="n"/>
      <c r="L282" s="47" t="n"/>
      <c r="M282" s="47" t="n"/>
    </row>
    <row r="283" ht="12.75" customHeight="1" s="205">
      <c r="B283" s="26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1" t="n"/>
      <c r="G283" s="262" t="n"/>
      <c r="H283" s="264" t="n"/>
      <c r="I283" s="265" t="n"/>
      <c r="J283" s="47" t="n"/>
      <c r="K283" s="47" t="n"/>
      <c r="L283" s="47" t="n"/>
      <c r="M283" s="47" t="n"/>
    </row>
    <row r="284" ht="12.75" customHeight="1" s="205">
      <c r="B284" s="26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1" t="n"/>
      <c r="G284" s="262" t="n"/>
      <c r="H284" s="264" t="n"/>
      <c r="I284" s="265" t="n"/>
      <c r="J284" s="47" t="n"/>
      <c r="K284" s="47" t="n"/>
      <c r="L284" s="47" t="n"/>
      <c r="M284" s="47" t="n"/>
    </row>
    <row r="285" ht="12.75" customHeight="1" s="205">
      <c r="B285" s="26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1" t="n"/>
      <c r="G285" s="262" t="n"/>
      <c r="H285" s="264" t="n"/>
      <c r="I285" s="265" t="n"/>
      <c r="J285" s="47" t="n"/>
      <c r="K285" s="47" t="n"/>
      <c r="L285" s="47" t="n"/>
      <c r="M285" s="47" t="n"/>
    </row>
    <row r="286" ht="12.75" customHeight="1" s="205">
      <c r="B286" s="26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1" t="n"/>
      <c r="G286" s="262" t="n"/>
      <c r="H286" s="264" t="n"/>
      <c r="I286" s="265" t="n"/>
      <c r="J286" s="47" t="n"/>
      <c r="K286" s="47" t="n"/>
      <c r="L286" s="47" t="n"/>
      <c r="M286" s="47" t="n"/>
    </row>
    <row r="287" ht="12.75" customHeight="1" s="205">
      <c r="B287" s="26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1" t="n"/>
      <c r="G287" s="262" t="n"/>
      <c r="H287" s="264" t="n"/>
      <c r="I287" s="265" t="n"/>
      <c r="J287" s="47" t="n"/>
      <c r="K287" s="47" t="n"/>
      <c r="L287" s="47" t="n"/>
      <c r="M287" s="47" t="n"/>
    </row>
    <row r="288" ht="12.75" customHeight="1" s="205">
      <c r="B288" s="26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1" t="n"/>
      <c r="G288" s="262" t="n"/>
      <c r="H288" s="264" t="n"/>
      <c r="I288" s="265" t="n"/>
      <c r="J288" s="47" t="n"/>
      <c r="K288" s="47" t="n"/>
      <c r="L288" s="47" t="n"/>
      <c r="M288" s="47" t="n"/>
    </row>
    <row r="289" ht="12.75" customHeight="1" s="205">
      <c r="B289" s="26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1" t="n"/>
      <c r="G289" s="262" t="n"/>
      <c r="H289" s="264" t="n"/>
      <c r="I289" s="265" t="n"/>
      <c r="J289" s="47" t="n"/>
      <c r="K289" s="47" t="n"/>
      <c r="L289" s="47" t="n"/>
      <c r="M289" s="47" t="n"/>
    </row>
    <row r="290" ht="12.75" customHeight="1" s="205">
      <c r="B290" s="26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1" t="n"/>
      <c r="G290" s="262" t="n"/>
      <c r="H290" s="264" t="n"/>
      <c r="I290" s="265" t="n"/>
      <c r="J290" s="47" t="n"/>
      <c r="K290" s="47" t="n"/>
      <c r="L290" s="47" t="n"/>
      <c r="M290" s="47" t="n"/>
    </row>
    <row r="291" ht="12.75" customHeight="1" s="205">
      <c r="B291" s="26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1" t="n"/>
      <c r="G291" s="262" t="n"/>
      <c r="H291" s="264" t="n"/>
      <c r="I291" s="265" t="n"/>
      <c r="J291" s="47" t="n"/>
      <c r="K291" s="47" t="n"/>
      <c r="L291" s="47" t="n"/>
      <c r="M291" s="47" t="n"/>
    </row>
    <row r="292" ht="12.75" customHeight="1" s="205">
      <c r="B292" s="26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1" t="n"/>
      <c r="G292" s="262" t="n"/>
      <c r="H292" s="264" t="n"/>
      <c r="I292" s="265" t="n"/>
      <c r="J292" s="47" t="n"/>
      <c r="K292" s="47" t="n"/>
      <c r="L292" s="47" t="n"/>
      <c r="M292" s="47" t="n"/>
    </row>
    <row r="293" ht="12.75" customHeight="1" s="205">
      <c r="B293" s="26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1" t="n"/>
      <c r="G293" s="262" t="n"/>
      <c r="H293" s="264" t="n"/>
      <c r="I293" s="265" t="n"/>
      <c r="J293" s="47" t="n"/>
      <c r="K293" s="47" t="n"/>
      <c r="L293" s="47" t="n"/>
      <c r="M293" s="47" t="n"/>
    </row>
    <row r="294" ht="12.75" customHeight="1" s="205">
      <c r="B294" s="26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1" t="n"/>
      <c r="G294" s="262" t="n"/>
      <c r="H294" s="264" t="n"/>
      <c r="I294" s="265" t="n"/>
      <c r="J294" s="47" t="n"/>
      <c r="K294" s="47" t="n"/>
      <c r="L294" s="47" t="n"/>
      <c r="M294" s="47" t="n"/>
    </row>
    <row r="295" ht="12.75" customHeight="1" s="205">
      <c r="B295" s="26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1" t="n"/>
      <c r="G295" s="262" t="n"/>
      <c r="H295" s="264" t="n"/>
      <c r="I295" s="265" t="n"/>
      <c r="J295" s="47" t="n"/>
      <c r="K295" s="47" t="n"/>
      <c r="L295" s="47" t="n"/>
      <c r="M295" s="47" t="n"/>
    </row>
    <row r="296" ht="12.75" customHeight="1" s="205">
      <c r="B296" s="26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1" t="n"/>
      <c r="G296" s="262" t="n"/>
      <c r="H296" s="264" t="n"/>
      <c r="I296" s="265" t="n"/>
      <c r="J296" s="47" t="n"/>
      <c r="K296" s="47" t="n"/>
      <c r="L296" s="47" t="n"/>
      <c r="M296" s="47" t="n"/>
    </row>
    <row r="297" ht="12.75" customHeight="1" s="205">
      <c r="B297" s="26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1" t="n"/>
      <c r="G297" s="262" t="n"/>
      <c r="H297" s="264" t="n"/>
      <c r="I297" s="265" t="n"/>
      <c r="J297" s="47" t="n"/>
      <c r="K297" s="47" t="n"/>
      <c r="L297" s="47" t="n"/>
      <c r="M297" s="47" t="n"/>
    </row>
    <row r="298" ht="12.75" customHeight="1" s="205">
      <c r="B298" s="26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1" t="n"/>
      <c r="G298" s="262" t="n"/>
      <c r="H298" s="264" t="n"/>
      <c r="I298" s="265" t="n"/>
      <c r="J298" s="47" t="n"/>
      <c r="K298" s="47" t="n"/>
      <c r="L298" s="47" t="n"/>
      <c r="M298" s="47" t="n"/>
    </row>
    <row r="299" ht="12.75" customHeight="1" s="205">
      <c r="B299" s="26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1" t="n"/>
      <c r="G299" s="262" t="n"/>
      <c r="H299" s="264" t="n"/>
      <c r="I299" s="265" t="n"/>
      <c r="J299" s="47" t="n"/>
      <c r="K299" s="47" t="n"/>
      <c r="L299" s="47" t="n"/>
      <c r="M299" s="47" t="n"/>
    </row>
    <row r="300" ht="12.75" customHeight="1" s="205">
      <c r="B300" s="26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1" t="n"/>
      <c r="G300" s="262" t="n"/>
      <c r="H300" s="264" t="n"/>
      <c r="I300" s="265" t="n"/>
      <c r="J300" s="47" t="n"/>
      <c r="K300" s="47" t="n"/>
      <c r="L300" s="47" t="n"/>
      <c r="M300" s="47" t="n"/>
    </row>
    <row r="301" ht="12.75" customHeight="1" s="205">
      <c r="B301" s="26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1" t="n"/>
      <c r="G301" s="262" t="n"/>
      <c r="H301" s="264" t="n"/>
      <c r="I301" s="265" t="n"/>
      <c r="J301" s="47" t="n"/>
      <c r="K301" s="47" t="n"/>
      <c r="L301" s="47" t="n"/>
      <c r="M301" s="47" t="n"/>
    </row>
    <row r="302" ht="12.75" customHeight="1" s="205">
      <c r="B302" s="26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1" t="n"/>
      <c r="G302" s="262" t="n"/>
      <c r="H302" s="264" t="n"/>
      <c r="I302" s="265" t="n"/>
      <c r="J302" s="47" t="n"/>
      <c r="K302" s="47" t="n"/>
      <c r="L302" s="47" t="n"/>
      <c r="M302" s="47" t="n"/>
    </row>
    <row r="303" ht="12.75" customHeight="1" s="205">
      <c r="B303" s="26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1" t="n"/>
      <c r="G303" s="262" t="n"/>
      <c r="H303" s="264" t="n"/>
      <c r="I303" s="265" t="n"/>
      <c r="J303" s="47" t="n"/>
      <c r="K303" s="47" t="n"/>
      <c r="L303" s="47" t="n"/>
      <c r="M303" s="47" t="n"/>
    </row>
    <row r="304" ht="12.75" customHeight="1" s="205">
      <c r="B304" s="26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1" t="n"/>
      <c r="G304" s="262" t="n"/>
      <c r="H304" s="264" t="n"/>
      <c r="I304" s="265" t="n"/>
      <c r="J304" s="47" t="n"/>
      <c r="K304" s="47" t="n"/>
      <c r="L304" s="47" t="n"/>
      <c r="M304" s="47" t="n"/>
    </row>
    <row r="305" ht="12.75" customHeight="1" s="205">
      <c r="B305" s="26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1" t="n"/>
      <c r="G305" s="262" t="n"/>
      <c r="H305" s="264" t="n"/>
      <c r="I305" s="265" t="n"/>
      <c r="J305" s="47" t="n"/>
      <c r="K305" s="47" t="n"/>
      <c r="L305" s="47" t="n"/>
      <c r="M305" s="47" t="n"/>
    </row>
    <row r="306" ht="12.75" customHeight="1" s="205">
      <c r="B306" s="26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1" t="n"/>
      <c r="G306" s="262" t="n"/>
      <c r="H306" s="264" t="n"/>
      <c r="I306" s="265" t="n"/>
      <c r="J306" s="47" t="n"/>
      <c r="K306" s="47" t="n"/>
      <c r="L306" s="47" t="n"/>
      <c r="M306" s="47" t="n"/>
    </row>
    <row r="307" ht="12.75" customHeight="1" s="205">
      <c r="B307" s="26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1" t="n"/>
      <c r="G307" s="262" t="n"/>
      <c r="H307" s="264" t="n"/>
      <c r="I307" s="265" t="n"/>
      <c r="J307" s="47" t="n"/>
      <c r="K307" s="47" t="n"/>
      <c r="L307" s="47" t="n"/>
      <c r="M307" s="47" t="n"/>
    </row>
    <row r="308" ht="12.75" customHeight="1" s="205">
      <c r="B308" s="26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1" t="n"/>
      <c r="G308" s="262" t="n"/>
      <c r="H308" s="264" t="n"/>
      <c r="I308" s="265" t="n"/>
      <c r="J308" s="47" t="n"/>
      <c r="K308" s="47" t="n"/>
      <c r="L308" s="47" t="n"/>
      <c r="M308" s="47" t="n"/>
    </row>
    <row r="309" ht="12.75" customHeight="1" s="205">
      <c r="B309" s="26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1" t="n"/>
      <c r="G309" s="262" t="n"/>
      <c r="H309" s="264" t="n"/>
      <c r="I309" s="265" t="n"/>
      <c r="J309" s="47" t="n"/>
      <c r="K309" s="47" t="n"/>
      <c r="L309" s="47" t="n"/>
      <c r="M309" s="47" t="n"/>
    </row>
    <row r="310" ht="12.75" customHeight="1" s="205">
      <c r="B310" s="26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1" t="n"/>
      <c r="G310" s="262" t="n"/>
      <c r="H310" s="264" t="n"/>
      <c r="I310" s="265" t="n"/>
      <c r="J310" s="47" t="n"/>
      <c r="K310" s="47" t="n"/>
      <c r="L310" s="47" t="n"/>
      <c r="M310" s="47" t="n"/>
    </row>
    <row r="311" ht="12.75" customHeight="1" s="205">
      <c r="B311" s="26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1" t="n"/>
      <c r="G311" s="262" t="n"/>
      <c r="H311" s="264" t="n"/>
      <c r="I311" s="265" t="n"/>
      <c r="J311" s="47" t="n"/>
      <c r="K311" s="47" t="n"/>
      <c r="L311" s="47" t="n"/>
      <c r="M311" s="47" t="n"/>
    </row>
    <row r="312" ht="12.75" customHeight="1" s="205">
      <c r="B312" s="26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1" t="n"/>
      <c r="G312" s="262" t="n"/>
      <c r="H312" s="264" t="n"/>
      <c r="I312" s="265" t="n"/>
      <c r="J312" s="47" t="n"/>
      <c r="K312" s="47" t="n"/>
      <c r="L312" s="47" t="n"/>
      <c r="M312" s="47" t="n"/>
    </row>
    <row r="313" ht="12.75" customHeight="1" s="205">
      <c r="B313" s="26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1" t="n"/>
      <c r="G313" s="262" t="n"/>
      <c r="H313" s="264" t="n"/>
      <c r="I313" s="265" t="n"/>
      <c r="J313" s="47" t="n"/>
      <c r="K313" s="47" t="n"/>
      <c r="L313" s="47" t="n"/>
      <c r="M313" s="47" t="n"/>
    </row>
    <row r="314" ht="12.75" customHeight="1" s="205">
      <c r="B314" s="26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1" t="n"/>
      <c r="G314" s="262" t="n"/>
      <c r="H314" s="264" t="n"/>
      <c r="I314" s="265" t="n"/>
      <c r="J314" s="47" t="n"/>
      <c r="K314" s="47" t="n"/>
      <c r="L314" s="47" t="n"/>
      <c r="M314" s="47" t="n"/>
    </row>
    <row r="315" ht="12.75" customHeight="1" s="205">
      <c r="B315" s="26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1" t="n"/>
      <c r="G315" s="262" t="n"/>
      <c r="H315" s="264" t="n"/>
      <c r="I315" s="265" t="n"/>
      <c r="J315" s="47" t="n"/>
      <c r="K315" s="47" t="n"/>
      <c r="L315" s="47" t="n"/>
      <c r="M315" s="47" t="n"/>
    </row>
    <row r="316" ht="12.75" customHeight="1" s="205">
      <c r="B316" s="26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1" t="n"/>
      <c r="G316" s="262" t="n"/>
      <c r="H316" s="264" t="n"/>
      <c r="I316" s="265" t="n"/>
      <c r="J316" s="47" t="n"/>
      <c r="K316" s="47" t="n"/>
      <c r="L316" s="47" t="n"/>
      <c r="M316" s="47" t="n"/>
    </row>
    <row r="317" ht="12.75" customHeight="1" s="205">
      <c r="B317" s="26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1" t="n"/>
      <c r="G317" s="262" t="n"/>
      <c r="H317" s="264" t="n"/>
      <c r="I317" s="265" t="n"/>
      <c r="J317" s="47" t="n"/>
      <c r="K317" s="47" t="n"/>
      <c r="L317" s="47" t="n"/>
      <c r="M317" s="47" t="n"/>
    </row>
    <row r="318" ht="12.75" customHeight="1" s="205">
      <c r="B318" s="26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1" t="n"/>
      <c r="G318" s="262" t="n"/>
      <c r="H318" s="264" t="n"/>
      <c r="I318" s="265" t="n"/>
      <c r="J318" s="47" t="n"/>
      <c r="K318" s="47" t="n"/>
      <c r="L318" s="47" t="n"/>
      <c r="M318" s="47" t="n"/>
    </row>
    <row r="319" ht="12.75" customHeight="1" s="205">
      <c r="B319" s="26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1" t="n"/>
      <c r="G319" s="262" t="n"/>
      <c r="H319" s="264" t="n"/>
      <c r="I319" s="265" t="n"/>
      <c r="J319" s="47" t="n"/>
      <c r="K319" s="47" t="n"/>
      <c r="L319" s="47" t="n"/>
      <c r="M319" s="47" t="n"/>
    </row>
    <row r="320" ht="12.75" customHeight="1" s="205">
      <c r="B320" s="26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1" t="n"/>
      <c r="G320" s="262" t="n"/>
      <c r="H320" s="264" t="n"/>
      <c r="I320" s="265" t="n"/>
      <c r="J320" s="47" t="n"/>
      <c r="K320" s="47" t="n"/>
      <c r="L320" s="47" t="n"/>
      <c r="M320" s="47" t="n"/>
    </row>
    <row r="321" ht="12.75" customHeight="1" s="205">
      <c r="B321" s="26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1" t="n"/>
      <c r="G321" s="262" t="n"/>
      <c r="H321" s="264" t="n"/>
      <c r="I321" s="265" t="n"/>
      <c r="J321" s="47" t="n"/>
      <c r="K321" s="47" t="n"/>
      <c r="L321" s="47" t="n"/>
      <c r="M321" s="47" t="n"/>
    </row>
    <row r="322" ht="12.75" customHeight="1" s="205">
      <c r="B322" s="26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1" t="n"/>
      <c r="G322" s="262" t="n"/>
      <c r="H322" s="264" t="n"/>
      <c r="I322" s="265" t="n"/>
      <c r="J322" s="47" t="n"/>
      <c r="K322" s="47" t="n"/>
      <c r="L322" s="47" t="n"/>
      <c r="M322" s="47" t="n"/>
    </row>
    <row r="323" ht="12.75" customHeight="1" s="205">
      <c r="B323" s="26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1" t="n"/>
      <c r="G323" s="262" t="n"/>
      <c r="H323" s="264" t="n"/>
      <c r="I323" s="265" t="n"/>
      <c r="J323" s="47" t="n"/>
      <c r="K323" s="47" t="n"/>
      <c r="L323" s="47" t="n"/>
      <c r="M323" s="47" t="n"/>
    </row>
    <row r="324" ht="12.75" customHeight="1" s="205">
      <c r="B324" s="26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1" t="n"/>
      <c r="G324" s="262" t="n"/>
      <c r="H324" s="264" t="n"/>
      <c r="I324" s="265" t="n"/>
      <c r="J324" s="47" t="n"/>
      <c r="K324" s="47" t="n"/>
      <c r="L324" s="47" t="n"/>
      <c r="M324" s="47" t="n"/>
    </row>
    <row r="325" ht="12.75" customHeight="1" s="205">
      <c r="B325" s="26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1" t="n"/>
      <c r="G325" s="262" t="n"/>
      <c r="H325" s="264" t="n"/>
      <c r="I325" s="265" t="n"/>
      <c r="J325" s="47" t="n"/>
      <c r="K325" s="47" t="n"/>
      <c r="L325" s="47" t="n"/>
      <c r="M325" s="47" t="n"/>
    </row>
    <row r="326" ht="12.75" customHeight="1" s="205">
      <c r="B326" s="26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1" t="n"/>
      <c r="G326" s="262" t="n"/>
      <c r="H326" s="264" t="n"/>
      <c r="I326" s="265" t="n"/>
      <c r="J326" s="47" t="n"/>
      <c r="K326" s="47" t="n"/>
      <c r="L326" s="47" t="n"/>
      <c r="M326" s="47" t="n"/>
    </row>
    <row r="327" ht="12.75" customHeight="1" s="205">
      <c r="B327" s="26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1" t="n"/>
      <c r="G327" s="262" t="n"/>
      <c r="H327" s="264" t="n"/>
      <c r="I327" s="265" t="n"/>
      <c r="J327" s="47" t="n"/>
      <c r="K327" s="47" t="n"/>
      <c r="L327" s="47" t="n"/>
      <c r="M327" s="47" t="n"/>
    </row>
    <row r="328" ht="12.75" customHeight="1" s="205">
      <c r="B328" s="26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1" t="n"/>
      <c r="G328" s="262" t="n"/>
      <c r="H328" s="264" t="n"/>
      <c r="I328" s="265" t="n"/>
      <c r="J328" s="47" t="n"/>
      <c r="K328" s="47" t="n"/>
      <c r="L328" s="47" t="n"/>
      <c r="M328" s="47" t="n"/>
    </row>
    <row r="329" ht="12.75" customHeight="1" s="205">
      <c r="B329" s="26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1" t="n"/>
      <c r="G329" s="262" t="n"/>
      <c r="H329" s="264" t="n"/>
      <c r="I329" s="265" t="n"/>
      <c r="J329" s="47" t="n"/>
      <c r="K329" s="47" t="n"/>
      <c r="L329" s="47" t="n"/>
      <c r="M329" s="47" t="n"/>
    </row>
    <row r="330" ht="12.75" customHeight="1" s="205">
      <c r="B330" s="26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1" t="n"/>
      <c r="G330" s="262" t="n"/>
      <c r="H330" s="264" t="n"/>
      <c r="I330" s="265" t="n"/>
      <c r="J330" s="47" t="n"/>
      <c r="K330" s="47" t="n"/>
      <c r="L330" s="47" t="n"/>
      <c r="M330" s="47" t="n"/>
    </row>
    <row r="331" ht="12.75" customHeight="1" s="205">
      <c r="B331" s="26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1" t="n"/>
      <c r="G331" s="262" t="n"/>
      <c r="H331" s="264" t="n"/>
      <c r="I331" s="265" t="n"/>
      <c r="J331" s="47" t="n"/>
      <c r="K331" s="47" t="n"/>
      <c r="L331" s="47" t="n"/>
      <c r="M331" s="47" t="n"/>
    </row>
    <row r="332" ht="12.75" customHeight="1" s="205">
      <c r="B332" s="26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1" t="n"/>
      <c r="G332" s="262" t="n"/>
      <c r="H332" s="264" t="n"/>
      <c r="I332" s="265" t="n"/>
      <c r="J332" s="47" t="n"/>
      <c r="K332" s="47" t="n"/>
      <c r="L332" s="47" t="n"/>
      <c r="M332" s="47" t="n"/>
    </row>
    <row r="333" ht="12.75" customHeight="1" s="205">
      <c r="B333" s="26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1" t="n"/>
      <c r="G333" s="262" t="n"/>
      <c r="H333" s="264" t="n"/>
      <c r="I333" s="265" t="n"/>
      <c r="J333" s="47" t="n"/>
      <c r="K333" s="47" t="n"/>
      <c r="L333" s="47" t="n"/>
      <c r="M333" s="47" t="n"/>
    </row>
    <row r="334" ht="12.75" customHeight="1" s="205">
      <c r="B334" s="26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1" t="n"/>
      <c r="G334" s="262" t="n"/>
      <c r="H334" s="264" t="n"/>
      <c r="I334" s="265" t="n"/>
      <c r="J334" s="47" t="n"/>
      <c r="K334" s="47" t="n"/>
      <c r="L334" s="47" t="n"/>
      <c r="M334" s="47" t="n"/>
    </row>
    <row r="335" ht="12.75" customHeight="1" s="205">
      <c r="B335" s="26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1" t="n"/>
      <c r="G335" s="262" t="n"/>
      <c r="H335" s="264" t="n"/>
      <c r="I335" s="265" t="n"/>
      <c r="J335" s="47" t="n"/>
      <c r="K335" s="47" t="n"/>
      <c r="L335" s="47" t="n"/>
      <c r="M335" s="47" t="n"/>
    </row>
    <row r="336" ht="12.75" customHeight="1" s="205">
      <c r="B336" s="26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1" t="n"/>
      <c r="G336" s="262" t="n"/>
      <c r="H336" s="264" t="n"/>
      <c r="I336" s="265" t="n"/>
      <c r="J336" s="47" t="n"/>
      <c r="K336" s="47" t="n"/>
      <c r="L336" s="47" t="n"/>
      <c r="M336" s="47" t="n"/>
    </row>
    <row r="337" ht="12.75" customHeight="1" s="205">
      <c r="B337" s="26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1" t="n"/>
      <c r="G337" s="262" t="n"/>
      <c r="H337" s="264" t="n"/>
      <c r="I337" s="265" t="n"/>
      <c r="J337" s="47" t="n"/>
      <c r="K337" s="47" t="n"/>
      <c r="L337" s="47" t="n"/>
      <c r="M337" s="47" t="n"/>
    </row>
    <row r="338" ht="12.75" customHeight="1" s="205">
      <c r="B338" s="26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1" t="n"/>
      <c r="G338" s="262" t="n"/>
      <c r="H338" s="264" t="n"/>
      <c r="I338" s="265" t="n"/>
      <c r="J338" s="47" t="n"/>
      <c r="K338" s="47" t="n"/>
      <c r="L338" s="47" t="n"/>
      <c r="M338" s="47" t="n"/>
    </row>
    <row r="339" ht="12.75" customHeight="1" s="205">
      <c r="B339" s="26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1" t="n"/>
      <c r="G339" s="262" t="n"/>
      <c r="H339" s="264" t="n"/>
      <c r="I339" s="265" t="n"/>
      <c r="J339" s="47" t="n"/>
      <c r="K339" s="47" t="n"/>
      <c r="L339" s="47" t="n"/>
      <c r="M339" s="47" t="n"/>
    </row>
    <row r="340" ht="12.75" customHeight="1" s="205">
      <c r="B340" s="26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1" t="n"/>
      <c r="G340" s="262" t="n"/>
      <c r="H340" s="264" t="n"/>
      <c r="I340" s="265" t="n"/>
      <c r="J340" s="47" t="n"/>
      <c r="K340" s="47" t="n"/>
      <c r="L340" s="47" t="n"/>
      <c r="M340" s="47" t="n"/>
    </row>
    <row r="341" ht="12.75" customHeight="1" s="205">
      <c r="B341" s="26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1" t="n"/>
      <c r="G341" s="262" t="n"/>
      <c r="H341" s="264" t="n"/>
      <c r="I341" s="265" t="n"/>
      <c r="J341" s="47" t="n"/>
      <c r="K341" s="47" t="n"/>
      <c r="L341" s="47" t="n"/>
      <c r="M341" s="47" t="n"/>
    </row>
    <row r="342" ht="12.75" customHeight="1" s="205">
      <c r="B342" s="26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1" t="n"/>
      <c r="G342" s="262" t="n"/>
      <c r="H342" s="264" t="n"/>
      <c r="I342" s="265" t="n"/>
      <c r="J342" s="47" t="n"/>
      <c r="K342" s="47" t="n"/>
      <c r="L342" s="47" t="n"/>
      <c r="M342" s="47" t="n"/>
    </row>
    <row r="343" ht="12.75" customHeight="1" s="205">
      <c r="B343" s="26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1" t="n"/>
      <c r="G343" s="262" t="n"/>
      <c r="H343" s="264" t="n"/>
      <c r="I343" s="265" t="n"/>
      <c r="J343" s="47" t="n"/>
      <c r="K343" s="47" t="n"/>
      <c r="L343" s="47" t="n"/>
      <c r="M343" s="47" t="n"/>
    </row>
    <row r="344" ht="12.75" customHeight="1" s="205">
      <c r="B344" s="26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1" t="n"/>
      <c r="G344" s="262" t="n"/>
      <c r="H344" s="264" t="n"/>
      <c r="I344" s="265" t="n"/>
      <c r="J344" s="47" t="n"/>
      <c r="K344" s="47" t="n"/>
      <c r="L344" s="47" t="n"/>
      <c r="M344" s="47" t="n"/>
    </row>
    <row r="345" ht="12.75" customHeight="1" s="205">
      <c r="B345" s="26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1" t="n"/>
      <c r="G345" s="262" t="n"/>
      <c r="H345" s="264" t="n"/>
      <c r="I345" s="265" t="n"/>
      <c r="J345" s="47" t="n"/>
      <c r="K345" s="47" t="n"/>
      <c r="L345" s="47" t="n"/>
      <c r="M345" s="47" t="n"/>
    </row>
    <row r="346" ht="12.75" customHeight="1" s="205">
      <c r="B346" s="26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1" t="n"/>
      <c r="G346" s="262" t="n"/>
      <c r="H346" s="264" t="n"/>
      <c r="I346" s="265" t="n"/>
      <c r="J346" s="47" t="n"/>
      <c r="K346" s="47" t="n"/>
      <c r="L346" s="47" t="n"/>
      <c r="M346" s="47" t="n"/>
    </row>
    <row r="347" ht="12.75" customHeight="1" s="205">
      <c r="B347" s="26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1" t="n"/>
      <c r="G347" s="262" t="n"/>
      <c r="H347" s="264" t="n"/>
      <c r="I347" s="265" t="n"/>
      <c r="J347" s="47" t="n"/>
      <c r="K347" s="47" t="n"/>
      <c r="L347" s="47" t="n"/>
      <c r="M347" s="47" t="n"/>
    </row>
    <row r="348" ht="12.75" customHeight="1" s="205">
      <c r="B348" s="26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1" t="n"/>
      <c r="G348" s="262" t="n"/>
      <c r="H348" s="264" t="n"/>
      <c r="I348" s="265" t="n"/>
      <c r="J348" s="47" t="n"/>
      <c r="K348" s="47" t="n"/>
      <c r="L348" s="47" t="n"/>
      <c r="M348" s="47" t="n"/>
    </row>
    <row r="349" ht="12.75" customHeight="1" s="205">
      <c r="B349" s="26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1" t="n"/>
      <c r="G349" s="262" t="n"/>
      <c r="H349" s="264" t="n"/>
      <c r="I349" s="265" t="n"/>
      <c r="J349" s="47" t="n"/>
      <c r="K349" s="47" t="n"/>
      <c r="L349" s="47" t="n"/>
      <c r="M349" s="47" t="n"/>
    </row>
    <row r="350" ht="12.75" customHeight="1" s="205">
      <c r="B350" s="26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1" t="n"/>
      <c r="G350" s="262" t="n"/>
      <c r="H350" s="264" t="n"/>
      <c r="I350" s="265" t="n"/>
      <c r="J350" s="47" t="n"/>
      <c r="K350" s="47" t="n"/>
      <c r="L350" s="47" t="n"/>
      <c r="M350" s="47" t="n"/>
    </row>
    <row r="351" ht="12.75" customHeight="1" s="205">
      <c r="B351" s="26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1" t="n"/>
      <c r="G351" s="262" t="n"/>
      <c r="H351" s="264" t="n"/>
      <c r="I351" s="265" t="n"/>
      <c r="J351" s="47" t="n"/>
      <c r="K351" s="47" t="n"/>
      <c r="L351" s="47" t="n"/>
      <c r="M351" s="47" t="n"/>
    </row>
    <row r="352" ht="12.75" customHeight="1" s="205">
      <c r="B352" s="26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1" t="n"/>
      <c r="G352" s="262" t="n"/>
      <c r="H352" s="264" t="n"/>
      <c r="I352" s="265" t="n"/>
      <c r="J352" s="47" t="n"/>
      <c r="K352" s="47" t="n"/>
      <c r="L352" s="47" t="n"/>
      <c r="M352" s="47" t="n"/>
    </row>
    <row r="353" ht="12.75" customHeight="1" s="205">
      <c r="B353" s="26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1" t="n"/>
      <c r="G353" s="262" t="n"/>
      <c r="H353" s="264" t="n"/>
      <c r="I353" s="265" t="n"/>
      <c r="J353" s="47" t="n"/>
      <c r="K353" s="47" t="n"/>
      <c r="L353" s="47" t="n"/>
      <c r="M353" s="47" t="n"/>
    </row>
    <row r="354" ht="12.75" customHeight="1" s="205">
      <c r="B354" s="26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1" t="n"/>
      <c r="G354" s="262" t="n"/>
      <c r="H354" s="264" t="n"/>
      <c r="I354" s="265" t="n"/>
      <c r="J354" s="47" t="n"/>
      <c r="K354" s="47" t="n"/>
      <c r="L354" s="47" t="n"/>
      <c r="M354" s="47" t="n"/>
    </row>
    <row r="355" ht="12.75" customHeight="1" s="205">
      <c r="B355" s="26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1" t="n"/>
      <c r="G355" s="262" t="n"/>
      <c r="H355" s="264" t="n"/>
      <c r="I355" s="265" t="n"/>
      <c r="J355" s="47" t="n"/>
      <c r="K355" s="47" t="n"/>
      <c r="L355" s="47" t="n"/>
      <c r="M355" s="47" t="n"/>
    </row>
    <row r="356" ht="12.75" customHeight="1" s="205">
      <c r="B356" s="26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1" t="n"/>
      <c r="G356" s="262" t="n"/>
      <c r="H356" s="264" t="n"/>
      <c r="I356" s="265" t="n"/>
      <c r="J356" s="47" t="n"/>
      <c r="K356" s="47" t="n"/>
      <c r="L356" s="47" t="n"/>
      <c r="M356" s="47" t="n"/>
    </row>
    <row r="357" ht="12.75" customHeight="1" s="205">
      <c r="B357" s="26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1" t="n"/>
      <c r="G357" s="262" t="n"/>
      <c r="H357" s="264" t="n"/>
      <c r="I357" s="265" t="n"/>
      <c r="J357" s="47" t="n"/>
      <c r="K357" s="47" t="n"/>
      <c r="L357" s="47" t="n"/>
      <c r="M357" s="47" t="n"/>
    </row>
    <row r="358" ht="12.75" customHeight="1" s="205">
      <c r="B358" s="26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1" t="n"/>
      <c r="G358" s="262" t="n"/>
      <c r="H358" s="264" t="n"/>
      <c r="I358" s="265" t="n"/>
      <c r="J358" s="47" t="n"/>
      <c r="K358" s="47" t="n"/>
      <c r="L358" s="47" t="n"/>
      <c r="M358" s="47" t="n"/>
    </row>
    <row r="359" ht="12.75" customHeight="1" s="205">
      <c r="B359" s="26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1" t="n"/>
      <c r="G359" s="262" t="n"/>
      <c r="H359" s="264" t="n"/>
      <c r="I359" s="265" t="n"/>
      <c r="J359" s="47" t="n"/>
      <c r="K359" s="47" t="n"/>
      <c r="L359" s="47" t="n"/>
      <c r="M359" s="47" t="n"/>
    </row>
    <row r="360" ht="12.75" customHeight="1" s="205">
      <c r="B360" s="26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1" t="n"/>
      <c r="G360" s="262" t="n"/>
      <c r="H360" s="264" t="n"/>
      <c r="I360" s="265" t="n"/>
      <c r="J360" s="47" t="n"/>
      <c r="K360" s="47" t="n"/>
      <c r="L360" s="47" t="n"/>
      <c r="M360" s="47" t="n"/>
    </row>
    <row r="361" ht="12.75" customHeight="1" s="205">
      <c r="B361" s="26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1" t="n"/>
      <c r="G361" s="262" t="n"/>
      <c r="H361" s="264" t="n"/>
      <c r="I361" s="265" t="n"/>
      <c r="J361" s="47" t="n"/>
      <c r="K361" s="47" t="n"/>
      <c r="L361" s="47" t="n"/>
      <c r="M361" s="47" t="n"/>
    </row>
    <row r="362" ht="12.75" customHeight="1" s="205">
      <c r="B362" s="26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1" t="n"/>
      <c r="G362" s="262" t="n"/>
      <c r="H362" s="264" t="n"/>
      <c r="I362" s="265" t="n"/>
      <c r="J362" s="47" t="n"/>
      <c r="K362" s="47" t="n"/>
      <c r="L362" s="47" t="n"/>
      <c r="M362" s="47" t="n"/>
    </row>
    <row r="363" ht="12.75" customHeight="1" s="205">
      <c r="B363" s="26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1" t="n"/>
      <c r="G363" s="262" t="n"/>
      <c r="H363" s="264" t="n"/>
      <c r="I363" s="265" t="n"/>
      <c r="J363" s="47" t="n"/>
      <c r="K363" s="47" t="n"/>
      <c r="L363" s="47" t="n"/>
      <c r="M363" s="47" t="n"/>
    </row>
    <row r="364" ht="12.75" customHeight="1" s="205">
      <c r="B364" s="26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1" t="n"/>
      <c r="G364" s="262" t="n"/>
      <c r="H364" s="264" t="n"/>
      <c r="I364" s="265" t="n"/>
      <c r="J364" s="47" t="n"/>
      <c r="K364" s="47" t="n"/>
      <c r="L364" s="47" t="n"/>
      <c r="M364" s="47" t="n"/>
    </row>
    <row r="365" ht="12.75" customHeight="1" s="205">
      <c r="B365" s="26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1" t="n"/>
      <c r="G365" s="262" t="n"/>
      <c r="H365" s="264" t="n"/>
      <c r="I365" s="265" t="n"/>
      <c r="J365" s="47" t="n"/>
      <c r="K365" s="47" t="n"/>
      <c r="L365" s="47" t="n"/>
      <c r="M365" s="47" t="n"/>
    </row>
    <row r="366" ht="12.75" customHeight="1" s="205">
      <c r="B366" s="26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1" t="n"/>
      <c r="G366" s="262" t="n"/>
      <c r="H366" s="264" t="n"/>
      <c r="I366" s="265" t="n"/>
      <c r="J366" s="47" t="n"/>
      <c r="K366" s="47" t="n"/>
      <c r="L366" s="47" t="n"/>
      <c r="M366" s="47" t="n"/>
    </row>
    <row r="367" ht="12.75" customHeight="1" s="205">
      <c r="B367" s="26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1" t="n"/>
      <c r="G367" s="262" t="n"/>
      <c r="H367" s="264" t="n"/>
      <c r="I367" s="265" t="n"/>
      <c r="J367" s="47" t="n"/>
      <c r="K367" s="47" t="n"/>
      <c r="L367" s="47" t="n"/>
      <c r="M367" s="47" t="n"/>
    </row>
    <row r="368" ht="12.75" customHeight="1" s="205">
      <c r="B368" s="26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1" t="n"/>
      <c r="G368" s="262" t="n"/>
      <c r="H368" s="264" t="n"/>
      <c r="I368" s="265" t="n"/>
      <c r="J368" s="47" t="n"/>
      <c r="K368" s="47" t="n"/>
      <c r="L368" s="47" t="n"/>
      <c r="M368" s="47" t="n"/>
    </row>
    <row r="369" ht="12.75" customHeight="1" s="205">
      <c r="B369" s="26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1" t="n"/>
      <c r="G369" s="262" t="n"/>
      <c r="H369" s="264" t="n"/>
      <c r="I369" s="265" t="n"/>
      <c r="J369" s="47" t="n"/>
      <c r="K369" s="47" t="n"/>
      <c r="L369" s="47" t="n"/>
      <c r="M369" s="47" t="n"/>
    </row>
    <row r="370" ht="12.75" customHeight="1" s="205">
      <c r="B370" s="26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1" t="n"/>
      <c r="G370" s="262" t="n"/>
      <c r="H370" s="264" t="n"/>
      <c r="I370" s="265" t="n"/>
      <c r="J370" s="47" t="n"/>
      <c r="K370" s="47" t="n"/>
      <c r="L370" s="47" t="n"/>
      <c r="M370" s="47" t="n"/>
    </row>
    <row r="371" ht="12.75" customHeight="1" s="205">
      <c r="B371" s="26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1" t="n"/>
      <c r="G371" s="262" t="n"/>
      <c r="H371" s="264" t="n"/>
      <c r="I371" s="265" t="n"/>
      <c r="J371" s="47" t="n"/>
      <c r="K371" s="47" t="n"/>
      <c r="L371" s="47" t="n"/>
      <c r="M371" s="47" t="n"/>
    </row>
    <row r="372" ht="12.75" customHeight="1" s="205">
      <c r="B372" s="26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1" t="n"/>
      <c r="G372" s="262" t="n"/>
      <c r="H372" s="264" t="n"/>
      <c r="I372" s="265" t="n"/>
      <c r="J372" s="47" t="n"/>
      <c r="K372" s="47" t="n"/>
      <c r="L372" s="47" t="n"/>
      <c r="M372" s="47" t="n"/>
    </row>
    <row r="373" ht="12.75" customHeight="1" s="205">
      <c r="B373" s="26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1" t="n"/>
      <c r="G373" s="262" t="n"/>
      <c r="H373" s="264" t="n"/>
      <c r="I373" s="265" t="n"/>
      <c r="J373" s="47" t="n"/>
      <c r="K373" s="47" t="n"/>
      <c r="L373" s="47" t="n"/>
      <c r="M373" s="47" t="n"/>
    </row>
    <row r="374" ht="12.75" customHeight="1" s="205">
      <c r="B374" s="26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1" t="n"/>
      <c r="G374" s="262" t="n"/>
      <c r="H374" s="264" t="n"/>
      <c r="I374" s="265" t="n"/>
      <c r="J374" s="47" t="n"/>
      <c r="K374" s="47" t="n"/>
      <c r="L374" s="47" t="n"/>
      <c r="M374" s="47" t="n"/>
    </row>
    <row r="375" ht="12.75" customHeight="1" s="205">
      <c r="B375" s="26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1" t="n"/>
      <c r="G375" s="262" t="n"/>
      <c r="H375" s="264" t="n"/>
      <c r="I375" s="265" t="n"/>
      <c r="J375" s="47" t="n"/>
      <c r="K375" s="47" t="n"/>
      <c r="L375" s="47" t="n"/>
      <c r="M375" s="47" t="n"/>
    </row>
    <row r="376" ht="12.75" customHeight="1" s="205">
      <c r="B376" s="26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1" t="n"/>
      <c r="G376" s="262" t="n"/>
      <c r="H376" s="264" t="n"/>
      <c r="I376" s="265" t="n"/>
      <c r="J376" s="47" t="n"/>
      <c r="K376" s="47" t="n"/>
      <c r="L376" s="47" t="n"/>
      <c r="M376" s="47" t="n"/>
    </row>
    <row r="377" ht="12.75" customHeight="1" s="205">
      <c r="B377" s="26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1" t="n"/>
      <c r="G377" s="262" t="n"/>
      <c r="H377" s="264" t="n"/>
      <c r="I377" s="265" t="n"/>
      <c r="J377" s="47" t="n"/>
      <c r="K377" s="47" t="n"/>
      <c r="L377" s="47" t="n"/>
      <c r="M377" s="47" t="n"/>
    </row>
    <row r="378" ht="12.75" customHeight="1" s="205">
      <c r="B378" s="26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1" t="n"/>
      <c r="G378" s="262" t="n"/>
      <c r="H378" s="264" t="n"/>
      <c r="I378" s="265" t="n"/>
      <c r="J378" s="47" t="n"/>
      <c r="K378" s="47" t="n"/>
      <c r="L378" s="47" t="n"/>
      <c r="M378" s="47" t="n"/>
    </row>
    <row r="379" ht="12.75" customHeight="1" s="205">
      <c r="B379" s="26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1" t="n"/>
      <c r="G379" s="262" t="n"/>
      <c r="H379" s="264" t="n"/>
      <c r="I379" s="265" t="n"/>
      <c r="J379" s="47" t="n"/>
      <c r="K379" s="47" t="n"/>
      <c r="L379" s="47" t="n"/>
      <c r="M379" s="47" t="n"/>
    </row>
    <row r="380" ht="12.75" customHeight="1" s="205">
      <c r="B380" s="26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1" t="n"/>
      <c r="G380" s="262" t="n"/>
      <c r="H380" s="264" t="n"/>
      <c r="I380" s="265" t="n"/>
      <c r="J380" s="47" t="n"/>
      <c r="K380" s="47" t="n"/>
      <c r="L380" s="47" t="n"/>
      <c r="M380" s="47" t="n"/>
    </row>
    <row r="381" ht="12.75" customHeight="1" s="205">
      <c r="B381" s="26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1" t="n"/>
      <c r="G381" s="262" t="n"/>
      <c r="H381" s="264" t="n"/>
      <c r="I381" s="265" t="n"/>
      <c r="J381" s="47" t="n"/>
      <c r="K381" s="47" t="n"/>
      <c r="L381" s="47" t="n"/>
      <c r="M381" s="47" t="n"/>
    </row>
    <row r="382" ht="12.75" customHeight="1" s="205">
      <c r="B382" s="26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1" t="n"/>
      <c r="G382" s="262" t="n"/>
      <c r="H382" s="264" t="n"/>
      <c r="I382" s="265" t="n"/>
      <c r="J382" s="47" t="n"/>
      <c r="K382" s="47" t="n"/>
      <c r="L382" s="47" t="n"/>
      <c r="M382" s="47" t="n"/>
    </row>
    <row r="383" ht="12.75" customHeight="1" s="205">
      <c r="B383" s="26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1" t="n"/>
      <c r="G383" s="262" t="n"/>
      <c r="H383" s="264" t="n"/>
      <c r="I383" s="265" t="n"/>
      <c r="J383" s="47" t="n"/>
      <c r="K383" s="47" t="n"/>
      <c r="L383" s="47" t="n"/>
      <c r="M383" s="47" t="n"/>
    </row>
    <row r="384" ht="12.75" customHeight="1" s="205">
      <c r="B384" s="26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1" t="n"/>
      <c r="G384" s="262" t="n"/>
      <c r="H384" s="264" t="n"/>
      <c r="I384" s="265" t="n"/>
      <c r="J384" s="47" t="n"/>
      <c r="K384" s="47" t="n"/>
      <c r="L384" s="47" t="n"/>
      <c r="M384" s="47" t="n"/>
    </row>
    <row r="385" ht="12.75" customHeight="1" s="205">
      <c r="B385" s="26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1" t="n"/>
      <c r="G385" s="262" t="n"/>
      <c r="H385" s="264" t="n"/>
      <c r="I385" s="265" t="n"/>
      <c r="J385" s="47" t="n"/>
      <c r="K385" s="47" t="n"/>
      <c r="L385" s="47" t="n"/>
      <c r="M385" s="47" t="n"/>
    </row>
    <row r="386" ht="12.75" customHeight="1" s="205">
      <c r="B386" s="26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1" t="n"/>
      <c r="G386" s="262" t="n"/>
      <c r="H386" s="264" t="n"/>
      <c r="I386" s="265" t="n"/>
      <c r="J386" s="47" t="n"/>
      <c r="K386" s="47" t="n"/>
      <c r="L386" s="47" t="n"/>
      <c r="M386" s="47" t="n"/>
    </row>
    <row r="387" ht="12.75" customHeight="1" s="205">
      <c r="B387" s="26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1" t="n"/>
      <c r="G387" s="262" t="n"/>
      <c r="H387" s="264" t="n"/>
      <c r="I387" s="265" t="n"/>
      <c r="J387" s="47" t="n"/>
      <c r="K387" s="47" t="n"/>
      <c r="L387" s="47" t="n"/>
      <c r="M387" s="47" t="n"/>
    </row>
    <row r="388" ht="12.75" customHeight="1" s="205">
      <c r="B388" s="26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1" t="n"/>
      <c r="G388" s="262" t="n"/>
      <c r="H388" s="264" t="n"/>
      <c r="I388" s="265" t="n"/>
      <c r="J388" s="47" t="n"/>
      <c r="K388" s="47" t="n"/>
      <c r="L388" s="47" t="n"/>
      <c r="M388" s="47" t="n"/>
    </row>
    <row r="389" ht="12.75" customHeight="1" s="205">
      <c r="B389" s="26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1" t="n"/>
      <c r="G389" s="262" t="n"/>
      <c r="H389" s="264" t="n"/>
      <c r="I389" s="265" t="n"/>
      <c r="J389" s="47" t="n"/>
      <c r="K389" s="47" t="n"/>
      <c r="L389" s="47" t="n"/>
      <c r="M389" s="47" t="n"/>
    </row>
    <row r="390" ht="12.75" customHeight="1" s="205">
      <c r="B390" s="26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1" t="n"/>
      <c r="G390" s="262" t="n"/>
      <c r="H390" s="264" t="n"/>
      <c r="I390" s="265" t="n"/>
      <c r="J390" s="47" t="n"/>
      <c r="K390" s="47" t="n"/>
      <c r="L390" s="47" t="n"/>
      <c r="M390" s="47" t="n"/>
    </row>
    <row r="391" ht="12.75" customHeight="1" s="205">
      <c r="B391" s="26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1" t="n"/>
      <c r="G391" s="262" t="n"/>
      <c r="H391" s="264" t="n"/>
      <c r="I391" s="265" t="n"/>
      <c r="J391" s="47" t="n"/>
      <c r="K391" s="47" t="n"/>
      <c r="L391" s="47" t="n"/>
      <c r="M391" s="47" t="n"/>
    </row>
    <row r="392" ht="12.75" customHeight="1" s="205">
      <c r="B392" s="26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1" t="n"/>
      <c r="G392" s="262" t="n"/>
      <c r="H392" s="264" t="n"/>
      <c r="I392" s="265" t="n"/>
      <c r="J392" s="47" t="n"/>
      <c r="K392" s="47" t="n"/>
      <c r="L392" s="47" t="n"/>
      <c r="M392" s="47" t="n"/>
    </row>
    <row r="393" ht="12.75" customHeight="1" s="205">
      <c r="B393" s="26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1" t="n"/>
      <c r="G393" s="262" t="n"/>
      <c r="H393" s="264" t="n"/>
      <c r="I393" s="265" t="n"/>
      <c r="J393" s="47" t="n"/>
      <c r="K393" s="47" t="n"/>
      <c r="L393" s="47" t="n"/>
      <c r="M393" s="47" t="n"/>
    </row>
    <row r="394" ht="12.75" customHeight="1" s="205">
      <c r="B394" s="26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1" t="n"/>
      <c r="G394" s="262" t="n"/>
      <c r="H394" s="264" t="n"/>
      <c r="I394" s="265" t="n"/>
      <c r="J394" s="47" t="n"/>
      <c r="K394" s="47" t="n"/>
      <c r="L394" s="47" t="n"/>
      <c r="M394" s="47" t="n"/>
    </row>
    <row r="395" ht="12.75" customHeight="1" s="205">
      <c r="B395" s="26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1" t="n"/>
      <c r="G395" s="262" t="n"/>
      <c r="H395" s="264" t="n"/>
      <c r="I395" s="265" t="n"/>
      <c r="J395" s="47" t="n"/>
      <c r="K395" s="47" t="n"/>
      <c r="L395" s="47" t="n"/>
      <c r="M395" s="47" t="n"/>
    </row>
    <row r="396" ht="12.75" customHeight="1" s="205">
      <c r="B396" s="26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1" t="n"/>
      <c r="G396" s="262" t="n"/>
      <c r="H396" s="264" t="n"/>
      <c r="I396" s="265" t="n"/>
      <c r="J396" s="47" t="n"/>
      <c r="K396" s="47" t="n"/>
      <c r="L396" s="47" t="n"/>
      <c r="M396" s="47" t="n"/>
    </row>
    <row r="397" ht="12.75" customHeight="1" s="205">
      <c r="B397" s="26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1" t="n"/>
      <c r="G397" s="262" t="n"/>
      <c r="H397" s="264" t="n"/>
      <c r="I397" s="265" t="n"/>
      <c r="J397" s="47" t="n"/>
      <c r="K397" s="47" t="n"/>
      <c r="L397" s="47" t="n"/>
      <c r="M397" s="47" t="n"/>
    </row>
    <row r="398" ht="12.75" customHeight="1" s="205">
      <c r="B398" s="26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1" t="n"/>
      <c r="G398" s="262" t="n"/>
      <c r="H398" s="264" t="n"/>
      <c r="I398" s="265" t="n"/>
      <c r="J398" s="47" t="n"/>
      <c r="K398" s="47" t="n"/>
      <c r="L398" s="47" t="n"/>
      <c r="M398" s="47" t="n"/>
    </row>
    <row r="399" ht="12.75" customHeight="1" s="205">
      <c r="B399" s="26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1" t="n"/>
      <c r="G399" s="262" t="n"/>
      <c r="H399" s="264" t="n"/>
      <c r="I399" s="265" t="n"/>
      <c r="J399" s="47" t="n"/>
      <c r="K399" s="47" t="n"/>
      <c r="L399" s="47" t="n"/>
      <c r="M399" s="47" t="n"/>
    </row>
    <row r="400" ht="12.75" customHeight="1" s="205">
      <c r="B400" s="26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1" t="n"/>
      <c r="G400" s="262" t="n"/>
      <c r="H400" s="264" t="n"/>
      <c r="I400" s="265" t="n"/>
      <c r="J400" s="47" t="n"/>
      <c r="K400" s="47" t="n"/>
      <c r="L400" s="47" t="n"/>
      <c r="M400" s="47" t="n"/>
    </row>
    <row r="401" ht="12.75" customHeight="1" s="205">
      <c r="B401" s="26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1" t="n"/>
      <c r="G401" s="262" t="n"/>
      <c r="H401" s="264" t="n"/>
      <c r="I401" s="265" t="n"/>
      <c r="J401" s="47" t="n"/>
      <c r="K401" s="47" t="n"/>
      <c r="L401" s="47" t="n"/>
      <c r="M401" s="47" t="n"/>
    </row>
    <row r="402" ht="12.75" customHeight="1" s="205">
      <c r="B402" s="26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1" t="n"/>
      <c r="G402" s="262" t="n"/>
      <c r="H402" s="264" t="n"/>
      <c r="I402" s="265" t="n"/>
      <c r="J402" s="47" t="n"/>
      <c r="K402" s="47" t="n"/>
      <c r="L402" s="47" t="n"/>
      <c r="M402" s="47" t="n"/>
    </row>
    <row r="403" ht="12.75" customHeight="1" s="205">
      <c r="B403" s="26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1" t="n"/>
      <c r="G403" s="262" t="n"/>
      <c r="H403" s="264" t="n"/>
      <c r="I403" s="265" t="n"/>
      <c r="J403" s="47" t="n"/>
      <c r="K403" s="47" t="n"/>
      <c r="L403" s="47" t="n"/>
      <c r="M403" s="47" t="n"/>
    </row>
    <row r="404" ht="12.75" customHeight="1" s="205">
      <c r="B404" s="26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1" t="n"/>
      <c r="G404" s="262" t="n"/>
      <c r="H404" s="264" t="n"/>
      <c r="I404" s="265" t="n"/>
      <c r="J404" s="47" t="n"/>
      <c r="K404" s="47" t="n"/>
      <c r="L404" s="47" t="n"/>
      <c r="M404" s="47" t="n"/>
    </row>
    <row r="405" ht="12.75" customHeight="1" s="205">
      <c r="B405" s="26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1" t="n"/>
      <c r="G405" s="262" t="n"/>
      <c r="H405" s="264" t="n"/>
      <c r="I405" s="265" t="n"/>
      <c r="J405" s="47" t="n"/>
      <c r="K405" s="47" t="n"/>
      <c r="L405" s="47" t="n"/>
      <c r="M405" s="47" t="n"/>
    </row>
    <row r="406" ht="12.75" customHeight="1" s="205">
      <c r="B406" s="26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1" t="n"/>
      <c r="G406" s="262" t="n"/>
      <c r="H406" s="264" t="n"/>
      <c r="I406" s="265" t="n"/>
      <c r="J406" s="47" t="n"/>
      <c r="K406" s="47" t="n"/>
      <c r="L406" s="47" t="n"/>
      <c r="M406" s="47" t="n"/>
    </row>
    <row r="407" ht="12.75" customHeight="1" s="205">
      <c r="B407" s="26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1" t="n"/>
      <c r="G407" s="262" t="n"/>
      <c r="H407" s="264" t="n"/>
      <c r="I407" s="265" t="n"/>
      <c r="J407" s="47" t="n"/>
      <c r="K407" s="47" t="n"/>
      <c r="L407" s="47" t="n"/>
      <c r="M407" s="47" t="n"/>
    </row>
    <row r="408" ht="12.75" customHeight="1" s="205">
      <c r="B408" s="26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1" t="n"/>
      <c r="G408" s="262" t="n"/>
      <c r="H408" s="264" t="n"/>
      <c r="I408" s="265" t="n"/>
      <c r="J408" s="47" t="n"/>
      <c r="K408" s="47" t="n"/>
      <c r="L408" s="47" t="n"/>
      <c r="M408" s="47" t="n"/>
    </row>
    <row r="409" ht="12.75" customHeight="1" s="205">
      <c r="B409" s="26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1" t="n"/>
      <c r="G409" s="262" t="n"/>
      <c r="H409" s="264" t="n"/>
      <c r="I409" s="265" t="n"/>
      <c r="J409" s="47" t="n"/>
      <c r="K409" s="47" t="n"/>
      <c r="L409" s="47" t="n"/>
      <c r="M409" s="47" t="n"/>
    </row>
    <row r="410" ht="12.75" customHeight="1" s="205">
      <c r="B410" s="26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1" t="n"/>
      <c r="G410" s="262" t="n"/>
      <c r="H410" s="264" t="n"/>
      <c r="I410" s="265" t="n"/>
      <c r="J410" s="47" t="n"/>
      <c r="K410" s="47" t="n"/>
      <c r="L410" s="47" t="n"/>
      <c r="M410" s="47" t="n"/>
    </row>
    <row r="411" ht="12.75" customHeight="1" s="205">
      <c r="B411" s="26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1" t="n"/>
      <c r="G411" s="262" t="n"/>
      <c r="H411" s="264" t="n"/>
      <c r="I411" s="265" t="n"/>
      <c r="J411" s="47" t="n"/>
      <c r="K411" s="47" t="n"/>
      <c r="L411" s="47" t="n"/>
      <c r="M411" s="47" t="n"/>
    </row>
    <row r="412" ht="12.75" customHeight="1" s="205">
      <c r="B412" s="26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1" t="n"/>
      <c r="G412" s="262" t="n"/>
      <c r="H412" s="264" t="n"/>
      <c r="I412" s="265" t="n"/>
      <c r="J412" s="47" t="n"/>
      <c r="K412" s="47" t="n"/>
      <c r="L412" s="47" t="n"/>
      <c r="M412" s="47" t="n"/>
    </row>
    <row r="413" ht="12.75" customHeight="1" s="205">
      <c r="B413" s="26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1" t="n"/>
      <c r="G413" s="262" t="n"/>
      <c r="H413" s="264" t="n"/>
      <c r="I413" s="265" t="n"/>
      <c r="J413" s="47" t="n"/>
      <c r="K413" s="47" t="n"/>
      <c r="L413" s="47" t="n"/>
      <c r="M413" s="47" t="n"/>
    </row>
    <row r="414" ht="12.75" customHeight="1" s="205">
      <c r="B414" s="26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1" t="n"/>
      <c r="G414" s="262" t="n"/>
      <c r="H414" s="264" t="n"/>
      <c r="I414" s="265" t="n"/>
      <c r="J414" s="47" t="n"/>
      <c r="K414" s="47" t="n"/>
      <c r="L414" s="47" t="n"/>
      <c r="M414" s="47" t="n"/>
    </row>
    <row r="415" ht="12.75" customHeight="1" s="205">
      <c r="B415" s="26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1" t="n"/>
      <c r="G415" s="262" t="n"/>
      <c r="H415" s="264" t="n"/>
      <c r="I415" s="265" t="n"/>
      <c r="J415" s="47" t="n"/>
      <c r="K415" s="47" t="n"/>
      <c r="L415" s="47" t="n"/>
      <c r="M415" s="47" t="n"/>
    </row>
    <row r="416" ht="12.75" customHeight="1" s="205">
      <c r="B416" s="26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1" t="n"/>
      <c r="G416" s="262" t="n"/>
      <c r="H416" s="264" t="n"/>
      <c r="I416" s="265" t="n"/>
      <c r="J416" s="47" t="n"/>
      <c r="K416" s="47" t="n"/>
      <c r="L416" s="47" t="n"/>
      <c r="M416" s="47" t="n"/>
    </row>
    <row r="417" ht="12.75" customHeight="1" s="205">
      <c r="B417" s="26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1" t="n"/>
      <c r="G417" s="262" t="n"/>
      <c r="H417" s="264" t="n"/>
      <c r="I417" s="265" t="n"/>
      <c r="J417" s="47" t="n"/>
      <c r="K417" s="47" t="n"/>
      <c r="L417" s="47" t="n"/>
      <c r="M417" s="47" t="n"/>
    </row>
    <row r="418" ht="12.75" customHeight="1" s="205">
      <c r="B418" s="26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1" t="n"/>
      <c r="G418" s="262" t="n"/>
      <c r="H418" s="264" t="n"/>
      <c r="I418" s="265" t="n"/>
      <c r="J418" s="47" t="n"/>
      <c r="K418" s="47" t="n"/>
      <c r="L418" s="47" t="n"/>
      <c r="M418" s="47" t="n"/>
    </row>
    <row r="419" ht="12.75" customHeight="1" s="205">
      <c r="B419" s="26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1" t="n"/>
      <c r="G419" s="262" t="n"/>
      <c r="H419" s="264" t="n"/>
      <c r="I419" s="265" t="n"/>
      <c r="J419" s="47" t="n"/>
      <c r="K419" s="47" t="n"/>
      <c r="L419" s="47" t="n"/>
      <c r="M419" s="47" t="n"/>
    </row>
    <row r="420" ht="12.75" customHeight="1" s="205">
      <c r="B420" s="26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1" t="n"/>
      <c r="G420" s="262" t="n"/>
      <c r="H420" s="264" t="n"/>
      <c r="I420" s="265" t="n"/>
      <c r="J420" s="47" t="n"/>
      <c r="K420" s="47" t="n"/>
      <c r="L420" s="47" t="n"/>
      <c r="M420" s="47" t="n"/>
    </row>
    <row r="421" ht="12.75" customHeight="1" s="205">
      <c r="B421" s="26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1" t="n"/>
      <c r="G421" s="262" t="n"/>
      <c r="H421" s="264" t="n"/>
      <c r="I421" s="265" t="n"/>
      <c r="J421" s="47" t="n"/>
      <c r="K421" s="47" t="n"/>
      <c r="L421" s="47" t="n"/>
      <c r="M421" s="47" t="n"/>
    </row>
    <row r="422" ht="12.75" customHeight="1" s="205">
      <c r="B422" s="26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1" t="n"/>
      <c r="G422" s="262" t="n"/>
      <c r="H422" s="264" t="n"/>
      <c r="I422" s="265" t="n"/>
      <c r="J422" s="47" t="n"/>
      <c r="K422" s="47" t="n"/>
      <c r="L422" s="47" t="n"/>
      <c r="M422" s="47" t="n"/>
    </row>
    <row r="423" ht="12.75" customHeight="1" s="205">
      <c r="B423" s="26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1" t="n"/>
      <c r="G423" s="262" t="n"/>
      <c r="H423" s="264" t="n"/>
      <c r="I423" s="265" t="n"/>
      <c r="J423" s="47" t="n"/>
      <c r="K423" s="47" t="n"/>
      <c r="L423" s="47" t="n"/>
      <c r="M423" s="47" t="n"/>
    </row>
    <row r="424" ht="12.75" customHeight="1" s="205">
      <c r="B424" s="26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1" t="n"/>
      <c r="G424" s="262" t="n"/>
      <c r="H424" s="264" t="n"/>
      <c r="I424" s="265" t="n"/>
      <c r="J424" s="47" t="n"/>
      <c r="K424" s="47" t="n"/>
      <c r="L424" s="47" t="n"/>
      <c r="M424" s="47" t="n"/>
    </row>
    <row r="425" ht="12.75" customHeight="1" s="205">
      <c r="B425" s="26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1" t="n"/>
      <c r="G425" s="262" t="n"/>
      <c r="H425" s="264" t="n"/>
      <c r="I425" s="265" t="n"/>
      <c r="J425" s="47" t="n"/>
      <c r="K425" s="47" t="n"/>
      <c r="L425" s="47" t="n"/>
      <c r="M425" s="47" t="n"/>
    </row>
    <row r="426" ht="12.75" customHeight="1" s="205">
      <c r="B426" s="26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1" t="n"/>
      <c r="G426" s="262" t="n"/>
      <c r="H426" s="264" t="n"/>
      <c r="I426" s="265" t="n"/>
      <c r="J426" s="47" t="n"/>
      <c r="K426" s="47" t="n"/>
      <c r="L426" s="47" t="n"/>
      <c r="M426" s="47" t="n"/>
    </row>
    <row r="427" ht="12.75" customHeight="1" s="205">
      <c r="B427" s="26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1" t="n"/>
      <c r="G427" s="262" t="n"/>
      <c r="H427" s="264" t="n"/>
      <c r="I427" s="265" t="n"/>
      <c r="J427" s="47" t="n"/>
      <c r="K427" s="47" t="n"/>
      <c r="L427" s="47" t="n"/>
      <c r="M427" s="47" t="n"/>
    </row>
    <row r="428" ht="12.75" customHeight="1" s="205">
      <c r="B428" s="26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1" t="n"/>
      <c r="G428" s="262" t="n"/>
      <c r="H428" s="264" t="n"/>
      <c r="I428" s="265" t="n"/>
      <c r="J428" s="47" t="n"/>
      <c r="K428" s="47" t="n"/>
      <c r="L428" s="47" t="n"/>
      <c r="M428" s="47" t="n"/>
    </row>
    <row r="429" ht="12.75" customHeight="1" s="205">
      <c r="B429" s="26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1" t="n"/>
      <c r="G429" s="262" t="n"/>
      <c r="H429" s="264" t="n"/>
      <c r="I429" s="265" t="n"/>
      <c r="J429" s="47" t="n"/>
      <c r="K429" s="47" t="n"/>
      <c r="L429" s="47" t="n"/>
      <c r="M429" s="47" t="n"/>
    </row>
    <row r="430" ht="12.75" customHeight="1" s="205">
      <c r="B430" s="26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1" t="n"/>
      <c r="G430" s="262" t="n"/>
      <c r="H430" s="264" t="n"/>
      <c r="I430" s="265" t="n"/>
      <c r="J430" s="47" t="n"/>
      <c r="K430" s="47" t="n"/>
      <c r="L430" s="47" t="n"/>
      <c r="M430" s="47" t="n"/>
    </row>
    <row r="431" ht="12.75" customHeight="1" s="205">
      <c r="B431" s="26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1" t="n"/>
      <c r="G431" s="262" t="n"/>
      <c r="H431" s="264" t="n"/>
      <c r="I431" s="265" t="n"/>
      <c r="J431" s="47" t="n"/>
      <c r="K431" s="47" t="n"/>
      <c r="L431" s="47" t="n"/>
      <c r="M431" s="47" t="n"/>
    </row>
    <row r="432" ht="12.75" customHeight="1" s="205">
      <c r="B432" s="26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1" t="n"/>
      <c r="G432" s="262" t="n"/>
      <c r="H432" s="264" t="n"/>
      <c r="I432" s="265" t="n"/>
      <c r="J432" s="47" t="n"/>
      <c r="K432" s="47" t="n"/>
      <c r="L432" s="47" t="n"/>
      <c r="M432" s="47" t="n"/>
    </row>
    <row r="433" ht="12.75" customHeight="1" s="205">
      <c r="B433" s="26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1" t="n"/>
      <c r="G433" s="262" t="n"/>
      <c r="H433" s="264" t="n"/>
      <c r="I433" s="265" t="n"/>
      <c r="J433" s="47" t="n"/>
      <c r="K433" s="47" t="n"/>
      <c r="L433" s="47" t="n"/>
      <c r="M433" s="47" t="n"/>
    </row>
    <row r="434" ht="12.75" customHeight="1" s="205">
      <c r="B434" s="26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1" t="n"/>
      <c r="G434" s="262" t="n"/>
      <c r="H434" s="264" t="n"/>
      <c r="I434" s="265" t="n"/>
      <c r="J434" s="47" t="n"/>
      <c r="K434" s="47" t="n"/>
      <c r="L434" s="47" t="n"/>
      <c r="M434" s="47" t="n"/>
    </row>
    <row r="435" ht="12.75" customHeight="1" s="205">
      <c r="B435" s="26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1" t="n"/>
      <c r="G435" s="262" t="n"/>
      <c r="H435" s="264" t="n"/>
      <c r="I435" s="265" t="n"/>
      <c r="J435" s="47" t="n"/>
      <c r="K435" s="47" t="n"/>
      <c r="L435" s="47" t="n"/>
      <c r="M435" s="47" t="n"/>
    </row>
    <row r="436" ht="12.75" customHeight="1" s="205">
      <c r="B436" s="26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1" t="n"/>
      <c r="G436" s="262" t="n"/>
      <c r="H436" s="264" t="n"/>
      <c r="I436" s="265" t="n"/>
      <c r="J436" s="47" t="n"/>
      <c r="K436" s="47" t="n"/>
      <c r="L436" s="47" t="n"/>
      <c r="M436" s="47" t="n"/>
    </row>
    <row r="437" ht="12.75" customHeight="1" s="205">
      <c r="B437" s="26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1" t="n"/>
      <c r="G437" s="262" t="n"/>
      <c r="H437" s="264" t="n"/>
      <c r="I437" s="265" t="n"/>
      <c r="J437" s="47" t="n"/>
      <c r="K437" s="47" t="n"/>
      <c r="L437" s="47" t="n"/>
      <c r="M437" s="47" t="n"/>
    </row>
    <row r="438" ht="12.75" customHeight="1" s="205">
      <c r="B438" s="26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1" t="n"/>
      <c r="G438" s="262" t="n"/>
      <c r="H438" s="264" t="n"/>
      <c r="I438" s="265" t="n"/>
      <c r="J438" s="47" t="n"/>
      <c r="K438" s="47" t="n"/>
      <c r="L438" s="47" t="n"/>
      <c r="M438" s="47" t="n"/>
    </row>
    <row r="439" ht="12.75" customHeight="1" s="205">
      <c r="B439" s="26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1" t="n"/>
      <c r="G439" s="262" t="n"/>
      <c r="H439" s="264" t="n"/>
      <c r="I439" s="265" t="n"/>
      <c r="J439" s="47" t="n"/>
      <c r="K439" s="47" t="n"/>
      <c r="L439" s="47" t="n"/>
      <c r="M439" s="47" t="n"/>
    </row>
    <row r="440" ht="12.75" customHeight="1" s="205">
      <c r="B440" s="26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1" t="n"/>
      <c r="G440" s="262" t="n"/>
      <c r="H440" s="264" t="n"/>
      <c r="I440" s="265" t="n"/>
      <c r="J440" s="47" t="n"/>
      <c r="K440" s="47" t="n"/>
      <c r="L440" s="47" t="n"/>
      <c r="M440" s="47" t="n"/>
    </row>
    <row r="441" ht="12.75" customHeight="1" s="205">
      <c r="B441" s="26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1" t="n"/>
      <c r="G441" s="262" t="n"/>
      <c r="H441" s="264" t="n"/>
      <c r="I441" s="265" t="n"/>
      <c r="J441" s="47" t="n"/>
      <c r="K441" s="47" t="n"/>
      <c r="L441" s="47" t="n"/>
      <c r="M441" s="47" t="n"/>
    </row>
    <row r="442" ht="12.75" customHeight="1" s="205">
      <c r="B442" s="26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1" t="n"/>
      <c r="G442" s="262" t="n"/>
      <c r="H442" s="264" t="n"/>
      <c r="I442" s="265" t="n"/>
      <c r="J442" s="47" t="n"/>
      <c r="K442" s="47" t="n"/>
      <c r="L442" s="47" t="n"/>
      <c r="M442" s="47" t="n"/>
    </row>
    <row r="443" ht="12.75" customHeight="1" s="205">
      <c r="B443" s="26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1" t="n"/>
      <c r="G443" s="262" t="n"/>
      <c r="H443" s="264" t="n"/>
      <c r="I443" s="265" t="n"/>
      <c r="J443" s="47" t="n"/>
      <c r="K443" s="47" t="n"/>
      <c r="L443" s="47" t="n"/>
      <c r="M443" s="47" t="n"/>
    </row>
    <row r="444" ht="12.75" customHeight="1" s="205">
      <c r="B444" s="26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1" t="n"/>
      <c r="G444" s="262" t="n"/>
      <c r="H444" s="264" t="n"/>
      <c r="I444" s="265" t="n"/>
      <c r="J444" s="47" t="n"/>
      <c r="K444" s="47" t="n"/>
      <c r="L444" s="47" t="n"/>
      <c r="M444" s="47" t="n"/>
    </row>
    <row r="445" ht="12.75" customHeight="1" s="205">
      <c r="B445" s="26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1" t="n"/>
      <c r="G445" s="262" t="n"/>
      <c r="H445" s="264" t="n"/>
      <c r="I445" s="265" t="n"/>
      <c r="J445" s="47" t="n"/>
      <c r="K445" s="47" t="n"/>
      <c r="L445" s="47" t="n"/>
      <c r="M445" s="47" t="n"/>
    </row>
    <row r="446" ht="12.75" customHeight="1" s="205">
      <c r="B446" s="26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1" t="n"/>
      <c r="G446" s="262" t="n"/>
      <c r="H446" s="264" t="n"/>
      <c r="I446" s="265" t="n"/>
      <c r="J446" s="47" t="n"/>
      <c r="K446" s="47" t="n"/>
      <c r="L446" s="47" t="n"/>
      <c r="M446" s="47" t="n"/>
    </row>
    <row r="447" ht="12.75" customHeight="1" s="205">
      <c r="B447" s="26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1" t="n"/>
      <c r="G447" s="262" t="n"/>
      <c r="H447" s="264" t="n"/>
      <c r="I447" s="265" t="n"/>
      <c r="J447" s="47" t="n"/>
      <c r="K447" s="47" t="n"/>
      <c r="L447" s="47" t="n"/>
      <c r="M447" s="47" t="n"/>
    </row>
    <row r="448" ht="12.75" customHeight="1" s="205">
      <c r="B448" s="26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1" t="n"/>
      <c r="G448" s="262" t="n"/>
      <c r="H448" s="264" t="n"/>
      <c r="I448" s="265" t="n"/>
      <c r="J448" s="47" t="n"/>
      <c r="K448" s="47" t="n"/>
      <c r="L448" s="47" t="n"/>
      <c r="M448" s="47" t="n"/>
    </row>
    <row r="449" ht="12.75" customHeight="1" s="205">
      <c r="B449" s="26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1" t="n"/>
      <c r="G449" s="262" t="n"/>
      <c r="H449" s="264" t="n"/>
      <c r="I449" s="265" t="n"/>
      <c r="J449" s="47" t="n"/>
      <c r="K449" s="47" t="n"/>
      <c r="L449" s="47" t="n"/>
      <c r="M449" s="47" t="n"/>
    </row>
    <row r="450" ht="12.75" customHeight="1" s="205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5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5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5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5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5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5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5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5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5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5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5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5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5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5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5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5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5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5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5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5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5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5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5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5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5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5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5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5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5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5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5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5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5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5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5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5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5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5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5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5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5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5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5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5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5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5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5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5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5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5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5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5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5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5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5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5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5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5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5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5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5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5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5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5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5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5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5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5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5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5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5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5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5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5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5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5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5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5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5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5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5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5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5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5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5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5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5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5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5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5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5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5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5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5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5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5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5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5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5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5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5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5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5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5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5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5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5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5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5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5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5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5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5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5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5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5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5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5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5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5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5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5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5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5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5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5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5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5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5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5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5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5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5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5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5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5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5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5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5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5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5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5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5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5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5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5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5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5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5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5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5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5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5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5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5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5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5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5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5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5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5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5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5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5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5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5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5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5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5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5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5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5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5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5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5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5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5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5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5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5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5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5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5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5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5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5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5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5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5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5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5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5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5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5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5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5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5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5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5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5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5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5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5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5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5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5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5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5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5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5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5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5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5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5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5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5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5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5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5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5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5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5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5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5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5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5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5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5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5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5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5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5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5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5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5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5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5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5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5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5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5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5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5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5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5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5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5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5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5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5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5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5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5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5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5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5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5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5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5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5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5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5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5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5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5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5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5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5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5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5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5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5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5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5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5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5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5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5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5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5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5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5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5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5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5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5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5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5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5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5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5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5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5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5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5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5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5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5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5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5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5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5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5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5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5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5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5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5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5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5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5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5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5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5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5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5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5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5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5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5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5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5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5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5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5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5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5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5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5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5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5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5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5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5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5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5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5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5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5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5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5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5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5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5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5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5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5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5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5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5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5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5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5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5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5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5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5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5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5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5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5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5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5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5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5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5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5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5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5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5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5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5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5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5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5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5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5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5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5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5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5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5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5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5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5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5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5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5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5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5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5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5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5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5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5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5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5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5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5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5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5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5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5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5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5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5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5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5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5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5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5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5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5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5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5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5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5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5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5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5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5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5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5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5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5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5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5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5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5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5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5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5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5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5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5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5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5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5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5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5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5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5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5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5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5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5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5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5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5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5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5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5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5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5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5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5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5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5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5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5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5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5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5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5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5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5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5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5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5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5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5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5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5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5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5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5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5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5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5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5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5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5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5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5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5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5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5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5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5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5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5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5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5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5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5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5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5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5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5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5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5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5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5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5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5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5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5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5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5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5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5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5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5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5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5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5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5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5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5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5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5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5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5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5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5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5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5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5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5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5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5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5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5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5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5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5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5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5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5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5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5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5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5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5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5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5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5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5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8">
        <f>IFERROR(__xludf.DUMMYFUNCTION("""COMPUTED_VALUE"""),43103.6666666666)</f>
        <v/>
      </c>
      <c r="F9" s="6">
        <f>IFERROR(__xludf.DUMMYFUNCTION("""COMPUTED_VALUE"""),2713.06)</f>
        <v/>
      </c>
      <c r="H9" s="26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5" min="1" max="1"/>
    <col width="10" customWidth="1" style="205" min="2" max="2"/>
    <col width="14" customWidth="1" style="205" min="3" max="3"/>
    <col width="34" customWidth="1" style="205" min="4" max="4"/>
    <col width="12" customWidth="1" style="205" min="5" max="5"/>
    <col width="12" customWidth="1" style="205" min="6" max="6"/>
    <col width="14" customWidth="1" style="205" min="7" max="7"/>
    <col width="10" customWidth="1" style="205" min="8" max="8"/>
  </cols>
  <sheetData>
    <row r="1">
      <c r="A1" s="274" t="inlineStr">
        <is>
          <t>2026년 월별 배당·이자 (실적 + 예측)</t>
        </is>
      </c>
    </row>
    <row r="2">
      <c r="A2" s="275" t="inlineStr">
        <is>
          <t>기준: '계좌현황' 보유수량 · yfinance 배당이력 · 환율 1,367원/$  | 연간 합계 52,199,938원 · 월평균 4,349,995원</t>
        </is>
      </c>
    </row>
    <row r="3">
      <c r="A3" s="338" t="inlineStr">
        <is>
          <t>※ 노란행=예측, 초록행=실적(또는 이미 지급된 배당). 커버드콜/미국ETF는 환율·지급월 추정 오차가 있을 수 있습니다.</t>
        </is>
      </c>
    </row>
    <row r="5">
      <c r="A5" s="274" t="inlineStr">
        <is>
          <t>① 월별 합계</t>
        </is>
      </c>
    </row>
    <row r="6">
      <c r="A6" s="278" t="inlineStr">
        <is>
          <t>월</t>
        </is>
      </c>
      <c r="B6" s="278" t="inlineStr">
        <is>
          <t>실적</t>
        </is>
      </c>
      <c r="C6" s="278" t="inlineStr">
        <is>
          <t>예측</t>
        </is>
      </c>
      <c r="D6" s="278" t="inlineStr">
        <is>
          <t>합계</t>
        </is>
      </c>
      <c r="E6" s="278" t="inlineStr">
        <is>
          <t>구분</t>
        </is>
      </c>
    </row>
    <row r="7">
      <c r="A7" s="279" t="inlineStr">
        <is>
          <t>1월</t>
        </is>
      </c>
      <c r="B7" s="280" t="n">
        <v>4085291.77</v>
      </c>
      <c r="C7" s="280" t="n">
        <v>0</v>
      </c>
      <c r="D7" s="280" t="n">
        <v>4085291.77</v>
      </c>
      <c r="E7" s="279" t="inlineStr">
        <is>
          <t>실적</t>
        </is>
      </c>
    </row>
    <row r="8">
      <c r="A8" s="279" t="inlineStr">
        <is>
          <t>2월</t>
        </is>
      </c>
      <c r="B8" s="280" t="n">
        <v>4211437.2</v>
      </c>
      <c r="C8" s="280" t="n">
        <v>0</v>
      </c>
      <c r="D8" s="280" t="n">
        <v>4211437.2</v>
      </c>
      <c r="E8" s="279" t="inlineStr">
        <is>
          <t>실적</t>
        </is>
      </c>
    </row>
    <row r="9">
      <c r="A9" s="282" t="inlineStr">
        <is>
          <t>3월</t>
        </is>
      </c>
      <c r="B9" s="283" t="n">
        <v>4590762.106</v>
      </c>
      <c r="C9" s="283" t="n">
        <v>35408</v>
      </c>
      <c r="D9" s="283" t="n">
        <v>4626170.106</v>
      </c>
      <c r="E9" s="282" t="inlineStr">
        <is>
          <t>혼합</t>
        </is>
      </c>
    </row>
    <row r="10">
      <c r="A10" s="282" t="inlineStr">
        <is>
          <t>4월</t>
        </is>
      </c>
      <c r="B10" s="283" t="n">
        <v>4201277.871</v>
      </c>
      <c r="C10" s="283" t="n">
        <v>5104</v>
      </c>
      <c r="D10" s="283" t="n">
        <v>4206381.871</v>
      </c>
      <c r="E10" s="282" t="inlineStr">
        <is>
          <t>혼합</t>
        </is>
      </c>
    </row>
    <row r="11">
      <c r="A11" s="279" t="inlineStr">
        <is>
          <t>5월</t>
        </is>
      </c>
      <c r="B11" s="280" t="n">
        <v>4284007.681</v>
      </c>
      <c r="C11" s="280" t="n">
        <v>0</v>
      </c>
      <c r="D11" s="280" t="n">
        <v>4284007.681</v>
      </c>
      <c r="E11" s="279" t="inlineStr">
        <is>
          <t>실적</t>
        </is>
      </c>
    </row>
    <row r="12">
      <c r="A12" s="282" t="inlineStr">
        <is>
          <t>6월</t>
        </is>
      </c>
      <c r="B12" s="283" t="n">
        <v>4318192.474</v>
      </c>
      <c r="C12" s="283" t="n">
        <v>35492</v>
      </c>
      <c r="D12" s="283" t="n">
        <v>4353684.474</v>
      </c>
      <c r="E12" s="282" t="inlineStr">
        <is>
          <t>혼합</t>
        </is>
      </c>
    </row>
    <row r="13">
      <c r="A13" s="279" t="inlineStr">
        <is>
          <t>7월</t>
        </is>
      </c>
      <c r="B13" s="280" t="n">
        <v>4337910.221</v>
      </c>
      <c r="C13" s="280" t="n">
        <v>0</v>
      </c>
      <c r="D13" s="280" t="n">
        <v>4337910.221</v>
      </c>
      <c r="E13" s="279" t="inlineStr">
        <is>
          <t>실적</t>
        </is>
      </c>
    </row>
    <row r="14">
      <c r="A14" s="279" t="inlineStr">
        <is>
          <t>8월</t>
        </is>
      </c>
      <c r="B14" s="280" t="n">
        <v>4207086.076</v>
      </c>
      <c r="C14" s="280" t="n">
        <v>0</v>
      </c>
      <c r="D14" s="280" t="n">
        <v>4207086.076</v>
      </c>
      <c r="E14" s="279" t="inlineStr">
        <is>
          <t>실적</t>
        </is>
      </c>
    </row>
    <row r="15">
      <c r="A15" s="282" t="inlineStr">
        <is>
          <t>9월</t>
        </is>
      </c>
      <c r="B15" s="283" t="n">
        <v>5604.7</v>
      </c>
      <c r="C15" s="283" t="n">
        <v>4206295.188</v>
      </c>
      <c r="D15" s="283" t="n">
        <v>4211899.888</v>
      </c>
      <c r="E15" s="282" t="inlineStr">
        <is>
          <t>혼합</t>
        </is>
      </c>
    </row>
    <row r="16">
      <c r="A16" s="288" t="inlineStr">
        <is>
          <t>10월</t>
        </is>
      </c>
      <c r="B16" s="289" t="n">
        <v>0</v>
      </c>
      <c r="C16" s="289" t="n">
        <v>4081642.868</v>
      </c>
      <c r="D16" s="289" t="n">
        <v>4081642.868</v>
      </c>
      <c r="E16" s="288" t="inlineStr">
        <is>
          <t>예측</t>
        </is>
      </c>
    </row>
    <row r="17">
      <c r="A17" s="288" t="inlineStr">
        <is>
          <t>11월</t>
        </is>
      </c>
      <c r="B17" s="289" t="n">
        <v>0</v>
      </c>
      <c r="C17" s="289" t="n">
        <v>4368878.832</v>
      </c>
      <c r="D17" s="289" t="n">
        <v>4368878.832</v>
      </c>
      <c r="E17" s="288" t="inlineStr">
        <is>
          <t>예측</t>
        </is>
      </c>
    </row>
    <row r="18">
      <c r="A18" s="288" t="inlineStr">
        <is>
          <t>12월</t>
        </is>
      </c>
      <c r="B18" s="289" t="n">
        <v>0</v>
      </c>
      <c r="C18" s="289" t="n">
        <v>5225547.4085</v>
      </c>
      <c r="D18" s="289" t="n">
        <v>5225547.4085</v>
      </c>
      <c r="E18" s="288" t="inlineStr">
        <is>
          <t>예측</t>
        </is>
      </c>
    </row>
    <row r="20">
      <c r="A20" s="277" t="inlineStr">
        <is>
          <t>합계</t>
        </is>
      </c>
      <c r="B20" s="336">
        <f>SUM(B7:B18)</f>
        <v/>
      </c>
      <c r="C20" s="336">
        <f>SUM(C7:C18)</f>
        <v/>
      </c>
      <c r="D20" s="336">
        <f>SUM(D7:D18)</f>
        <v/>
      </c>
    </row>
    <row r="22">
      <c r="A22" s="274" t="inlineStr">
        <is>
          <t>② 연간 배당 기여 Top 15</t>
        </is>
      </c>
    </row>
    <row r="23">
      <c r="A23" s="339" t="inlineStr">
        <is>
          <t>종목코드</t>
        </is>
      </c>
      <c r="B23" s="339" t="inlineStr">
        <is>
          <t>종목명</t>
        </is>
      </c>
      <c r="C23" s="339" t="inlineStr">
        <is>
          <t>주기</t>
        </is>
      </c>
      <c r="D23" s="339" t="inlineStr">
        <is>
          <t>연예상(원)</t>
        </is>
      </c>
      <c r="E23" s="339" t="inlineStr">
        <is>
          <t>배당률</t>
        </is>
      </c>
      <c r="F23" s="339" t="inlineStr">
        <is>
          <t>평가액</t>
        </is>
      </c>
    </row>
    <row r="24">
      <c r="A24" s="303" t="inlineStr">
        <is>
          <t>458760</t>
        </is>
      </c>
      <c r="B24" s="303" t="inlineStr">
        <is>
          <t>TIGER 미배당다우커버드콜2호</t>
        </is>
      </c>
      <c r="C24" s="303" t="inlineStr">
        <is>
          <t>월배당</t>
        </is>
      </c>
      <c r="D24" s="304" t="n">
        <v>16980419</v>
      </c>
      <c r="E24" s="329" t="n">
        <v>0.1003</v>
      </c>
      <c r="F24" s="304" t="n">
        <v>169266825</v>
      </c>
    </row>
    <row r="25">
      <c r="A25" s="303" t="inlineStr">
        <is>
          <t>474220</t>
        </is>
      </c>
      <c r="B25" s="303" t="inlineStr">
        <is>
          <t>TIGER미국테크TOP10커버드콜</t>
        </is>
      </c>
      <c r="C25" s="303" t="inlineStr">
        <is>
          <t>월배당</t>
        </is>
      </c>
      <c r="D25" s="304" t="n">
        <v>6963919</v>
      </c>
      <c r="E25" s="329" t="n">
        <v>0.1033</v>
      </c>
      <c r="F25" s="304" t="n">
        <v>67392840</v>
      </c>
    </row>
    <row r="26">
      <c r="A26" s="303" t="inlineStr">
        <is>
          <t>498410</t>
        </is>
      </c>
      <c r="B26" s="303" t="inlineStr">
        <is>
          <t>KODEX금융고배당TOP10타겟위클리커버드콜</t>
        </is>
      </c>
      <c r="C26" s="303" t="inlineStr">
        <is>
          <t>월배당</t>
        </is>
      </c>
      <c r="D26" s="304" t="n">
        <v>4473514</v>
      </c>
      <c r="E26" s="329" t="n">
        <v>0.159</v>
      </c>
      <c r="F26" s="304" t="n">
        <v>28131795</v>
      </c>
    </row>
    <row r="27">
      <c r="A27" s="303" t="inlineStr">
        <is>
          <t>483280</t>
        </is>
      </c>
      <c r="B27" s="303" t="inlineStr">
        <is>
          <t>KODEX 미국AI테크TOP10타겟커버드콜</t>
        </is>
      </c>
      <c r="C27" s="303" t="inlineStr">
        <is>
          <t>월배당</t>
        </is>
      </c>
      <c r="D27" s="304" t="n">
        <v>3984540</v>
      </c>
      <c r="E27" s="329" t="n">
        <v>0.1578</v>
      </c>
      <c r="F27" s="304" t="n">
        <v>25253970</v>
      </c>
    </row>
    <row r="28">
      <c r="A28" s="303" t="inlineStr">
        <is>
          <t>0008S0</t>
        </is>
      </c>
      <c r="B28" s="303" t="inlineStr">
        <is>
          <t>TIGER 미국배당다우존스타겟데일리커버드콜</t>
        </is>
      </c>
      <c r="C28" s="303" t="inlineStr">
        <is>
          <t>월배당</t>
        </is>
      </c>
      <c r="D28" s="304" t="n">
        <v>3507000</v>
      </c>
      <c r="E28" s="329" t="n">
        <v>0.1167</v>
      </c>
      <c r="F28" s="304" t="n">
        <v>30060000</v>
      </c>
    </row>
    <row r="29">
      <c r="A29" s="303" t="inlineStr">
        <is>
          <t>481060</t>
        </is>
      </c>
      <c r="B29" s="303" t="inlineStr">
        <is>
          <t>KODEX 미국30년국채타겟커버드콜(H)</t>
        </is>
      </c>
      <c r="C29" s="303" t="inlineStr">
        <is>
          <t>월배당</t>
        </is>
      </c>
      <c r="D29" s="304" t="n">
        <v>3090600</v>
      </c>
      <c r="E29" s="329" t="n">
        <v>0.1364</v>
      </c>
      <c r="F29" s="304" t="n">
        <v>22659300</v>
      </c>
    </row>
    <row r="30">
      <c r="A30" s="303" t="inlineStr">
        <is>
          <t>329200</t>
        </is>
      </c>
      <c r="B30" s="303" t="inlineStr">
        <is>
          <t>TIGER리츠부동산인프라</t>
        </is>
      </c>
      <c r="C30" s="303" t="inlineStr">
        <is>
          <t>월배당</t>
        </is>
      </c>
      <c r="D30" s="304" t="n">
        <v>1897500</v>
      </c>
      <c r="E30" s="329" t="n">
        <v>0.0935</v>
      </c>
      <c r="F30" s="304" t="n">
        <v>20300000</v>
      </c>
    </row>
    <row r="31">
      <c r="A31" s="303" t="inlineStr">
        <is>
          <t>498400</t>
        </is>
      </c>
      <c r="B31" s="303" t="inlineStr">
        <is>
          <t>KODEX 200타켓위클리커버드콜</t>
        </is>
      </c>
      <c r="C31" s="303" t="inlineStr">
        <is>
          <t>월배당</t>
        </is>
      </c>
      <c r="D31" s="304" t="n">
        <v>1825057</v>
      </c>
      <c r="E31" s="329" t="n">
        <v>0.1514</v>
      </c>
      <c r="F31" s="304" t="n">
        <v>12058085</v>
      </c>
    </row>
    <row r="32">
      <c r="A32" s="303" t="inlineStr">
        <is>
          <t>468380</t>
        </is>
      </c>
      <c r="B32" s="303" t="inlineStr">
        <is>
          <t>KODEX iShares미국하이일드액티브</t>
        </is>
      </c>
      <c r="C32" s="303" t="inlineStr">
        <is>
          <t>월배당</t>
        </is>
      </c>
      <c r="D32" s="304" t="n">
        <v>1538000</v>
      </c>
      <c r="E32" s="329" t="n">
        <v>0.0713</v>
      </c>
      <c r="F32" s="304" t="n">
        <v>21580000</v>
      </c>
    </row>
    <row r="33">
      <c r="A33" s="303" t="inlineStr">
        <is>
          <t>490490</t>
        </is>
      </c>
      <c r="B33" s="303" t="inlineStr">
        <is>
          <t>SOL미국배당미국채혼합50</t>
        </is>
      </c>
      <c r="C33" s="303" t="inlineStr">
        <is>
          <t>월배당</t>
        </is>
      </c>
      <c r="D33" s="304" t="n">
        <v>1291498</v>
      </c>
      <c r="E33" s="329" t="n">
        <v>0.0306</v>
      </c>
      <c r="F33" s="304" t="n">
        <v>42145630</v>
      </c>
    </row>
    <row r="34">
      <c r="A34" s="303" t="inlineStr">
        <is>
          <t>0219E0</t>
        </is>
      </c>
      <c r="B34" s="303" t="inlineStr">
        <is>
          <t>KODEX 200커버드콜액티브</t>
        </is>
      </c>
      <c r="C34" s="303" t="inlineStr">
        <is>
          <t>월배당</t>
        </is>
      </c>
      <c r="D34" s="304" t="n">
        <v>1205760</v>
      </c>
      <c r="E34" s="329" t="n">
        <v>0.1194</v>
      </c>
      <c r="F34" s="304" t="n">
        <v>10098240</v>
      </c>
    </row>
    <row r="35">
      <c r="A35" s="303" t="inlineStr">
        <is>
          <t>473330</t>
        </is>
      </c>
      <c r="B35" s="303" t="inlineStr">
        <is>
          <t>SOL 미국 30년국채커버드콜(합성)</t>
        </is>
      </c>
      <c r="C35" s="303" t="inlineStr">
        <is>
          <t>월배당</t>
        </is>
      </c>
      <c r="D35" s="304" t="n">
        <v>988320</v>
      </c>
      <c r="E35" s="329" t="n">
        <v>0.1313</v>
      </c>
      <c r="F35" s="304" t="n">
        <v>7526400</v>
      </c>
    </row>
    <row r="36">
      <c r="A36" s="303" t="inlineStr">
        <is>
          <t>472170</t>
        </is>
      </c>
      <c r="B36" s="303" t="inlineStr">
        <is>
          <t>TIGER 미국테크TOP10채권혼합</t>
        </is>
      </c>
      <c r="C36" s="303" t="inlineStr">
        <is>
          <t>연/반기</t>
        </is>
      </c>
      <c r="D36" s="304" t="n">
        <v>573561</v>
      </c>
      <c r="E36" s="329" t="n">
        <v>0.0211</v>
      </c>
      <c r="F36" s="304" t="n">
        <v>27130815</v>
      </c>
    </row>
    <row r="37">
      <c r="A37" s="303" t="inlineStr">
        <is>
          <t>446720</t>
        </is>
      </c>
      <c r="B37" s="303" t="inlineStr">
        <is>
          <t>SOL 미국배당다우존스</t>
        </is>
      </c>
      <c r="C37" s="303" t="inlineStr">
        <is>
          <t>월배당</t>
        </is>
      </c>
      <c r="D37" s="304" t="n">
        <v>541310</v>
      </c>
      <c r="E37" s="329" t="n">
        <v>0.0295</v>
      </c>
      <c r="F37" s="304" t="n">
        <v>18347350</v>
      </c>
    </row>
    <row r="38">
      <c r="A38" s="303" t="inlineStr">
        <is>
          <t>482730</t>
        </is>
      </c>
      <c r="B38" s="303" t="inlineStr">
        <is>
          <t>미국S&amp;P500타겟데일리커버드콜</t>
        </is>
      </c>
      <c r="C38" s="303" t="inlineStr">
        <is>
          <t>월배당</t>
        </is>
      </c>
      <c r="D38" s="304" t="n">
        <v>506600</v>
      </c>
      <c r="E38" s="329" t="n">
        <v>0.1028</v>
      </c>
      <c r="F38" s="304" t="n">
        <v>4925750</v>
      </c>
    </row>
    <row r="42">
      <c r="A42" s="274" t="inlineStr">
        <is>
          <t>③ 종목·월별 상세 (실적/예측)</t>
        </is>
      </c>
    </row>
    <row r="43">
      <c r="A43" s="278" t="inlineStr">
        <is>
          <t>일자</t>
        </is>
      </c>
      <c r="B43" s="278" t="inlineStr">
        <is>
          <t>월</t>
        </is>
      </c>
      <c r="C43" s="278" t="inlineStr">
        <is>
          <t>종목코드</t>
        </is>
      </c>
      <c r="D43" s="278" t="inlineStr">
        <is>
          <t>종목명</t>
        </is>
      </c>
      <c r="E43" s="278" t="inlineStr">
        <is>
          <t>원화</t>
        </is>
      </c>
      <c r="F43" s="278" t="inlineStr">
        <is>
          <t>달러</t>
        </is>
      </c>
      <c r="G43" s="278" t="inlineStr">
        <is>
          <t>원화환산</t>
        </is>
      </c>
      <c r="H43" s="278" t="inlineStr">
        <is>
          <t>구분</t>
        </is>
      </c>
    </row>
    <row r="44">
      <c r="A44" s="344" t="n">
        <v>46031</v>
      </c>
      <c r="B44" s="279" t="n">
        <v>1</v>
      </c>
      <c r="C44" s="279" t="inlineStr">
        <is>
          <t>ORCL</t>
        </is>
      </c>
      <c r="D44" s="279" t="inlineStr">
        <is>
          <t>오라클</t>
        </is>
      </c>
      <c r="E44" s="280" t="n"/>
      <c r="F44" s="341" t="n">
        <v>1</v>
      </c>
      <c r="G44" s="280" t="n">
        <v>1367</v>
      </c>
      <c r="H44" s="279" t="inlineStr">
        <is>
          <t>실적</t>
        </is>
      </c>
    </row>
    <row r="45">
      <c r="A45" s="344" t="n">
        <v>46036</v>
      </c>
      <c r="B45" s="279" t="n">
        <v>1</v>
      </c>
      <c r="C45" s="279" t="inlineStr">
        <is>
          <t>0008S0</t>
        </is>
      </c>
      <c r="D45" s="279" t="inlineStr">
        <is>
          <t>TIGER 미국배당다우존스타겟데일리커버드콜</t>
        </is>
      </c>
      <c r="E45" s="280" t="n">
        <v>285000</v>
      </c>
      <c r="F45" s="341" t="n"/>
      <c r="G45" s="280" t="n">
        <v>285000</v>
      </c>
      <c r="H45" s="279" t="inlineStr">
        <is>
          <t>실적</t>
        </is>
      </c>
    </row>
    <row r="46">
      <c r="A46" s="344" t="n">
        <v>46036</v>
      </c>
      <c r="B46" s="279" t="n">
        <v>1</v>
      </c>
      <c r="C46" s="279" t="inlineStr">
        <is>
          <t>474220</t>
        </is>
      </c>
      <c r="D46" s="279" t="inlineStr">
        <is>
          <t>TIGER미국테크TOP10커버드콜</t>
        </is>
      </c>
      <c r="E46" s="280" t="n">
        <v>612514</v>
      </c>
      <c r="F46" s="341" t="n"/>
      <c r="G46" s="280" t="n">
        <v>612514</v>
      </c>
      <c r="H46" s="279" t="inlineStr">
        <is>
          <t>실적</t>
        </is>
      </c>
    </row>
    <row r="47">
      <c r="A47" s="344" t="n">
        <v>46036</v>
      </c>
      <c r="B47" s="279" t="n">
        <v>1</v>
      </c>
      <c r="C47" s="279" t="inlineStr">
        <is>
          <t>481060</t>
        </is>
      </c>
      <c r="D47" s="279" t="inlineStr">
        <is>
          <t>KODEX 미국30년국채타겟커버드콜(H)</t>
        </is>
      </c>
      <c r="E47" s="280" t="n">
        <v>253980</v>
      </c>
      <c r="F47" s="341" t="n"/>
      <c r="G47" s="280" t="n">
        <v>253980</v>
      </c>
      <c r="H47" s="279" t="inlineStr">
        <is>
          <t>실적</t>
        </is>
      </c>
    </row>
    <row r="48">
      <c r="A48" s="344" t="n">
        <v>46036</v>
      </c>
      <c r="B48" s="279" t="n">
        <v>1</v>
      </c>
      <c r="C48" s="279" t="inlineStr">
        <is>
          <t>490490</t>
        </is>
      </c>
      <c r="D48" s="279" t="inlineStr">
        <is>
          <t>SOL미국배당미국채혼합50</t>
        </is>
      </c>
      <c r="E48" s="280" t="n">
        <v>118451</v>
      </c>
      <c r="F48" s="341" t="n"/>
      <c r="G48" s="280" t="n">
        <v>118451</v>
      </c>
      <c r="H48" s="279" t="inlineStr">
        <is>
          <t>실적</t>
        </is>
      </c>
    </row>
    <row r="49">
      <c r="A49" s="344" t="n">
        <v>46036</v>
      </c>
      <c r="B49" s="279" t="n">
        <v>1</v>
      </c>
      <c r="C49" s="279" t="inlineStr">
        <is>
          <t>498400</t>
        </is>
      </c>
      <c r="D49" s="279" t="inlineStr">
        <is>
          <t>KODEX 200타켓위클리커버드콜</t>
        </is>
      </c>
      <c r="E49" s="280" t="n">
        <v>130143</v>
      </c>
      <c r="F49" s="341" t="n"/>
      <c r="G49" s="280" t="n">
        <v>130143</v>
      </c>
      <c r="H49" s="279" t="inlineStr">
        <is>
          <t>실적</t>
        </is>
      </c>
    </row>
    <row r="50">
      <c r="A50" s="344" t="n">
        <v>46051</v>
      </c>
      <c r="B50" s="279" t="n">
        <v>1</v>
      </c>
      <c r="C50" s="279" t="inlineStr">
        <is>
          <t>133690</t>
        </is>
      </c>
      <c r="D50" s="279" t="inlineStr">
        <is>
          <t>TIGER 미국나스닥100</t>
        </is>
      </c>
      <c r="E50" s="280" t="n">
        <v>12825</v>
      </c>
      <c r="F50" s="341" t="n"/>
      <c r="G50" s="280" t="n">
        <v>12825</v>
      </c>
      <c r="H50" s="279" t="inlineStr">
        <is>
          <t>실적</t>
        </is>
      </c>
    </row>
    <row r="51">
      <c r="A51" s="344" t="n">
        <v>46051</v>
      </c>
      <c r="B51" s="279" t="n">
        <v>1</v>
      </c>
      <c r="C51" s="279" t="inlineStr">
        <is>
          <t>329200</t>
        </is>
      </c>
      <c r="D51" s="279" t="inlineStr">
        <is>
          <t>TIGER리츠부동산인프라</t>
        </is>
      </c>
      <c r="E51" s="280" t="n">
        <v>165000</v>
      </c>
      <c r="F51" s="341" t="n"/>
      <c r="G51" s="280" t="n">
        <v>165000</v>
      </c>
      <c r="H51" s="279" t="inlineStr">
        <is>
          <t>실적</t>
        </is>
      </c>
    </row>
    <row r="52">
      <c r="A52" s="344" t="n">
        <v>46051</v>
      </c>
      <c r="B52" s="279" t="n">
        <v>1</v>
      </c>
      <c r="C52" s="279" t="inlineStr">
        <is>
          <t>360750</t>
        </is>
      </c>
      <c r="D52" s="279" t="inlineStr">
        <is>
          <t>TIGER미국S&amp;P500</t>
        </is>
      </c>
      <c r="E52" s="280" t="n">
        <v>14235</v>
      </c>
      <c r="F52" s="341" t="n"/>
      <c r="G52" s="280" t="n">
        <v>14235</v>
      </c>
      <c r="H52" s="279" t="inlineStr">
        <is>
          <t>실적</t>
        </is>
      </c>
    </row>
    <row r="53">
      <c r="A53" s="344" t="n">
        <v>46051</v>
      </c>
      <c r="B53" s="279" t="n">
        <v>1</v>
      </c>
      <c r="C53" s="279" t="inlineStr">
        <is>
          <t>367380</t>
        </is>
      </c>
      <c r="D53" s="279" t="inlineStr">
        <is>
          <t>ACE 미국나스닥100</t>
        </is>
      </c>
      <c r="E53" s="280" t="n">
        <v>12844</v>
      </c>
      <c r="F53" s="341" t="n"/>
      <c r="G53" s="280" t="n">
        <v>12844</v>
      </c>
      <c r="H53" s="279" t="inlineStr">
        <is>
          <t>실적</t>
        </is>
      </c>
    </row>
    <row r="54">
      <c r="A54" s="344" t="n">
        <v>46051</v>
      </c>
      <c r="B54" s="279" t="n">
        <v>1</v>
      </c>
      <c r="C54" s="279" t="inlineStr">
        <is>
          <t>379810</t>
        </is>
      </c>
      <c r="D54" s="279" t="inlineStr">
        <is>
          <t>KODEX 미국나스닥100</t>
        </is>
      </c>
      <c r="E54" s="280" t="n">
        <v>26792</v>
      </c>
      <c r="F54" s="341" t="n"/>
      <c r="G54" s="280" t="n">
        <v>26792</v>
      </c>
      <c r="H54" s="279" t="inlineStr">
        <is>
          <t>실적</t>
        </is>
      </c>
    </row>
    <row r="55">
      <c r="A55" s="344" t="n">
        <v>46051</v>
      </c>
      <c r="B55" s="279" t="n">
        <v>1</v>
      </c>
      <c r="C55" s="279" t="inlineStr">
        <is>
          <t>433330</t>
        </is>
      </c>
      <c r="D55" s="279" t="inlineStr">
        <is>
          <t>SOL 미국 S&amp;P500</t>
        </is>
      </c>
      <c r="E55" s="280" t="n">
        <v>15288</v>
      </c>
      <c r="F55" s="341" t="n"/>
      <c r="G55" s="280" t="n">
        <v>15288</v>
      </c>
      <c r="H55" s="279" t="inlineStr">
        <is>
          <t>실적</t>
        </is>
      </c>
    </row>
    <row r="56">
      <c r="A56" s="344" t="n">
        <v>46051</v>
      </c>
      <c r="B56" s="279" t="n">
        <v>1</v>
      </c>
      <c r="C56" s="279" t="inlineStr">
        <is>
          <t>446720</t>
        </is>
      </c>
      <c r="D56" s="279" t="inlineStr">
        <is>
          <t>SOL 미국배당다우존스</t>
        </is>
      </c>
      <c r="E56" s="280" t="n">
        <v>39900</v>
      </c>
      <c r="F56" s="341" t="n"/>
      <c r="G56" s="280" t="n">
        <v>39900</v>
      </c>
      <c r="H56" s="279" t="inlineStr">
        <is>
          <t>실적</t>
        </is>
      </c>
    </row>
    <row r="57">
      <c r="A57" s="344" t="n">
        <v>46051</v>
      </c>
      <c r="B57" s="279" t="n">
        <v>1</v>
      </c>
      <c r="C57" s="279" t="inlineStr">
        <is>
          <t>458760</t>
        </is>
      </c>
      <c r="D57" s="279" t="inlineStr">
        <is>
          <t>TIGER 미배당다우커버드콜2호</t>
        </is>
      </c>
      <c r="E57" s="280" t="n">
        <v>1351064</v>
      </c>
      <c r="F57" s="341" t="n"/>
      <c r="G57" s="280" t="n">
        <v>1351064</v>
      </c>
      <c r="H57" s="279" t="inlineStr">
        <is>
          <t>실적</t>
        </is>
      </c>
    </row>
    <row r="58">
      <c r="A58" s="344" t="n">
        <v>46051</v>
      </c>
      <c r="B58" s="279" t="n">
        <v>1</v>
      </c>
      <c r="C58" s="279" t="inlineStr">
        <is>
          <t>468380</t>
        </is>
      </c>
      <c r="D58" s="279" t="inlineStr">
        <is>
          <t>KODEX iShares미국하이일드액티브</t>
        </is>
      </c>
      <c r="E58" s="280" t="n">
        <v>146000</v>
      </c>
      <c r="F58" s="341" t="n"/>
      <c r="G58" s="280" t="n">
        <v>146000</v>
      </c>
      <c r="H58" s="279" t="inlineStr">
        <is>
          <t>실적</t>
        </is>
      </c>
    </row>
    <row r="59">
      <c r="A59" s="344" t="n">
        <v>46051</v>
      </c>
      <c r="B59" s="279" t="n">
        <v>1</v>
      </c>
      <c r="C59" s="279" t="inlineStr">
        <is>
          <t>473330</t>
        </is>
      </c>
      <c r="D59" s="279" t="inlineStr">
        <is>
          <t>SOL 미국 30년국채커버드콜(합성)</t>
        </is>
      </c>
      <c r="E59" s="280" t="n">
        <v>72000</v>
      </c>
      <c r="F59" s="341" t="n"/>
      <c r="G59" s="280" t="n">
        <v>72000</v>
      </c>
      <c r="H59" s="279" t="inlineStr">
        <is>
          <t>실적</t>
        </is>
      </c>
    </row>
    <row r="60">
      <c r="A60" s="344" t="n">
        <v>46051</v>
      </c>
      <c r="B60" s="279" t="n">
        <v>1</v>
      </c>
      <c r="C60" s="279" t="inlineStr">
        <is>
          <t>475380</t>
        </is>
      </c>
      <c r="D60" s="279" t="inlineStr">
        <is>
          <t>RISE 글로벌리얼티인컴</t>
        </is>
      </c>
      <c r="E60" s="280" t="n">
        <v>3131</v>
      </c>
      <c r="F60" s="341" t="n"/>
      <c r="G60" s="280" t="n">
        <v>3131</v>
      </c>
      <c r="H60" s="279" t="inlineStr">
        <is>
          <t>실적</t>
        </is>
      </c>
    </row>
    <row r="61">
      <c r="A61" s="344" t="n">
        <v>46051</v>
      </c>
      <c r="B61" s="279" t="n">
        <v>1</v>
      </c>
      <c r="C61" s="279" t="inlineStr">
        <is>
          <t>476550</t>
        </is>
      </c>
      <c r="D61" s="279" t="inlineStr">
        <is>
          <t>TIGER 미국30년국채커버드콜액티브(H)</t>
        </is>
      </c>
      <c r="E61" s="280" t="n">
        <v>33187</v>
      </c>
      <c r="F61" s="341" t="n"/>
      <c r="G61" s="280" t="n">
        <v>33187</v>
      </c>
      <c r="H61" s="279" t="inlineStr">
        <is>
          <t>실적</t>
        </is>
      </c>
    </row>
    <row r="62">
      <c r="A62" s="344" t="n">
        <v>46051</v>
      </c>
      <c r="B62" s="279" t="n">
        <v>1</v>
      </c>
      <c r="C62" s="279" t="inlineStr">
        <is>
          <t>476690</t>
        </is>
      </c>
      <c r="D62" s="279" t="inlineStr">
        <is>
          <t>TIGER 글로벌비만치료제 TOP2 Plus</t>
        </is>
      </c>
      <c r="E62" s="280" t="n">
        <v>1200</v>
      </c>
      <c r="F62" s="341" t="n"/>
      <c r="G62" s="280" t="n">
        <v>1200</v>
      </c>
      <c r="H62" s="279" t="inlineStr">
        <is>
          <t>실적</t>
        </is>
      </c>
    </row>
    <row r="63">
      <c r="A63" s="344" t="n">
        <v>46051</v>
      </c>
      <c r="B63" s="279" t="n">
        <v>1</v>
      </c>
      <c r="C63" s="279" t="inlineStr">
        <is>
          <t>482730</t>
        </is>
      </c>
      <c r="D63" s="279" t="inlineStr">
        <is>
          <t>미국S&amp;P500타겟데일리커버드콜</t>
        </is>
      </c>
      <c r="E63" s="280" t="n">
        <v>42500</v>
      </c>
      <c r="F63" s="341" t="n"/>
      <c r="G63" s="280" t="n">
        <v>42500</v>
      </c>
      <c r="H63" s="279" t="inlineStr">
        <is>
          <t>실적</t>
        </is>
      </c>
    </row>
    <row r="64">
      <c r="A64" s="344" t="n">
        <v>46051</v>
      </c>
      <c r="B64" s="279" t="n">
        <v>1</v>
      </c>
      <c r="C64" s="279" t="inlineStr">
        <is>
          <t>483280</t>
        </is>
      </c>
      <c r="D64" s="279" t="inlineStr">
        <is>
          <t>KODEX 미국AI테크TOP10타겟커버드콜</t>
        </is>
      </c>
      <c r="E64" s="280" t="n">
        <v>353934</v>
      </c>
      <c r="F64" s="341" t="n"/>
      <c r="G64" s="280" t="n">
        <v>353934</v>
      </c>
      <c r="H64" s="279" t="inlineStr">
        <is>
          <t>실적</t>
        </is>
      </c>
    </row>
    <row r="65">
      <c r="A65" s="344" t="n">
        <v>46051</v>
      </c>
      <c r="B65" s="279" t="n">
        <v>1</v>
      </c>
      <c r="C65" s="279" t="inlineStr">
        <is>
          <t>498270</t>
        </is>
      </c>
      <c r="D65" s="279" t="inlineStr">
        <is>
          <t>KIWOOM 미국양자컴퓨팅</t>
        </is>
      </c>
      <c r="E65" s="280" t="n">
        <v>5940</v>
      </c>
      <c r="F65" s="341" t="n"/>
      <c r="G65" s="280" t="n">
        <v>5940</v>
      </c>
      <c r="H65" s="279" t="inlineStr">
        <is>
          <t>실적</t>
        </is>
      </c>
    </row>
    <row r="66">
      <c r="A66" s="344" t="n">
        <v>46051</v>
      </c>
      <c r="B66" s="279" t="n">
        <v>1</v>
      </c>
      <c r="C66" s="279" t="inlineStr">
        <is>
          <t>498410</t>
        </is>
      </c>
      <c r="D66" s="279" t="inlineStr">
        <is>
          <t>KODEX금융고배당TOP10타겟위클리커버드콜</t>
        </is>
      </c>
      <c r="E66" s="280" t="n">
        <v>368435</v>
      </c>
      <c r="F66" s="341" t="n"/>
      <c r="G66" s="280" t="n">
        <v>368435</v>
      </c>
      <c r="H66" s="279" t="inlineStr">
        <is>
          <t>실적</t>
        </is>
      </c>
    </row>
    <row r="67">
      <c r="A67" s="344" t="n">
        <v>46052</v>
      </c>
      <c r="B67" s="279" t="n">
        <v>1</v>
      </c>
      <c r="C67" s="279" t="inlineStr">
        <is>
          <t>O</t>
        </is>
      </c>
      <c r="D67" s="279" t="inlineStr">
        <is>
          <t>리얼티인컴</t>
        </is>
      </c>
      <c r="E67" s="280" t="n"/>
      <c r="F67" s="341" t="n">
        <v>14.31</v>
      </c>
      <c r="G67" s="280" t="n">
        <v>19561.77</v>
      </c>
      <c r="H67" s="279" t="inlineStr">
        <is>
          <t>실적</t>
        </is>
      </c>
    </row>
    <row r="68">
      <c r="A68" s="344" t="n">
        <v>46062</v>
      </c>
      <c r="B68" s="279" t="n">
        <v>2</v>
      </c>
      <c r="C68" s="279" t="inlineStr">
        <is>
          <t>AAPL</t>
        </is>
      </c>
      <c r="D68" s="279" t="inlineStr">
        <is>
          <t>애플</t>
        </is>
      </c>
      <c r="E68" s="280" t="n"/>
      <c r="F68" s="341" t="n">
        <v>2.34</v>
      </c>
      <c r="G68" s="280" t="n">
        <v>3198.78</v>
      </c>
      <c r="H68" s="279" t="inlineStr">
        <is>
          <t>실적</t>
        </is>
      </c>
    </row>
    <row r="69">
      <c r="A69" s="344" t="n">
        <v>46065</v>
      </c>
      <c r="B69" s="279" t="n">
        <v>2</v>
      </c>
      <c r="C69" s="279" t="inlineStr">
        <is>
          <t>0008S0</t>
        </is>
      </c>
      <c r="D69" s="279" t="inlineStr">
        <is>
          <t>TIGER 미국배당다우존스타겟데일리커버드콜</t>
        </is>
      </c>
      <c r="E69" s="280" t="n">
        <v>306000</v>
      </c>
      <c r="F69" s="341" t="n"/>
      <c r="G69" s="280" t="n">
        <v>306000</v>
      </c>
      <c r="H69" s="279" t="inlineStr">
        <is>
          <t>실적</t>
        </is>
      </c>
    </row>
    <row r="70">
      <c r="A70" s="344" t="n">
        <v>46065</v>
      </c>
      <c r="B70" s="279" t="n">
        <v>2</v>
      </c>
      <c r="C70" s="279" t="inlineStr">
        <is>
          <t>474220</t>
        </is>
      </c>
      <c r="D70" s="279" t="inlineStr">
        <is>
          <t>TIGER미국테크TOP10커버드콜</t>
        </is>
      </c>
      <c r="E70" s="280" t="n">
        <v>589659</v>
      </c>
      <c r="F70" s="341" t="n"/>
      <c r="G70" s="280" t="n">
        <v>589659</v>
      </c>
      <c r="H70" s="279" t="inlineStr">
        <is>
          <t>실적</t>
        </is>
      </c>
    </row>
    <row r="71">
      <c r="A71" s="344" t="n">
        <v>46065</v>
      </c>
      <c r="B71" s="279" t="n">
        <v>2</v>
      </c>
      <c r="C71" s="279" t="inlineStr">
        <is>
          <t>481060</t>
        </is>
      </c>
      <c r="D71" s="279" t="inlineStr">
        <is>
          <t>KODEX 미국30년국채타겟커버드콜(H)</t>
        </is>
      </c>
      <c r="E71" s="280" t="n">
        <v>253980</v>
      </c>
      <c r="F71" s="341" t="n"/>
      <c r="G71" s="280" t="n">
        <v>253980</v>
      </c>
      <c r="H71" s="279" t="inlineStr">
        <is>
          <t>실적</t>
        </is>
      </c>
    </row>
    <row r="72">
      <c r="A72" s="344" t="n">
        <v>46065</v>
      </c>
      <c r="B72" s="279" t="n">
        <v>2</v>
      </c>
      <c r="C72" s="279" t="inlineStr">
        <is>
          <t>490490</t>
        </is>
      </c>
      <c r="D72" s="279" t="inlineStr">
        <is>
          <t>SOL미국배당미국채혼합50</t>
        </is>
      </c>
      <c r="E72" s="280" t="n">
        <v>91704</v>
      </c>
      <c r="F72" s="341" t="n"/>
      <c r="G72" s="280" t="n">
        <v>91704</v>
      </c>
      <c r="H72" s="279" t="inlineStr">
        <is>
          <t>실적</t>
        </is>
      </c>
    </row>
    <row r="73">
      <c r="A73" s="344" t="n">
        <v>46065</v>
      </c>
      <c r="B73" s="279" t="n">
        <v>2</v>
      </c>
      <c r="C73" s="279" t="inlineStr">
        <is>
          <t>498400</t>
        </is>
      </c>
      <c r="D73" s="279" t="inlineStr">
        <is>
          <t>KODEX 200타켓위클리커버드콜</t>
        </is>
      </c>
      <c r="E73" s="280" t="n">
        <v>149084</v>
      </c>
      <c r="F73" s="341" t="n"/>
      <c r="G73" s="280" t="n">
        <v>149084</v>
      </c>
      <c r="H73" s="279" t="inlineStr">
        <is>
          <t>실적</t>
        </is>
      </c>
    </row>
    <row r="74">
      <c r="A74" s="344" t="n">
        <v>46065</v>
      </c>
      <c r="B74" s="279" t="n">
        <v>2</v>
      </c>
      <c r="C74" s="279" t="inlineStr">
        <is>
          <t>XOM</t>
        </is>
      </c>
      <c r="D74" s="279" t="inlineStr">
        <is>
          <t>엑슨모빌</t>
        </is>
      </c>
      <c r="E74" s="280" t="n"/>
      <c r="F74" s="341" t="n">
        <v>1.03</v>
      </c>
      <c r="G74" s="280" t="n">
        <v>1408.01</v>
      </c>
      <c r="H74" s="279" t="inlineStr">
        <is>
          <t>실적</t>
        </is>
      </c>
    </row>
    <row r="75">
      <c r="A75" s="344" t="n">
        <v>46066</v>
      </c>
      <c r="B75" s="279" t="n">
        <v>2</v>
      </c>
      <c r="C75" s="279" t="inlineStr">
        <is>
          <t>SBUX</t>
        </is>
      </c>
      <c r="D75" s="279" t="inlineStr">
        <is>
          <t>스타벅스</t>
        </is>
      </c>
      <c r="E75" s="280" t="n"/>
      <c r="F75" s="341" t="n">
        <v>1.24</v>
      </c>
      <c r="G75" s="280" t="n">
        <v>1695.08</v>
      </c>
      <c r="H75" s="279" t="inlineStr">
        <is>
          <t>실적</t>
        </is>
      </c>
    </row>
    <row r="76">
      <c r="A76" s="344" t="n">
        <v>46070</v>
      </c>
      <c r="B76" s="279" t="n">
        <v>2</v>
      </c>
      <c r="C76" s="279" t="inlineStr">
        <is>
          <t>CVX</t>
        </is>
      </c>
      <c r="D76" s="279" t="inlineStr">
        <is>
          <t>셰브론</t>
        </is>
      </c>
      <c r="E76" s="280" t="n"/>
      <c r="F76" s="341" t="n">
        <v>1.78</v>
      </c>
      <c r="G76" s="280" t="n">
        <v>2433.26</v>
      </c>
      <c r="H76" s="279" t="inlineStr">
        <is>
          <t>실적</t>
        </is>
      </c>
    </row>
    <row r="77">
      <c r="A77" s="344" t="n">
        <v>46072</v>
      </c>
      <c r="B77" s="279" t="n">
        <v>2</v>
      </c>
      <c r="C77" s="279" t="inlineStr">
        <is>
          <t>MSFT</t>
        </is>
      </c>
      <c r="D77" s="279" t="inlineStr">
        <is>
          <t>마이크로소프트</t>
        </is>
      </c>
      <c r="E77" s="280" t="n"/>
      <c r="F77" s="341" t="n">
        <v>1.82</v>
      </c>
      <c r="G77" s="280" t="n">
        <v>2487.94</v>
      </c>
      <c r="H77" s="279" t="inlineStr">
        <is>
          <t>실적</t>
        </is>
      </c>
    </row>
    <row r="78">
      <c r="A78" s="344" t="n">
        <v>46079</v>
      </c>
      <c r="B78" s="279" t="n">
        <v>2</v>
      </c>
      <c r="C78" s="279" t="inlineStr">
        <is>
          <t>005389</t>
        </is>
      </c>
      <c r="D78" s="279" t="inlineStr">
        <is>
          <t>현대차3우B</t>
        </is>
      </c>
      <c r="E78" s="280" t="n">
        <v>33150</v>
      </c>
      <c r="F78" s="341" t="n"/>
      <c r="G78" s="280" t="n">
        <v>33150</v>
      </c>
      <c r="H78" s="279" t="inlineStr">
        <is>
          <t>실적</t>
        </is>
      </c>
    </row>
    <row r="79">
      <c r="A79" s="344" t="n">
        <v>46079</v>
      </c>
      <c r="B79" s="279" t="n">
        <v>2</v>
      </c>
      <c r="C79" s="279" t="n">
        <v>105560</v>
      </c>
      <c r="D79" s="279" t="inlineStr">
        <is>
          <t>KB금융</t>
        </is>
      </c>
      <c r="E79" s="280" t="n">
        <v>19260</v>
      </c>
      <c r="F79" s="341" t="n"/>
      <c r="G79" s="280" t="n">
        <v>19260</v>
      </c>
      <c r="H79" s="279" t="inlineStr">
        <is>
          <t>실적</t>
        </is>
      </c>
    </row>
    <row r="80">
      <c r="A80" s="344" t="n">
        <v>46079</v>
      </c>
      <c r="B80" s="279" t="n">
        <v>2</v>
      </c>
      <c r="C80" s="279" t="inlineStr">
        <is>
          <t>329200</t>
        </is>
      </c>
      <c r="D80" s="279" t="inlineStr">
        <is>
          <t>TIGER리츠부동산인프라</t>
        </is>
      </c>
      <c r="E80" s="280" t="n">
        <v>165000</v>
      </c>
      <c r="F80" s="341" t="n"/>
      <c r="G80" s="280" t="n">
        <v>165000</v>
      </c>
      <c r="H80" s="279" t="inlineStr">
        <is>
          <t>실적</t>
        </is>
      </c>
    </row>
    <row r="81">
      <c r="A81" s="344" t="n">
        <v>46079</v>
      </c>
      <c r="B81" s="279" t="n">
        <v>2</v>
      </c>
      <c r="C81" s="279" t="inlineStr">
        <is>
          <t>433330</t>
        </is>
      </c>
      <c r="D81" s="279" t="inlineStr">
        <is>
          <t>SOL 미국 S&amp;P500</t>
        </is>
      </c>
      <c r="E81" s="280" t="n">
        <v>17836</v>
      </c>
      <c r="F81" s="341" t="n"/>
      <c r="G81" s="280" t="n">
        <v>17836</v>
      </c>
      <c r="H81" s="279" t="inlineStr">
        <is>
          <t>실적</t>
        </is>
      </c>
    </row>
    <row r="82">
      <c r="A82" s="344" t="n">
        <v>46079</v>
      </c>
      <c r="B82" s="279" t="n">
        <v>2</v>
      </c>
      <c r="C82" s="279" t="inlineStr">
        <is>
          <t>446720</t>
        </is>
      </c>
      <c r="D82" s="279" t="inlineStr">
        <is>
          <t>SOL 미국배당다우존스</t>
        </is>
      </c>
      <c r="E82" s="280" t="n">
        <v>46550</v>
      </c>
      <c r="F82" s="341" t="n"/>
      <c r="G82" s="280" t="n">
        <v>46550</v>
      </c>
      <c r="H82" s="279" t="inlineStr">
        <is>
          <t>실적</t>
        </is>
      </c>
    </row>
    <row r="83">
      <c r="A83" s="344" t="n">
        <v>46079</v>
      </c>
      <c r="B83" s="279" t="n">
        <v>2</v>
      </c>
      <c r="C83" s="279" t="inlineStr">
        <is>
          <t>458760</t>
        </is>
      </c>
      <c r="D83" s="279" t="inlineStr">
        <is>
          <t>TIGER 미배당다우커버드콜2호</t>
        </is>
      </c>
      <c r="E83" s="280" t="n">
        <v>1443182</v>
      </c>
      <c r="F83" s="341" t="n"/>
      <c r="G83" s="280" t="n">
        <v>1443182</v>
      </c>
      <c r="H83" s="279" t="inlineStr">
        <is>
          <t>실적</t>
        </is>
      </c>
    </row>
    <row r="84">
      <c r="A84" s="344" t="n">
        <v>46079</v>
      </c>
      <c r="B84" s="279" t="n">
        <v>2</v>
      </c>
      <c r="C84" s="279" t="inlineStr">
        <is>
          <t>468380</t>
        </is>
      </c>
      <c r="D84" s="279" t="inlineStr">
        <is>
          <t>KODEX iShares미국하이일드액티브</t>
        </is>
      </c>
      <c r="E84" s="280" t="n">
        <v>128000</v>
      </c>
      <c r="F84" s="341" t="n"/>
      <c r="G84" s="280" t="n">
        <v>128000</v>
      </c>
      <c r="H84" s="279" t="inlineStr">
        <is>
          <t>실적</t>
        </is>
      </c>
    </row>
    <row r="85">
      <c r="A85" s="344" t="n">
        <v>46079</v>
      </c>
      <c r="B85" s="279" t="n">
        <v>2</v>
      </c>
      <c r="C85" s="279" t="inlineStr">
        <is>
          <t>473330</t>
        </is>
      </c>
      <c r="D85" s="279" t="inlineStr">
        <is>
          <t>SOL 미국 30년국채커버드콜(합성)</t>
        </is>
      </c>
      <c r="E85" s="280" t="n">
        <v>72000</v>
      </c>
      <c r="F85" s="341" t="n"/>
      <c r="G85" s="280" t="n">
        <v>72000</v>
      </c>
      <c r="H85" s="279" t="inlineStr">
        <is>
          <t>실적</t>
        </is>
      </c>
    </row>
    <row r="86">
      <c r="A86" s="344" t="n">
        <v>46079</v>
      </c>
      <c r="B86" s="279" t="n">
        <v>2</v>
      </c>
      <c r="C86" s="279" t="inlineStr">
        <is>
          <t>475380</t>
        </is>
      </c>
      <c r="D86" s="279" t="inlineStr">
        <is>
          <t>RISE 글로벌리얼티인컴</t>
        </is>
      </c>
      <c r="E86" s="280" t="n">
        <v>3131</v>
      </c>
      <c r="F86" s="341" t="n"/>
      <c r="G86" s="280" t="n">
        <v>3131</v>
      </c>
      <c r="H86" s="279" t="inlineStr">
        <is>
          <t>실적</t>
        </is>
      </c>
    </row>
    <row r="87">
      <c r="A87" s="344" t="n">
        <v>46079</v>
      </c>
      <c r="B87" s="279" t="n">
        <v>2</v>
      </c>
      <c r="C87" s="279" t="inlineStr">
        <is>
          <t>476550</t>
        </is>
      </c>
      <c r="D87" s="279" t="inlineStr">
        <is>
          <t>TIGER 미국30년국채커버드콜액티브(H)</t>
        </is>
      </c>
      <c r="E87" s="280" t="n">
        <v>33187</v>
      </c>
      <c r="F87" s="341" t="n"/>
      <c r="G87" s="280" t="n">
        <v>33187</v>
      </c>
      <c r="H87" s="279" t="inlineStr">
        <is>
          <t>실적</t>
        </is>
      </c>
    </row>
    <row r="88">
      <c r="A88" s="344" t="n">
        <v>46079</v>
      </c>
      <c r="B88" s="279" t="n">
        <v>2</v>
      </c>
      <c r="C88" s="279" t="inlineStr">
        <is>
          <t>476690</t>
        </is>
      </c>
      <c r="D88" s="279" t="inlineStr">
        <is>
          <t>TIGER 글로벌비만치료제 TOP2 Plus</t>
        </is>
      </c>
      <c r="E88" s="280" t="n">
        <v>1200</v>
      </c>
      <c r="F88" s="341" t="n"/>
      <c r="G88" s="280" t="n">
        <v>1200</v>
      </c>
      <c r="H88" s="279" t="inlineStr">
        <is>
          <t>실적</t>
        </is>
      </c>
    </row>
    <row r="89">
      <c r="A89" s="344" t="n">
        <v>46079</v>
      </c>
      <c r="B89" s="279" t="n">
        <v>2</v>
      </c>
      <c r="C89" s="279" t="inlineStr">
        <is>
          <t>482730</t>
        </is>
      </c>
      <c r="D89" s="279" t="inlineStr">
        <is>
          <t>미국S&amp;P500타겟데일리커버드콜</t>
        </is>
      </c>
      <c r="E89" s="280" t="n">
        <v>41225</v>
      </c>
      <c r="F89" s="341" t="n"/>
      <c r="G89" s="280" t="n">
        <v>41225</v>
      </c>
      <c r="H89" s="279" t="inlineStr">
        <is>
          <t>실적</t>
        </is>
      </c>
    </row>
    <row r="90">
      <c r="A90" s="344" t="n">
        <v>46079</v>
      </c>
      <c r="B90" s="279" t="n">
        <v>2</v>
      </c>
      <c r="C90" s="279" t="inlineStr">
        <is>
          <t>483280</t>
        </is>
      </c>
      <c r="D90" s="279" t="inlineStr">
        <is>
          <t>KODEX 미국AI테크TOP10타겟커버드콜</t>
        </is>
      </c>
      <c r="E90" s="280" t="n">
        <v>331674</v>
      </c>
      <c r="F90" s="341" t="n"/>
      <c r="G90" s="280" t="n">
        <v>331674</v>
      </c>
      <c r="H90" s="279" t="inlineStr">
        <is>
          <t>실적</t>
        </is>
      </c>
    </row>
    <row r="91">
      <c r="A91" s="344" t="n">
        <v>46079</v>
      </c>
      <c r="B91" s="279" t="n">
        <v>2</v>
      </c>
      <c r="C91" s="279" t="inlineStr">
        <is>
          <t>498410</t>
        </is>
      </c>
      <c r="D91" s="279" t="inlineStr">
        <is>
          <t>KODEX금융고배당TOP10타겟위클리커버드콜</t>
        </is>
      </c>
      <c r="E91" s="280" t="n">
        <v>449253</v>
      </c>
      <c r="F91" s="341" t="n"/>
      <c r="G91" s="280" t="n">
        <v>449253</v>
      </c>
      <c r="H91" s="279" t="inlineStr">
        <is>
          <t>실적</t>
        </is>
      </c>
    </row>
    <row r="92">
      <c r="A92" s="344" t="n">
        <v>46080</v>
      </c>
      <c r="B92" s="279" t="n">
        <v>2</v>
      </c>
      <c r="C92" s="279" t="inlineStr">
        <is>
          <t>O</t>
        </is>
      </c>
      <c r="D92" s="279" t="inlineStr">
        <is>
          <t>리얼티인컴</t>
        </is>
      </c>
      <c r="E92" s="280" t="n"/>
      <c r="F92" s="341" t="n">
        <v>14.31</v>
      </c>
      <c r="G92" s="280" t="n">
        <v>19561.77</v>
      </c>
      <c r="H92" s="279" t="inlineStr">
        <is>
          <t>실적</t>
        </is>
      </c>
    </row>
    <row r="93">
      <c r="A93" s="344" t="n">
        <v>46080</v>
      </c>
      <c r="B93" s="279" t="n">
        <v>2</v>
      </c>
      <c r="C93" s="279" t="inlineStr">
        <is>
          <t>TMUS</t>
        </is>
      </c>
      <c r="D93" s="279" t="inlineStr">
        <is>
          <t>T-모바일</t>
        </is>
      </c>
      <c r="E93" s="280" t="n"/>
      <c r="F93" s="341" t="n">
        <v>4.08</v>
      </c>
      <c r="G93" s="280" t="n">
        <v>5577.36</v>
      </c>
      <c r="H93" s="279" t="inlineStr">
        <is>
          <t>실적</t>
        </is>
      </c>
    </row>
    <row r="94">
      <c r="A94" s="344" t="n">
        <v>46083</v>
      </c>
      <c r="B94" s="279" t="n">
        <v>3</v>
      </c>
      <c r="C94" s="279" t="inlineStr">
        <is>
          <t>NKE</t>
        </is>
      </c>
      <c r="D94" s="279" t="inlineStr">
        <is>
          <t>나이키</t>
        </is>
      </c>
      <c r="E94" s="280" t="n"/>
      <c r="F94" s="341" t="n">
        <v>4.1</v>
      </c>
      <c r="G94" s="280" t="n">
        <v>5604.7</v>
      </c>
      <c r="H94" s="279" t="inlineStr">
        <is>
          <t>실적</t>
        </is>
      </c>
    </row>
    <row r="95">
      <c r="A95" s="344" t="n">
        <v>46093</v>
      </c>
      <c r="B95" s="279" t="n">
        <v>3</v>
      </c>
      <c r="C95" s="279" t="inlineStr">
        <is>
          <t>0008S0</t>
        </is>
      </c>
      <c r="D95" s="279" t="inlineStr">
        <is>
          <t>TIGER 미국배당다우존스타겟데일리커버드콜</t>
        </is>
      </c>
      <c r="E95" s="280" t="n">
        <v>303000</v>
      </c>
      <c r="F95" s="341" t="n"/>
      <c r="G95" s="280" t="n">
        <v>303000</v>
      </c>
      <c r="H95" s="279" t="inlineStr">
        <is>
          <t>실적</t>
        </is>
      </c>
    </row>
    <row r="96">
      <c r="A96" s="344" t="n">
        <v>46093</v>
      </c>
      <c r="B96" s="279" t="n">
        <v>3</v>
      </c>
      <c r="C96" s="279" t="inlineStr">
        <is>
          <t>352820</t>
        </is>
      </c>
      <c r="D96" s="279" t="inlineStr">
        <is>
          <t>하이브</t>
        </is>
      </c>
      <c r="E96" s="280" t="n">
        <v>9000</v>
      </c>
      <c r="F96" s="341" t="n"/>
      <c r="G96" s="280" t="n">
        <v>9000</v>
      </c>
      <c r="H96" s="279" t="inlineStr">
        <is>
          <t>실적</t>
        </is>
      </c>
    </row>
    <row r="97">
      <c r="A97" s="344" t="n">
        <v>46093</v>
      </c>
      <c r="B97" s="279" t="n">
        <v>3</v>
      </c>
      <c r="C97" s="279" t="inlineStr">
        <is>
          <t>474220</t>
        </is>
      </c>
      <c r="D97" s="279" t="inlineStr">
        <is>
          <t>TIGER미국테크TOP10커버드콜</t>
        </is>
      </c>
      <c r="E97" s="280" t="n">
        <v>575946</v>
      </c>
      <c r="F97" s="341" t="n"/>
      <c r="G97" s="280" t="n">
        <v>575946</v>
      </c>
      <c r="H97" s="279" t="inlineStr">
        <is>
          <t>실적</t>
        </is>
      </c>
    </row>
    <row r="98">
      <c r="A98" s="344" t="n">
        <v>46093</v>
      </c>
      <c r="B98" s="279" t="n">
        <v>3</v>
      </c>
      <c r="C98" s="279" t="inlineStr">
        <is>
          <t>481060</t>
        </is>
      </c>
      <c r="D98" s="279" t="inlineStr">
        <is>
          <t>KODEX 미국30년국채타겟커버드콜(H)</t>
        </is>
      </c>
      <c r="E98" s="280" t="n">
        <v>250920</v>
      </c>
      <c r="F98" s="341" t="n"/>
      <c r="G98" s="280" t="n">
        <v>250920</v>
      </c>
      <c r="H98" s="279" t="inlineStr">
        <is>
          <t>실적</t>
        </is>
      </c>
    </row>
    <row r="99">
      <c r="A99" s="344" t="n">
        <v>46093</v>
      </c>
      <c r="B99" s="279" t="n">
        <v>3</v>
      </c>
      <c r="C99" s="279" t="inlineStr">
        <is>
          <t>490490</t>
        </is>
      </c>
      <c r="D99" s="279" t="inlineStr">
        <is>
          <t>SOL미국배당미국채혼합50</t>
        </is>
      </c>
      <c r="E99" s="280" t="n">
        <v>114630</v>
      </c>
      <c r="F99" s="341" t="n"/>
      <c r="G99" s="280" t="n">
        <v>114630</v>
      </c>
      <c r="H99" s="279" t="inlineStr">
        <is>
          <t>실적</t>
        </is>
      </c>
    </row>
    <row r="100">
      <c r="A100" s="344" t="n">
        <v>46093</v>
      </c>
      <c r="B100" s="279" t="n">
        <v>3</v>
      </c>
      <c r="C100" s="279" t="inlineStr">
        <is>
          <t>498400</t>
        </is>
      </c>
      <c r="D100" s="279" t="inlineStr">
        <is>
          <t>KODEX 200타켓위클리커버드콜</t>
        </is>
      </c>
      <c r="E100" s="280" t="n">
        <v>153972</v>
      </c>
      <c r="F100" s="341" t="n"/>
      <c r="G100" s="280" t="n">
        <v>153972</v>
      </c>
      <c r="H100" s="279" t="inlineStr">
        <is>
          <t>실적</t>
        </is>
      </c>
    </row>
    <row r="101">
      <c r="A101" s="344" t="n">
        <v>46098</v>
      </c>
      <c r="B101" s="279" t="n">
        <v>3</v>
      </c>
      <c r="C101" s="279" t="inlineStr">
        <is>
          <t>TSM</t>
        </is>
      </c>
      <c r="D101" s="279" t="inlineStr">
        <is>
          <t>TSMC</t>
        </is>
      </c>
      <c r="E101" s="280" t="n"/>
      <c r="F101" s="341" t="n">
        <v>0.956</v>
      </c>
      <c r="G101" s="280" t="n">
        <v>1306.852</v>
      </c>
      <c r="H101" s="279" t="inlineStr">
        <is>
          <t>실적</t>
        </is>
      </c>
    </row>
    <row r="102">
      <c r="A102" s="344" t="n">
        <v>46105</v>
      </c>
      <c r="B102" s="279" t="n">
        <v>3</v>
      </c>
      <c r="C102" s="279" t="inlineStr">
        <is>
          <t>000270</t>
        </is>
      </c>
      <c r="D102" s="279" t="inlineStr">
        <is>
          <t>기아</t>
        </is>
      </c>
      <c r="E102" s="280" t="n">
        <v>231200</v>
      </c>
      <c r="F102" s="341" t="n"/>
      <c r="G102" s="280" t="n">
        <v>231200</v>
      </c>
      <c r="H102" s="279" t="inlineStr">
        <is>
          <t>실적</t>
        </is>
      </c>
    </row>
    <row r="103">
      <c r="A103" s="344" t="n">
        <v>46106</v>
      </c>
      <c r="B103" s="279" t="n">
        <v>3</v>
      </c>
      <c r="C103" s="279" t="inlineStr">
        <is>
          <t>QLD</t>
        </is>
      </c>
      <c r="D103" s="279" t="inlineStr">
        <is>
          <t>QLD</t>
        </is>
      </c>
      <c r="E103" s="280" t="n"/>
      <c r="F103" s="341" t="n">
        <v>0.806</v>
      </c>
      <c r="G103" s="280" t="n">
        <v>1101.802</v>
      </c>
      <c r="H103" s="279" t="inlineStr">
        <is>
          <t>실적</t>
        </is>
      </c>
    </row>
    <row r="104">
      <c r="A104" s="344" t="n">
        <v>46106</v>
      </c>
      <c r="B104" s="279" t="n">
        <v>3</v>
      </c>
      <c r="C104" s="279" t="inlineStr">
        <is>
          <t>SCHD</t>
        </is>
      </c>
      <c r="D104" s="279" t="inlineStr">
        <is>
          <t>SCHD</t>
        </is>
      </c>
      <c r="E104" s="280" t="n"/>
      <c r="F104" s="341" t="n">
        <v>6.168</v>
      </c>
      <c r="G104" s="280" t="n">
        <v>8431.656000000001</v>
      </c>
      <c r="H104" s="279" t="inlineStr">
        <is>
          <t>실적</t>
        </is>
      </c>
    </row>
    <row r="105">
      <c r="A105" s="345" t="n">
        <v>46109</v>
      </c>
      <c r="B105" s="288" t="n">
        <v>3</v>
      </c>
      <c r="C105" s="288" t="inlineStr">
        <is>
          <t>005389</t>
        </is>
      </c>
      <c r="D105" s="288" t="inlineStr">
        <is>
          <t>현대차3우B</t>
        </is>
      </c>
      <c r="E105" s="289" t="n">
        <v>26000</v>
      </c>
      <c r="F105" s="343" t="n"/>
      <c r="G105" s="289" t="n">
        <v>26000</v>
      </c>
      <c r="H105" s="288" t="inlineStr">
        <is>
          <t>예측</t>
        </is>
      </c>
    </row>
    <row r="106">
      <c r="A106" s="345" t="n">
        <v>46109</v>
      </c>
      <c r="B106" s="288" t="n">
        <v>3</v>
      </c>
      <c r="C106" s="288" t="n">
        <v>105560</v>
      </c>
      <c r="D106" s="288" t="inlineStr">
        <is>
          <t>KB금융</t>
        </is>
      </c>
      <c r="E106" s="289" t="n">
        <v>9408</v>
      </c>
      <c r="F106" s="343" t="n"/>
      <c r="G106" s="289" t="n">
        <v>9408</v>
      </c>
      <c r="H106" s="288" t="inlineStr">
        <is>
          <t>예측</t>
        </is>
      </c>
    </row>
    <row r="107">
      <c r="A107" s="344" t="n">
        <v>46111</v>
      </c>
      <c r="B107" s="279" t="n">
        <v>3</v>
      </c>
      <c r="C107" s="279" t="inlineStr">
        <is>
          <t>005930</t>
        </is>
      </c>
      <c r="D107" s="279" t="inlineStr">
        <is>
          <t>삼성전자</t>
        </is>
      </c>
      <c r="E107" s="280" t="n">
        <v>36828</v>
      </c>
      <c r="F107" s="341" t="n"/>
      <c r="G107" s="280" t="n">
        <v>36828</v>
      </c>
      <c r="H107" s="279" t="inlineStr">
        <is>
          <t>실적</t>
        </is>
      </c>
    </row>
    <row r="108">
      <c r="A108" s="344" t="n">
        <v>46111</v>
      </c>
      <c r="B108" s="279" t="n">
        <v>3</v>
      </c>
      <c r="C108" s="279" t="inlineStr">
        <is>
          <t>024110</t>
        </is>
      </c>
      <c r="D108" s="279" t="inlineStr">
        <is>
          <t>기업은행</t>
        </is>
      </c>
      <c r="E108" s="280" t="n">
        <v>187592</v>
      </c>
      <c r="F108" s="341" t="n"/>
      <c r="G108" s="280" t="n">
        <v>187592</v>
      </c>
      <c r="H108" s="279" t="inlineStr">
        <is>
          <t>실적</t>
        </is>
      </c>
    </row>
    <row r="109">
      <c r="A109" s="344" t="n">
        <v>46111</v>
      </c>
      <c r="B109" s="279" t="n">
        <v>3</v>
      </c>
      <c r="C109" s="279" t="inlineStr">
        <is>
          <t>329200</t>
        </is>
      </c>
      <c r="D109" s="279" t="inlineStr">
        <is>
          <t>TIGER리츠부동산인프라</t>
        </is>
      </c>
      <c r="E109" s="280" t="n">
        <v>165000</v>
      </c>
      <c r="F109" s="341" t="n"/>
      <c r="G109" s="280" t="n">
        <v>165000</v>
      </c>
      <c r="H109" s="279" t="inlineStr">
        <is>
          <t>실적</t>
        </is>
      </c>
    </row>
    <row r="110">
      <c r="A110" s="344" t="n">
        <v>46111</v>
      </c>
      <c r="B110" s="279" t="n">
        <v>3</v>
      </c>
      <c r="C110" s="279" t="inlineStr">
        <is>
          <t>433330</t>
        </is>
      </c>
      <c r="D110" s="279" t="inlineStr">
        <is>
          <t>SOL 미국 S&amp;P500</t>
        </is>
      </c>
      <c r="E110" s="280" t="n">
        <v>26754</v>
      </c>
      <c r="F110" s="341" t="n"/>
      <c r="G110" s="280" t="n">
        <v>26754</v>
      </c>
      <c r="H110" s="279" t="inlineStr">
        <is>
          <t>실적</t>
        </is>
      </c>
    </row>
    <row r="111">
      <c r="A111" s="344" t="n">
        <v>46111</v>
      </c>
      <c r="B111" s="279" t="n">
        <v>3</v>
      </c>
      <c r="C111" s="279" t="inlineStr">
        <is>
          <t>446720</t>
        </is>
      </c>
      <c r="D111" s="279" t="inlineStr">
        <is>
          <t>SOL 미국배당다우존스</t>
        </is>
      </c>
      <c r="E111" s="280" t="n">
        <v>43890</v>
      </c>
      <c r="F111" s="341" t="n"/>
      <c r="G111" s="280" t="n">
        <v>43890</v>
      </c>
      <c r="H111" s="279" t="inlineStr">
        <is>
          <t>실적</t>
        </is>
      </c>
    </row>
    <row r="112">
      <c r="A112" s="344" t="n">
        <v>46111</v>
      </c>
      <c r="B112" s="279" t="n">
        <v>3</v>
      </c>
      <c r="C112" s="279" t="inlineStr">
        <is>
          <t>458760</t>
        </is>
      </c>
      <c r="D112" s="279" t="inlineStr">
        <is>
          <t>TIGER 미배당다우커버드콜2호</t>
        </is>
      </c>
      <c r="E112" s="280" t="n">
        <v>1443182</v>
      </c>
      <c r="F112" s="341" t="n"/>
      <c r="G112" s="280" t="n">
        <v>1443182</v>
      </c>
      <c r="H112" s="279" t="inlineStr">
        <is>
          <t>실적</t>
        </is>
      </c>
    </row>
    <row r="113">
      <c r="A113" s="344" t="n">
        <v>46111</v>
      </c>
      <c r="B113" s="279" t="n">
        <v>3</v>
      </c>
      <c r="C113" s="279" t="inlineStr">
        <is>
          <t>468380</t>
        </is>
      </c>
      <c r="D113" s="279" t="inlineStr">
        <is>
          <t>KODEX iShares미국하이일드액티브</t>
        </is>
      </c>
      <c r="E113" s="280" t="n">
        <v>118000</v>
      </c>
      <c r="F113" s="341" t="n"/>
      <c r="G113" s="280" t="n">
        <v>118000</v>
      </c>
      <c r="H113" s="279" t="inlineStr">
        <is>
          <t>실적</t>
        </is>
      </c>
    </row>
    <row r="114">
      <c r="A114" s="344" t="n">
        <v>46111</v>
      </c>
      <c r="B114" s="279" t="n">
        <v>3</v>
      </c>
      <c r="C114" s="279" t="inlineStr">
        <is>
          <t>473330</t>
        </is>
      </c>
      <c r="D114" s="279" t="inlineStr">
        <is>
          <t>SOL 미국 30년국채커버드콜(합성)</t>
        </is>
      </c>
      <c r="E114" s="280" t="n">
        <v>73920</v>
      </c>
      <c r="F114" s="341" t="n"/>
      <c r="G114" s="280" t="n">
        <v>73920</v>
      </c>
      <c r="H114" s="279" t="inlineStr">
        <is>
          <t>실적</t>
        </is>
      </c>
    </row>
    <row r="115">
      <c r="A115" s="344" t="n">
        <v>46111</v>
      </c>
      <c r="B115" s="279" t="n">
        <v>3</v>
      </c>
      <c r="C115" s="279" t="inlineStr">
        <is>
          <t>475380</t>
        </is>
      </c>
      <c r="D115" s="279" t="inlineStr">
        <is>
          <t>RISE 글로벌리얼티인컴</t>
        </is>
      </c>
      <c r="E115" s="280" t="n">
        <v>3333</v>
      </c>
      <c r="F115" s="341" t="n"/>
      <c r="G115" s="280" t="n">
        <v>3333</v>
      </c>
      <c r="H115" s="279" t="inlineStr">
        <is>
          <t>실적</t>
        </is>
      </c>
    </row>
    <row r="116">
      <c r="A116" s="344" t="n">
        <v>46111</v>
      </c>
      <c r="B116" s="279" t="n">
        <v>3</v>
      </c>
      <c r="C116" s="279" t="inlineStr">
        <is>
          <t>476550</t>
        </is>
      </c>
      <c r="D116" s="279" t="inlineStr">
        <is>
          <t>TIGER 미국30년국채커버드콜액티브(H)</t>
        </is>
      </c>
      <c r="E116" s="280" t="n">
        <v>32325</v>
      </c>
      <c r="F116" s="341" t="n"/>
      <c r="G116" s="280" t="n">
        <v>32325</v>
      </c>
      <c r="H116" s="279" t="inlineStr">
        <is>
          <t>실적</t>
        </is>
      </c>
    </row>
    <row r="117">
      <c r="A117" s="344" t="n">
        <v>46111</v>
      </c>
      <c r="B117" s="279" t="n">
        <v>3</v>
      </c>
      <c r="C117" s="279" t="inlineStr">
        <is>
          <t>476690</t>
        </is>
      </c>
      <c r="D117" s="279" t="inlineStr">
        <is>
          <t>TIGER 글로벌비만치료제 TOP2 Plus</t>
        </is>
      </c>
      <c r="E117" s="280" t="n">
        <v>3300</v>
      </c>
      <c r="F117" s="341" t="n"/>
      <c r="G117" s="280" t="n">
        <v>3300</v>
      </c>
      <c r="H117" s="279" t="inlineStr">
        <is>
          <t>실적</t>
        </is>
      </c>
    </row>
    <row r="118">
      <c r="A118" s="344" t="n">
        <v>46111</v>
      </c>
      <c r="B118" s="279" t="n">
        <v>3</v>
      </c>
      <c r="C118" s="279" t="inlineStr">
        <is>
          <t>482730</t>
        </is>
      </c>
      <c r="D118" s="279" t="inlineStr">
        <is>
          <t>미국S&amp;P500타겟데일리커버드콜</t>
        </is>
      </c>
      <c r="E118" s="280" t="n">
        <v>41225</v>
      </c>
      <c r="F118" s="341" t="n"/>
      <c r="G118" s="280" t="n">
        <v>41225</v>
      </c>
      <c r="H118" s="279" t="inlineStr">
        <is>
          <t>실적</t>
        </is>
      </c>
    </row>
    <row r="119">
      <c r="A119" s="344" t="n">
        <v>46111</v>
      </c>
      <c r="B119" s="279" t="n">
        <v>3</v>
      </c>
      <c r="C119" s="279" t="inlineStr">
        <is>
          <t>483280</t>
        </is>
      </c>
      <c r="D119" s="279" t="inlineStr">
        <is>
          <t>KODEX 미국AI테크TOP10타겟커버드콜</t>
        </is>
      </c>
      <c r="E119" s="280" t="n">
        <v>329448</v>
      </c>
      <c r="F119" s="341" t="n"/>
      <c r="G119" s="280" t="n">
        <v>329448</v>
      </c>
      <c r="H119" s="279" t="inlineStr">
        <is>
          <t>실적</t>
        </is>
      </c>
    </row>
    <row r="120">
      <c r="A120" s="344" t="n">
        <v>46111</v>
      </c>
      <c r="B120" s="279" t="n">
        <v>3</v>
      </c>
      <c r="C120" s="279" t="inlineStr">
        <is>
          <t>498410</t>
        </is>
      </c>
      <c r="D120" s="279" t="inlineStr">
        <is>
          <t>KODEX금융고배당TOP10타겟위클리커버드콜</t>
        </is>
      </c>
      <c r="E120" s="280" t="n">
        <v>385074</v>
      </c>
      <c r="F120" s="341" t="n"/>
      <c r="G120" s="280" t="n">
        <v>385074</v>
      </c>
      <c r="H120" s="279" t="inlineStr">
        <is>
          <t>실적</t>
        </is>
      </c>
    </row>
    <row r="121">
      <c r="A121" s="344" t="n">
        <v>46111</v>
      </c>
      <c r="B121" s="279" t="n">
        <v>3</v>
      </c>
      <c r="C121" s="279" t="inlineStr">
        <is>
          <t>NVO</t>
        </is>
      </c>
      <c r="D121" s="279" t="inlineStr">
        <is>
          <t>노보 노디스크</t>
        </is>
      </c>
      <c r="E121" s="280" t="n"/>
      <c r="F121" s="341" t="n">
        <v>19.125</v>
      </c>
      <c r="G121" s="280" t="n">
        <v>26143.875</v>
      </c>
      <c r="H121" s="279" t="inlineStr">
        <is>
          <t>실적</t>
        </is>
      </c>
    </row>
    <row r="122">
      <c r="A122" s="344" t="n">
        <v>46112</v>
      </c>
      <c r="B122" s="279" t="n">
        <v>3</v>
      </c>
      <c r="C122" s="279" t="inlineStr">
        <is>
          <t>O</t>
        </is>
      </c>
      <c r="D122" s="279" t="inlineStr">
        <is>
          <t>리얼티인컴</t>
        </is>
      </c>
      <c r="E122" s="280" t="n"/>
      <c r="F122" s="341" t="n">
        <v>14.363</v>
      </c>
      <c r="G122" s="280" t="n">
        <v>19634.221</v>
      </c>
      <c r="H122" s="279" t="inlineStr">
        <is>
          <t>실적</t>
        </is>
      </c>
    </row>
    <row r="123">
      <c r="A123" s="344" t="n">
        <v>46114</v>
      </c>
      <c r="B123" s="279" t="n">
        <v>4</v>
      </c>
      <c r="C123" s="279" t="inlineStr">
        <is>
          <t>475560</t>
        </is>
      </c>
      <c r="D123" s="279" t="inlineStr">
        <is>
          <t>더본코리아</t>
        </is>
      </c>
      <c r="E123" s="280" t="n">
        <v>7500</v>
      </c>
      <c r="F123" s="341" t="n"/>
      <c r="G123" s="280" t="n">
        <v>7500</v>
      </c>
      <c r="H123" s="279" t="inlineStr">
        <is>
          <t>실적</t>
        </is>
      </c>
    </row>
    <row r="124">
      <c r="A124" s="344" t="n">
        <v>46121</v>
      </c>
      <c r="B124" s="279" t="n">
        <v>4</v>
      </c>
      <c r="C124" s="279" t="inlineStr">
        <is>
          <t>ORCL</t>
        </is>
      </c>
      <c r="D124" s="279" t="inlineStr">
        <is>
          <t>오라클</t>
        </is>
      </c>
      <c r="E124" s="280" t="n"/>
      <c r="F124" s="341" t="n">
        <v>1</v>
      </c>
      <c r="G124" s="280" t="n">
        <v>1367</v>
      </c>
      <c r="H124" s="279" t="inlineStr">
        <is>
          <t>실적</t>
        </is>
      </c>
    </row>
    <row r="125">
      <c r="A125" s="344" t="n">
        <v>46126</v>
      </c>
      <c r="B125" s="279" t="n">
        <v>4</v>
      </c>
      <c r="C125" s="279" t="inlineStr">
        <is>
          <t>0008S0</t>
        </is>
      </c>
      <c r="D125" s="279" t="inlineStr">
        <is>
          <t>TIGER 미국배당다우존스타겟데일리커버드콜</t>
        </is>
      </c>
      <c r="E125" s="280" t="n">
        <v>303000</v>
      </c>
      <c r="F125" s="341" t="n"/>
      <c r="G125" s="280" t="n">
        <v>303000</v>
      </c>
      <c r="H125" s="279" t="inlineStr">
        <is>
          <t>실적</t>
        </is>
      </c>
    </row>
    <row r="126">
      <c r="A126" s="344" t="n">
        <v>46126</v>
      </c>
      <c r="B126" s="279" t="n">
        <v>4</v>
      </c>
      <c r="C126" s="279" t="inlineStr">
        <is>
          <t>474220</t>
        </is>
      </c>
      <c r="D126" s="279" t="inlineStr">
        <is>
          <t>TIGER미국테크TOP10커버드콜</t>
        </is>
      </c>
      <c r="E126" s="280" t="n">
        <v>575946</v>
      </c>
      <c r="F126" s="341" t="n"/>
      <c r="G126" s="280" t="n">
        <v>575946</v>
      </c>
      <c r="H126" s="279" t="inlineStr">
        <is>
          <t>실적</t>
        </is>
      </c>
    </row>
    <row r="127">
      <c r="A127" s="344" t="n">
        <v>46126</v>
      </c>
      <c r="B127" s="279" t="n">
        <v>4</v>
      </c>
      <c r="C127" s="279" t="inlineStr">
        <is>
          <t>481060</t>
        </is>
      </c>
      <c r="D127" s="279" t="inlineStr">
        <is>
          <t>KODEX 미국30년국채타겟커버드콜(H)</t>
        </is>
      </c>
      <c r="E127" s="280" t="n">
        <v>244800</v>
      </c>
      <c r="F127" s="341" t="n"/>
      <c r="G127" s="280" t="n">
        <v>244800</v>
      </c>
      <c r="H127" s="279" t="inlineStr">
        <is>
          <t>실적</t>
        </is>
      </c>
    </row>
    <row r="128">
      <c r="A128" s="344" t="n">
        <v>46126</v>
      </c>
      <c r="B128" s="279" t="n">
        <v>4</v>
      </c>
      <c r="C128" s="279" t="inlineStr">
        <is>
          <t>490490</t>
        </is>
      </c>
      <c r="D128" s="279" t="inlineStr">
        <is>
          <t>SOL미국배당미국채혼합50</t>
        </is>
      </c>
      <c r="E128" s="280" t="n">
        <v>114630</v>
      </c>
      <c r="F128" s="341" t="n"/>
      <c r="G128" s="280" t="n">
        <v>114630</v>
      </c>
      <c r="H128" s="279" t="inlineStr">
        <is>
          <t>실적</t>
        </is>
      </c>
    </row>
    <row r="129">
      <c r="A129" s="344" t="n">
        <v>46126</v>
      </c>
      <c r="B129" s="279" t="n">
        <v>4</v>
      </c>
      <c r="C129" s="279" t="inlineStr">
        <is>
          <t>498400</t>
        </is>
      </c>
      <c r="D129" s="279" t="inlineStr">
        <is>
          <t>KODEX 200타켓위클리커버드콜</t>
        </is>
      </c>
      <c r="E129" s="280" t="n">
        <v>160082</v>
      </c>
      <c r="F129" s="341" t="n"/>
      <c r="G129" s="280" t="n">
        <v>160082</v>
      </c>
      <c r="H129" s="279" t="inlineStr">
        <is>
          <t>실적</t>
        </is>
      </c>
    </row>
    <row r="130">
      <c r="A130" s="344" t="n">
        <v>46126</v>
      </c>
      <c r="B130" s="279" t="n">
        <v>4</v>
      </c>
      <c r="C130" s="279" t="inlineStr">
        <is>
          <t>AMT</t>
        </is>
      </c>
      <c r="D130" s="279" t="inlineStr">
        <is>
          <t>아메리칸타워</t>
        </is>
      </c>
      <c r="E130" s="280" t="n"/>
      <c r="F130" s="341" t="n">
        <v>8.949999999999999</v>
      </c>
      <c r="G130" s="280" t="n">
        <v>12234.65</v>
      </c>
      <c r="H130" s="279" t="inlineStr">
        <is>
          <t>실적</t>
        </is>
      </c>
    </row>
    <row r="131">
      <c r="A131" s="344" t="n">
        <v>46141</v>
      </c>
      <c r="B131" s="279" t="n">
        <v>4</v>
      </c>
      <c r="C131" s="279" t="inlineStr">
        <is>
          <t>133690</t>
        </is>
      </c>
      <c r="D131" s="279" t="inlineStr">
        <is>
          <t>TIGER 미국나스닥100</t>
        </is>
      </c>
      <c r="E131" s="280" t="n">
        <v>13395</v>
      </c>
      <c r="F131" s="341" t="n"/>
      <c r="G131" s="280" t="n">
        <v>13395</v>
      </c>
      <c r="H131" s="279" t="inlineStr">
        <is>
          <t>실적</t>
        </is>
      </c>
    </row>
    <row r="132">
      <c r="A132" s="344" t="n">
        <v>46141</v>
      </c>
      <c r="B132" s="279" t="n">
        <v>4</v>
      </c>
      <c r="C132" s="279" t="inlineStr">
        <is>
          <t>329200</t>
        </is>
      </c>
      <c r="D132" s="279" t="inlineStr">
        <is>
          <t>TIGER리츠부동산인프라</t>
        </is>
      </c>
      <c r="E132" s="280" t="n">
        <v>165000</v>
      </c>
      <c r="F132" s="341" t="n"/>
      <c r="G132" s="280" t="n">
        <v>165000</v>
      </c>
      <c r="H132" s="279" t="inlineStr">
        <is>
          <t>실적</t>
        </is>
      </c>
    </row>
    <row r="133">
      <c r="A133" s="344" t="n">
        <v>46141</v>
      </c>
      <c r="B133" s="279" t="n">
        <v>4</v>
      </c>
      <c r="C133" s="279" t="inlineStr">
        <is>
          <t>360750</t>
        </is>
      </c>
      <c r="D133" s="279" t="inlineStr">
        <is>
          <t>TIGER미국S&amp;P500</t>
        </is>
      </c>
      <c r="E133" s="280" t="n">
        <v>13578</v>
      </c>
      <c r="F133" s="341" t="n"/>
      <c r="G133" s="280" t="n">
        <v>13578</v>
      </c>
      <c r="H133" s="279" t="inlineStr">
        <is>
          <t>실적</t>
        </is>
      </c>
    </row>
    <row r="134">
      <c r="A134" s="345" t="n">
        <v>46141</v>
      </c>
      <c r="B134" s="288" t="n">
        <v>4</v>
      </c>
      <c r="C134" s="288" t="inlineStr">
        <is>
          <t>364980</t>
        </is>
      </c>
      <c r="D134" s="288" t="inlineStr">
        <is>
          <t>TIGER 2차전지TOP10</t>
        </is>
      </c>
      <c r="E134" s="289" t="n">
        <v>5104</v>
      </c>
      <c r="F134" s="343" t="n"/>
      <c r="G134" s="289" t="n">
        <v>5104</v>
      </c>
      <c r="H134" s="288" t="inlineStr">
        <is>
          <t>예측</t>
        </is>
      </c>
    </row>
    <row r="135">
      <c r="A135" s="344" t="n">
        <v>46141</v>
      </c>
      <c r="B135" s="279" t="n">
        <v>4</v>
      </c>
      <c r="C135" s="279" t="inlineStr">
        <is>
          <t>367380</t>
        </is>
      </c>
      <c r="D135" s="279" t="inlineStr">
        <is>
          <t>ACE 미국나스닥100</t>
        </is>
      </c>
      <c r="E135" s="280" t="n">
        <v>13520</v>
      </c>
      <c r="F135" s="341" t="n"/>
      <c r="G135" s="280" t="n">
        <v>13520</v>
      </c>
      <c r="H135" s="279" t="inlineStr">
        <is>
          <t>실적</t>
        </is>
      </c>
    </row>
    <row r="136">
      <c r="A136" s="344" t="n">
        <v>46141</v>
      </c>
      <c r="B136" s="279" t="n">
        <v>4</v>
      </c>
      <c r="C136" s="279" t="inlineStr">
        <is>
          <t>379810</t>
        </is>
      </c>
      <c r="D136" s="279" t="inlineStr">
        <is>
          <t>KODEX 미국나스닥100</t>
        </is>
      </c>
      <c r="E136" s="280" t="n">
        <v>26792</v>
      </c>
      <c r="F136" s="341" t="n"/>
      <c r="G136" s="280" t="n">
        <v>26792</v>
      </c>
      <c r="H136" s="279" t="inlineStr">
        <is>
          <t>실적</t>
        </is>
      </c>
    </row>
    <row r="137">
      <c r="A137" s="344" t="n">
        <v>46141</v>
      </c>
      <c r="B137" s="279" t="n">
        <v>4</v>
      </c>
      <c r="C137" s="279" t="inlineStr">
        <is>
          <t>433330</t>
        </is>
      </c>
      <c r="D137" s="279" t="inlineStr">
        <is>
          <t>SOL 미국 S&amp;P500</t>
        </is>
      </c>
      <c r="E137" s="280" t="n">
        <v>12740</v>
      </c>
      <c r="F137" s="341" t="n"/>
      <c r="G137" s="280" t="n">
        <v>12740</v>
      </c>
      <c r="H137" s="279" t="inlineStr">
        <is>
          <t>실적</t>
        </is>
      </c>
    </row>
    <row r="138">
      <c r="A138" s="344" t="n">
        <v>46141</v>
      </c>
      <c r="B138" s="279" t="n">
        <v>4</v>
      </c>
      <c r="C138" s="279" t="inlineStr">
        <is>
          <t>446720</t>
        </is>
      </c>
      <c r="D138" s="279" t="inlineStr">
        <is>
          <t>SOL 미국배당다우존스</t>
        </is>
      </c>
      <c r="E138" s="280" t="n">
        <v>39900</v>
      </c>
      <c r="F138" s="341" t="n"/>
      <c r="G138" s="280" t="n">
        <v>39900</v>
      </c>
      <c r="H138" s="279" t="inlineStr">
        <is>
          <t>실적</t>
        </is>
      </c>
    </row>
    <row r="139">
      <c r="A139" s="344" t="n">
        <v>46141</v>
      </c>
      <c r="B139" s="279" t="n">
        <v>4</v>
      </c>
      <c r="C139" s="279" t="inlineStr">
        <is>
          <t>458760</t>
        </is>
      </c>
      <c r="D139" s="279" t="inlineStr">
        <is>
          <t>TIGER 미배당다우커버드콜2호</t>
        </is>
      </c>
      <c r="E139" s="280" t="n">
        <v>1412476</v>
      </c>
      <c r="F139" s="341" t="n"/>
      <c r="G139" s="280" t="n">
        <v>1412476</v>
      </c>
      <c r="H139" s="279" t="inlineStr">
        <is>
          <t>실적</t>
        </is>
      </c>
    </row>
    <row r="140">
      <c r="A140" s="344" t="n">
        <v>46141</v>
      </c>
      <c r="B140" s="279" t="n">
        <v>4</v>
      </c>
      <c r="C140" s="279" t="inlineStr">
        <is>
          <t>468380</t>
        </is>
      </c>
      <c r="D140" s="279" t="inlineStr">
        <is>
          <t>KODEX iShares미국하이일드액티브</t>
        </is>
      </c>
      <c r="E140" s="280" t="n">
        <v>142000</v>
      </c>
      <c r="F140" s="341" t="n"/>
      <c r="G140" s="280" t="n">
        <v>142000</v>
      </c>
      <c r="H140" s="279" t="inlineStr">
        <is>
          <t>실적</t>
        </is>
      </c>
    </row>
    <row r="141">
      <c r="A141" s="344" t="n">
        <v>46141</v>
      </c>
      <c r="B141" s="279" t="n">
        <v>4</v>
      </c>
      <c r="C141" s="279" t="inlineStr">
        <is>
          <t>473330</t>
        </is>
      </c>
      <c r="D141" s="279" t="inlineStr">
        <is>
          <t>SOL 미국 30년국채커버드콜(합성)</t>
        </is>
      </c>
      <c r="E141" s="280" t="n">
        <v>91200</v>
      </c>
      <c r="F141" s="341" t="n"/>
      <c r="G141" s="280" t="n">
        <v>91200</v>
      </c>
      <c r="H141" s="279" t="inlineStr">
        <is>
          <t>실적</t>
        </is>
      </c>
    </row>
    <row r="142">
      <c r="A142" s="344" t="n">
        <v>46141</v>
      </c>
      <c r="B142" s="279" t="n">
        <v>4</v>
      </c>
      <c r="C142" s="279" t="inlineStr">
        <is>
          <t>475380</t>
        </is>
      </c>
      <c r="D142" s="279" t="inlineStr">
        <is>
          <t>RISE 글로벌리얼티인컴</t>
        </is>
      </c>
      <c r="E142" s="280" t="n">
        <v>3535</v>
      </c>
      <c r="F142" s="341" t="n"/>
      <c r="G142" s="280" t="n">
        <v>3535</v>
      </c>
      <c r="H142" s="279" t="inlineStr">
        <is>
          <t>실적</t>
        </is>
      </c>
    </row>
    <row r="143">
      <c r="A143" s="344" t="n">
        <v>46141</v>
      </c>
      <c r="B143" s="279" t="n">
        <v>4</v>
      </c>
      <c r="C143" s="279" t="inlineStr">
        <is>
          <t>476550</t>
        </is>
      </c>
      <c r="D143" s="279" t="inlineStr">
        <is>
          <t>TIGER 미국30년국채커버드콜액티브(H)</t>
        </is>
      </c>
      <c r="E143" s="280" t="n">
        <v>31894</v>
      </c>
      <c r="F143" s="341" t="n"/>
      <c r="G143" s="280" t="n">
        <v>31894</v>
      </c>
      <c r="H143" s="279" t="inlineStr">
        <is>
          <t>실적</t>
        </is>
      </c>
    </row>
    <row r="144">
      <c r="A144" s="344" t="n">
        <v>46141</v>
      </c>
      <c r="B144" s="279" t="n">
        <v>4</v>
      </c>
      <c r="C144" s="279" t="inlineStr">
        <is>
          <t>476690</t>
        </is>
      </c>
      <c r="D144" s="279" t="inlineStr">
        <is>
          <t>TIGER 글로벌비만치료제 TOP2 Plus</t>
        </is>
      </c>
      <c r="E144" s="280" t="n">
        <v>1200</v>
      </c>
      <c r="F144" s="341" t="n"/>
      <c r="G144" s="280" t="n">
        <v>1200</v>
      </c>
      <c r="H144" s="279" t="inlineStr">
        <is>
          <t>실적</t>
        </is>
      </c>
    </row>
    <row r="145">
      <c r="A145" s="344" t="n">
        <v>46141</v>
      </c>
      <c r="B145" s="279" t="n">
        <v>4</v>
      </c>
      <c r="C145" s="279" t="inlineStr">
        <is>
          <t>482730</t>
        </is>
      </c>
      <c r="D145" s="279" t="inlineStr">
        <is>
          <t>미국S&amp;P500타겟데일리커버드콜</t>
        </is>
      </c>
      <c r="E145" s="280" t="n">
        <v>42925</v>
      </c>
      <c r="F145" s="341" t="n"/>
      <c r="G145" s="280" t="n">
        <v>42925</v>
      </c>
      <c r="H145" s="279" t="inlineStr">
        <is>
          <t>실적</t>
        </is>
      </c>
    </row>
    <row r="146">
      <c r="A146" s="344" t="n">
        <v>46141</v>
      </c>
      <c r="B146" s="279" t="n">
        <v>4</v>
      </c>
      <c r="C146" s="279" t="inlineStr">
        <is>
          <t>483280</t>
        </is>
      </c>
      <c r="D146" s="279" t="inlineStr">
        <is>
          <t>KODEX 미국AI테크TOP10타겟커버드콜</t>
        </is>
      </c>
      <c r="E146" s="280" t="n">
        <v>356160</v>
      </c>
      <c r="F146" s="341" t="n"/>
      <c r="G146" s="280" t="n">
        <v>356160</v>
      </c>
      <c r="H146" s="279" t="inlineStr">
        <is>
          <t>실적</t>
        </is>
      </c>
    </row>
    <row r="147">
      <c r="A147" s="344" t="n">
        <v>46141</v>
      </c>
      <c r="B147" s="279" t="n">
        <v>4</v>
      </c>
      <c r="C147" s="279" t="inlineStr">
        <is>
          <t>498270</t>
        </is>
      </c>
      <c r="D147" s="279" t="inlineStr">
        <is>
          <t>KIWOOM 미국양자컴퓨팅</t>
        </is>
      </c>
      <c r="E147" s="280" t="n">
        <v>3564</v>
      </c>
      <c r="F147" s="341" t="n"/>
      <c r="G147" s="280" t="n">
        <v>3564</v>
      </c>
      <c r="H147" s="279" t="inlineStr">
        <is>
          <t>실적</t>
        </is>
      </c>
    </row>
    <row r="148">
      <c r="A148" s="344" t="n">
        <v>46141</v>
      </c>
      <c r="B148" s="279" t="n">
        <v>4</v>
      </c>
      <c r="C148" s="279" t="inlineStr">
        <is>
          <t>498410</t>
        </is>
      </c>
      <c r="D148" s="279" t="inlineStr">
        <is>
          <t>KODEX금융고배당TOP10타겟위클리커버드콜</t>
        </is>
      </c>
      <c r="E148" s="280" t="n">
        <v>392205</v>
      </c>
      <c r="F148" s="341" t="n"/>
      <c r="G148" s="280" t="n">
        <v>392205</v>
      </c>
      <c r="H148" s="279" t="inlineStr">
        <is>
          <t>실적</t>
        </is>
      </c>
    </row>
    <row r="149">
      <c r="A149" s="344" t="n">
        <v>46142</v>
      </c>
      <c r="B149" s="279" t="n">
        <v>4</v>
      </c>
      <c r="C149" s="279" t="inlineStr">
        <is>
          <t>O</t>
        </is>
      </c>
      <c r="D149" s="279" t="inlineStr">
        <is>
          <t>리얼티인컴</t>
        </is>
      </c>
      <c r="E149" s="280" t="n"/>
      <c r="F149" s="341" t="n">
        <v>14.363</v>
      </c>
      <c r="G149" s="280" t="n">
        <v>19634.221</v>
      </c>
      <c r="H149" s="279" t="inlineStr">
        <is>
          <t>실적</t>
        </is>
      </c>
    </row>
    <row r="150">
      <c r="A150" s="344" t="n">
        <v>46149</v>
      </c>
      <c r="B150" s="279" t="n">
        <v>5</v>
      </c>
      <c r="C150" s="279" t="n">
        <v>105560</v>
      </c>
      <c r="D150" s="279" t="inlineStr">
        <is>
          <t>KB금융</t>
        </is>
      </c>
      <c r="E150" s="280" t="n">
        <v>13716</v>
      </c>
      <c r="F150" s="341" t="n"/>
      <c r="G150" s="280" t="n">
        <v>13716</v>
      </c>
      <c r="H150" s="279" t="inlineStr">
        <is>
          <t>실적</t>
        </is>
      </c>
    </row>
    <row r="151">
      <c r="A151" s="344" t="n">
        <v>46153</v>
      </c>
      <c r="B151" s="279" t="n">
        <v>5</v>
      </c>
      <c r="C151" s="279" t="inlineStr">
        <is>
          <t>AAPL</t>
        </is>
      </c>
      <c r="D151" s="279" t="inlineStr">
        <is>
          <t>애플</t>
        </is>
      </c>
      <c r="E151" s="280" t="n"/>
      <c r="F151" s="341" t="n">
        <v>2.43</v>
      </c>
      <c r="G151" s="280" t="n">
        <v>3321.81</v>
      </c>
      <c r="H151" s="279" t="inlineStr">
        <is>
          <t>실적</t>
        </is>
      </c>
    </row>
    <row r="152">
      <c r="A152" s="344" t="n">
        <v>46156</v>
      </c>
      <c r="B152" s="279" t="n">
        <v>5</v>
      </c>
      <c r="C152" s="279" t="inlineStr">
        <is>
          <t>0008S0</t>
        </is>
      </c>
      <c r="D152" s="279" t="inlineStr">
        <is>
          <t>TIGER 미국배당다우존스타겟데일리커버드콜</t>
        </is>
      </c>
      <c r="E152" s="280" t="n">
        <v>306000</v>
      </c>
      <c r="F152" s="341" t="n"/>
      <c r="G152" s="280" t="n">
        <v>306000</v>
      </c>
      <c r="H152" s="279" t="inlineStr">
        <is>
          <t>실적</t>
        </is>
      </c>
    </row>
    <row r="153">
      <c r="A153" s="344" t="n">
        <v>46156</v>
      </c>
      <c r="B153" s="279" t="n">
        <v>5</v>
      </c>
      <c r="C153" s="279" t="inlineStr">
        <is>
          <t>474220</t>
        </is>
      </c>
      <c r="D153" s="279" t="inlineStr">
        <is>
          <t>TIGER미국테크TOP10커버드콜</t>
        </is>
      </c>
      <c r="E153" s="280" t="n">
        <v>630798</v>
      </c>
      <c r="F153" s="341" t="n"/>
      <c r="G153" s="280" t="n">
        <v>630798</v>
      </c>
      <c r="H153" s="279" t="inlineStr">
        <is>
          <t>실적</t>
        </is>
      </c>
    </row>
    <row r="154">
      <c r="A154" s="344" t="n">
        <v>46156</v>
      </c>
      <c r="B154" s="279" t="n">
        <v>5</v>
      </c>
      <c r="C154" s="279" t="inlineStr">
        <is>
          <t>481060</t>
        </is>
      </c>
      <c r="D154" s="279" t="inlineStr">
        <is>
          <t>KODEX 미국30년국채타겟커버드콜(H)</t>
        </is>
      </c>
      <c r="E154" s="280" t="n">
        <v>241740</v>
      </c>
      <c r="F154" s="341" t="n"/>
      <c r="G154" s="280" t="n">
        <v>241740</v>
      </c>
      <c r="H154" s="279" t="inlineStr">
        <is>
          <t>실적</t>
        </is>
      </c>
    </row>
    <row r="155">
      <c r="A155" s="344" t="n">
        <v>46156</v>
      </c>
      <c r="B155" s="279" t="n">
        <v>5</v>
      </c>
      <c r="C155" s="279" t="inlineStr">
        <is>
          <t>490490</t>
        </is>
      </c>
      <c r="D155" s="279" t="inlineStr">
        <is>
          <t>SOL미국배당미국채혼합50</t>
        </is>
      </c>
      <c r="E155" s="280" t="n">
        <v>84062</v>
      </c>
      <c r="F155" s="341" t="n"/>
      <c r="G155" s="280" t="n">
        <v>84062</v>
      </c>
      <c r="H155" s="279" t="inlineStr">
        <is>
          <t>실적</t>
        </is>
      </c>
    </row>
    <row r="156">
      <c r="A156" s="344" t="n">
        <v>46156</v>
      </c>
      <c r="B156" s="279" t="n">
        <v>5</v>
      </c>
      <c r="C156" s="279" t="inlineStr">
        <is>
          <t>498400</t>
        </is>
      </c>
      <c r="D156" s="279" t="inlineStr">
        <is>
          <t>KODEX 200타켓위클리커버드콜</t>
        </is>
      </c>
      <c r="E156" s="280" t="n">
        <v>212628</v>
      </c>
      <c r="F156" s="341" t="n"/>
      <c r="G156" s="280" t="n">
        <v>212628</v>
      </c>
      <c r="H156" s="279" t="inlineStr">
        <is>
          <t>실적</t>
        </is>
      </c>
    </row>
    <row r="157">
      <c r="A157" s="344" t="n">
        <v>46157</v>
      </c>
      <c r="B157" s="279" t="n">
        <v>5</v>
      </c>
      <c r="C157" s="279" t="inlineStr">
        <is>
          <t>SBUX</t>
        </is>
      </c>
      <c r="D157" s="279" t="inlineStr">
        <is>
          <t>스타벅스</t>
        </is>
      </c>
      <c r="E157" s="280" t="n"/>
      <c r="F157" s="341" t="n">
        <v>1.24</v>
      </c>
      <c r="G157" s="280" t="n">
        <v>1695.08</v>
      </c>
      <c r="H157" s="279" t="inlineStr">
        <is>
          <t>실적</t>
        </is>
      </c>
    </row>
    <row r="158">
      <c r="A158" s="344" t="n">
        <v>46157</v>
      </c>
      <c r="B158" s="279" t="n">
        <v>5</v>
      </c>
      <c r="C158" s="279" t="inlineStr">
        <is>
          <t>XOM</t>
        </is>
      </c>
      <c r="D158" s="279" t="inlineStr">
        <is>
          <t>엑슨모빌</t>
        </is>
      </c>
      <c r="E158" s="280" t="n"/>
      <c r="F158" s="341" t="n">
        <v>1.03</v>
      </c>
      <c r="G158" s="280" t="n">
        <v>1408.01</v>
      </c>
      <c r="H158" s="279" t="inlineStr">
        <is>
          <t>실적</t>
        </is>
      </c>
    </row>
    <row r="159">
      <c r="A159" s="344" t="n">
        <v>46161</v>
      </c>
      <c r="B159" s="279" t="n">
        <v>5</v>
      </c>
      <c r="C159" s="279" t="inlineStr">
        <is>
          <t>CVX</t>
        </is>
      </c>
      <c r="D159" s="279" t="inlineStr">
        <is>
          <t>셰브론</t>
        </is>
      </c>
      <c r="E159" s="280" t="n"/>
      <c r="F159" s="341" t="n">
        <v>1.78</v>
      </c>
      <c r="G159" s="280" t="n">
        <v>2433.26</v>
      </c>
      <c r="H159" s="279" t="inlineStr">
        <is>
          <t>실적</t>
        </is>
      </c>
    </row>
    <row r="160">
      <c r="A160" s="344" t="n">
        <v>46163</v>
      </c>
      <c r="B160" s="279" t="n">
        <v>5</v>
      </c>
      <c r="C160" s="279" t="inlineStr">
        <is>
          <t>MSFT</t>
        </is>
      </c>
      <c r="D160" s="279" t="inlineStr">
        <is>
          <t>마이크로소프트</t>
        </is>
      </c>
      <c r="E160" s="280" t="n"/>
      <c r="F160" s="341" t="n">
        <v>1.82</v>
      </c>
      <c r="G160" s="280" t="n">
        <v>2487.94</v>
      </c>
      <c r="H160" s="279" t="inlineStr">
        <is>
          <t>실적</t>
        </is>
      </c>
    </row>
    <row r="161">
      <c r="A161" s="344" t="n">
        <v>46170</v>
      </c>
      <c r="B161" s="279" t="n">
        <v>5</v>
      </c>
      <c r="C161" s="279" t="inlineStr">
        <is>
          <t>005389</t>
        </is>
      </c>
      <c r="D161" s="279" t="inlineStr">
        <is>
          <t>현대차3우B</t>
        </is>
      </c>
      <c r="E161" s="280" t="n">
        <v>32500</v>
      </c>
      <c r="F161" s="341" t="n"/>
      <c r="G161" s="280" t="n">
        <v>32500</v>
      </c>
      <c r="H161" s="279" t="inlineStr">
        <is>
          <t>실적</t>
        </is>
      </c>
    </row>
    <row r="162">
      <c r="A162" s="344" t="n">
        <v>46170</v>
      </c>
      <c r="B162" s="279" t="n">
        <v>5</v>
      </c>
      <c r="C162" s="279" t="inlineStr">
        <is>
          <t>329200</t>
        </is>
      </c>
      <c r="D162" s="279" t="inlineStr">
        <is>
          <t>TIGER리츠부동산인프라</t>
        </is>
      </c>
      <c r="E162" s="280" t="n">
        <v>165000</v>
      </c>
      <c r="F162" s="341" t="n"/>
      <c r="G162" s="280" t="n">
        <v>165000</v>
      </c>
      <c r="H162" s="279" t="inlineStr">
        <is>
          <t>실적</t>
        </is>
      </c>
    </row>
    <row r="163">
      <c r="A163" s="344" t="n">
        <v>46170</v>
      </c>
      <c r="B163" s="279" t="n">
        <v>5</v>
      </c>
      <c r="C163" s="279" t="inlineStr">
        <is>
          <t>433330</t>
        </is>
      </c>
      <c r="D163" s="279" t="inlineStr">
        <is>
          <t>SOL 미국 S&amp;P500</t>
        </is>
      </c>
      <c r="E163" s="280" t="n">
        <v>22932</v>
      </c>
      <c r="F163" s="341" t="n"/>
      <c r="G163" s="280" t="n">
        <v>22932</v>
      </c>
      <c r="H163" s="279" t="inlineStr">
        <is>
          <t>실적</t>
        </is>
      </c>
    </row>
    <row r="164">
      <c r="A164" s="344" t="n">
        <v>46170</v>
      </c>
      <c r="B164" s="279" t="n">
        <v>5</v>
      </c>
      <c r="C164" s="279" t="inlineStr">
        <is>
          <t>446720</t>
        </is>
      </c>
      <c r="D164" s="279" t="inlineStr">
        <is>
          <t>SOL 미국배당다우존스</t>
        </is>
      </c>
      <c r="E164" s="280" t="n">
        <v>43890</v>
      </c>
      <c r="F164" s="341" t="n"/>
      <c r="G164" s="280" t="n">
        <v>43890</v>
      </c>
      <c r="H164" s="279" t="inlineStr">
        <is>
          <t>실적</t>
        </is>
      </c>
    </row>
    <row r="165">
      <c r="A165" s="344" t="n">
        <v>46170</v>
      </c>
      <c r="B165" s="279" t="n">
        <v>5</v>
      </c>
      <c r="C165" s="279" t="inlineStr">
        <is>
          <t>458760</t>
        </is>
      </c>
      <c r="D165" s="279" t="inlineStr">
        <is>
          <t>TIGER 미배당다우커버드콜2호</t>
        </is>
      </c>
      <c r="E165" s="280" t="n">
        <v>1473888</v>
      </c>
      <c r="F165" s="341" t="n"/>
      <c r="G165" s="280" t="n">
        <v>1473888</v>
      </c>
      <c r="H165" s="279" t="inlineStr">
        <is>
          <t>실적</t>
        </is>
      </c>
    </row>
    <row r="166">
      <c r="A166" s="344" t="n">
        <v>46170</v>
      </c>
      <c r="B166" s="279" t="n">
        <v>5</v>
      </c>
      <c r="C166" s="279" t="inlineStr">
        <is>
          <t>468380</t>
        </is>
      </c>
      <c r="D166" s="279" t="inlineStr">
        <is>
          <t>KODEX iShares미국하이일드액티브</t>
        </is>
      </c>
      <c r="E166" s="280" t="n">
        <v>122000</v>
      </c>
      <c r="F166" s="341" t="n"/>
      <c r="G166" s="280" t="n">
        <v>122000</v>
      </c>
      <c r="H166" s="279" t="inlineStr">
        <is>
          <t>실적</t>
        </is>
      </c>
    </row>
    <row r="167">
      <c r="A167" s="344" t="n">
        <v>46170</v>
      </c>
      <c r="B167" s="279" t="n">
        <v>5</v>
      </c>
      <c r="C167" s="279" t="inlineStr">
        <is>
          <t>473330</t>
        </is>
      </c>
      <c r="D167" s="279" t="inlineStr">
        <is>
          <t>SOL 미국 30년국채커버드콜(합성)</t>
        </is>
      </c>
      <c r="E167" s="280" t="n">
        <v>72000</v>
      </c>
      <c r="F167" s="341" t="n"/>
      <c r="G167" s="280" t="n">
        <v>72000</v>
      </c>
      <c r="H167" s="279" t="inlineStr">
        <is>
          <t>실적</t>
        </is>
      </c>
    </row>
    <row r="168">
      <c r="A168" s="344" t="n">
        <v>46170</v>
      </c>
      <c r="B168" s="279" t="n">
        <v>5</v>
      </c>
      <c r="C168" s="279" t="inlineStr">
        <is>
          <t>475380</t>
        </is>
      </c>
      <c r="D168" s="279" t="inlineStr">
        <is>
          <t>RISE 글로벌리얼티인컴</t>
        </is>
      </c>
      <c r="E168" s="280" t="n">
        <v>3535</v>
      </c>
      <c r="F168" s="341" t="n"/>
      <c r="G168" s="280" t="n">
        <v>3535</v>
      </c>
      <c r="H168" s="279" t="inlineStr">
        <is>
          <t>실적</t>
        </is>
      </c>
    </row>
    <row r="169">
      <c r="A169" s="344" t="n">
        <v>46170</v>
      </c>
      <c r="B169" s="279" t="n">
        <v>5</v>
      </c>
      <c r="C169" s="279" t="inlineStr">
        <is>
          <t>476550</t>
        </is>
      </c>
      <c r="D169" s="279" t="inlineStr">
        <is>
          <t>TIGER 미국30년국채커버드콜액티브(H)</t>
        </is>
      </c>
      <c r="E169" s="280" t="n">
        <v>31032</v>
      </c>
      <c r="F169" s="341" t="n"/>
      <c r="G169" s="280" t="n">
        <v>31032</v>
      </c>
      <c r="H169" s="279" t="inlineStr">
        <is>
          <t>실적</t>
        </is>
      </c>
    </row>
    <row r="170">
      <c r="A170" s="344" t="n">
        <v>46170</v>
      </c>
      <c r="B170" s="279" t="n">
        <v>5</v>
      </c>
      <c r="C170" s="279" t="inlineStr">
        <is>
          <t>476690</t>
        </is>
      </c>
      <c r="D170" s="279" t="inlineStr">
        <is>
          <t>TIGER 글로벌비만치료제 TOP2 Plus</t>
        </is>
      </c>
      <c r="E170" s="280" t="n">
        <v>1200</v>
      </c>
      <c r="F170" s="341" t="n"/>
      <c r="G170" s="280" t="n">
        <v>1200</v>
      </c>
      <c r="H170" s="279" t="inlineStr">
        <is>
          <t>실적</t>
        </is>
      </c>
    </row>
    <row r="171">
      <c r="A171" s="344" t="n">
        <v>46170</v>
      </c>
      <c r="B171" s="279" t="n">
        <v>5</v>
      </c>
      <c r="C171" s="279" t="inlineStr">
        <is>
          <t>482730</t>
        </is>
      </c>
      <c r="D171" s="279" t="inlineStr">
        <is>
          <t>미국S&amp;P500타겟데일리커버드콜</t>
        </is>
      </c>
      <c r="E171" s="280" t="n">
        <v>45900</v>
      </c>
      <c r="F171" s="341" t="n"/>
      <c r="G171" s="280" t="n">
        <v>45900</v>
      </c>
      <c r="H171" s="279" t="inlineStr">
        <is>
          <t>실적</t>
        </is>
      </c>
    </row>
    <row r="172">
      <c r="A172" s="344" t="n">
        <v>46170</v>
      </c>
      <c r="B172" s="279" t="n">
        <v>5</v>
      </c>
      <c r="C172" s="279" t="inlineStr">
        <is>
          <t>483280</t>
        </is>
      </c>
      <c r="D172" s="279" t="inlineStr">
        <is>
          <t>KODEX 미국AI테크TOP10타겟커버드콜</t>
        </is>
      </c>
      <c r="E172" s="280" t="n">
        <v>376194</v>
      </c>
      <c r="F172" s="341" t="n"/>
      <c r="G172" s="280" t="n">
        <v>376194</v>
      </c>
      <c r="H172" s="279" t="inlineStr">
        <is>
          <t>실적</t>
        </is>
      </c>
    </row>
    <row r="173">
      <c r="A173" s="344" t="n">
        <v>46170</v>
      </c>
      <c r="B173" s="279" t="n">
        <v>5</v>
      </c>
      <c r="C173" s="279" t="inlineStr">
        <is>
          <t>498410</t>
        </is>
      </c>
      <c r="D173" s="279" t="inlineStr">
        <is>
          <t>KODEX금융고배당TOP10타겟위클리커버드콜</t>
        </is>
      </c>
      <c r="E173" s="280" t="n">
        <v>368435</v>
      </c>
      <c r="F173" s="341" t="n"/>
      <c r="G173" s="280" t="n">
        <v>368435</v>
      </c>
      <c r="H173" s="279" t="inlineStr">
        <is>
          <t>실적</t>
        </is>
      </c>
    </row>
    <row r="174">
      <c r="A174" s="344" t="n">
        <v>46171</v>
      </c>
      <c r="B174" s="279" t="n">
        <v>5</v>
      </c>
      <c r="C174" s="279" t="inlineStr">
        <is>
          <t>O</t>
        </is>
      </c>
      <c r="D174" s="279" t="inlineStr">
        <is>
          <t>리얼티인컴</t>
        </is>
      </c>
      <c r="E174" s="280" t="n"/>
      <c r="F174" s="341" t="n">
        <v>14.363</v>
      </c>
      <c r="G174" s="280" t="n">
        <v>19634.221</v>
      </c>
      <c r="H174" s="279" t="inlineStr">
        <is>
          <t>실적</t>
        </is>
      </c>
    </row>
    <row r="175">
      <c r="A175" s="344" t="n">
        <v>46171</v>
      </c>
      <c r="B175" s="279" t="n">
        <v>5</v>
      </c>
      <c r="C175" s="279" t="inlineStr">
        <is>
          <t>TMUS</t>
        </is>
      </c>
      <c r="D175" s="279" t="inlineStr">
        <is>
          <t>T-모바일</t>
        </is>
      </c>
      <c r="E175" s="280" t="n"/>
      <c r="F175" s="341" t="n">
        <v>4.08</v>
      </c>
      <c r="G175" s="280" t="n">
        <v>5577.36</v>
      </c>
      <c r="H175" s="279" t="inlineStr">
        <is>
          <t>실적</t>
        </is>
      </c>
    </row>
    <row r="176">
      <c r="A176" s="344" t="n">
        <v>46174</v>
      </c>
      <c r="B176" s="279" t="n">
        <v>6</v>
      </c>
      <c r="C176" s="279" t="inlineStr">
        <is>
          <t>NKE</t>
        </is>
      </c>
      <c r="D176" s="279" t="inlineStr">
        <is>
          <t>나이키</t>
        </is>
      </c>
      <c r="E176" s="280" t="n"/>
      <c r="F176" s="341" t="n">
        <v>4.1</v>
      </c>
      <c r="G176" s="280" t="n">
        <v>5604.7</v>
      </c>
      <c r="H176" s="279" t="inlineStr">
        <is>
          <t>실적</t>
        </is>
      </c>
    </row>
    <row r="177">
      <c r="A177" s="344" t="n">
        <v>46177</v>
      </c>
      <c r="B177" s="279" t="n">
        <v>6</v>
      </c>
      <c r="C177" s="279" t="inlineStr">
        <is>
          <t>NVDA</t>
        </is>
      </c>
      <c r="D177" s="279" t="inlineStr">
        <is>
          <t>엔비디아</t>
        </is>
      </c>
      <c r="E177" s="280" t="n"/>
      <c r="F177" s="341" t="n">
        <v>1</v>
      </c>
      <c r="G177" s="280" t="n">
        <v>1367</v>
      </c>
      <c r="H177" s="279" t="inlineStr">
        <is>
          <t>실적</t>
        </is>
      </c>
    </row>
    <row r="178">
      <c r="A178" s="344" t="n">
        <v>46184</v>
      </c>
      <c r="B178" s="279" t="n">
        <v>6</v>
      </c>
      <c r="C178" s="279" t="inlineStr">
        <is>
          <t>TSM</t>
        </is>
      </c>
      <c r="D178" s="279" t="inlineStr">
        <is>
          <t>TSMC</t>
        </is>
      </c>
      <c r="E178" s="280" t="n"/>
      <c r="F178" s="341" t="n">
        <v>0.955</v>
      </c>
      <c r="G178" s="280" t="n">
        <v>1305.485</v>
      </c>
      <c r="H178" s="279" t="inlineStr">
        <is>
          <t>실적</t>
        </is>
      </c>
    </row>
    <row r="179">
      <c r="A179" s="344" t="n">
        <v>46185</v>
      </c>
      <c r="B179" s="279" t="n">
        <v>6</v>
      </c>
      <c r="C179" s="279" t="inlineStr">
        <is>
          <t>0008S0</t>
        </is>
      </c>
      <c r="D179" s="279" t="inlineStr">
        <is>
          <t>TIGER 미국배당다우존스타겟데일리커버드콜</t>
        </is>
      </c>
      <c r="E179" s="280" t="n">
        <v>318000</v>
      </c>
      <c r="F179" s="341" t="n"/>
      <c r="G179" s="280" t="n">
        <v>318000</v>
      </c>
      <c r="H179" s="279" t="inlineStr">
        <is>
          <t>실적</t>
        </is>
      </c>
    </row>
    <row r="180">
      <c r="A180" s="344" t="n">
        <v>46185</v>
      </c>
      <c r="B180" s="279" t="n">
        <v>6</v>
      </c>
      <c r="C180" s="279" t="inlineStr">
        <is>
          <t>474220</t>
        </is>
      </c>
      <c r="D180" s="279" t="inlineStr">
        <is>
          <t>TIGER미국테크TOP10커버드콜</t>
        </is>
      </c>
      <c r="E180" s="280" t="n">
        <v>607943</v>
      </c>
      <c r="F180" s="341" t="n"/>
      <c r="G180" s="280" t="n">
        <v>607943</v>
      </c>
      <c r="H180" s="279" t="inlineStr">
        <is>
          <t>실적</t>
        </is>
      </c>
    </row>
    <row r="181">
      <c r="A181" s="344" t="n">
        <v>46185</v>
      </c>
      <c r="B181" s="279" t="n">
        <v>6</v>
      </c>
      <c r="C181" s="279" t="inlineStr">
        <is>
          <t>481060</t>
        </is>
      </c>
      <c r="D181" s="279" t="inlineStr">
        <is>
          <t>KODEX 미국30년국채타겟커버드콜(H)</t>
        </is>
      </c>
      <c r="E181" s="280" t="n">
        <v>238680</v>
      </c>
      <c r="F181" s="341" t="n"/>
      <c r="G181" s="280" t="n">
        <v>238680</v>
      </c>
      <c r="H181" s="279" t="inlineStr">
        <is>
          <t>실적</t>
        </is>
      </c>
    </row>
    <row r="182">
      <c r="A182" s="344" t="n">
        <v>46185</v>
      </c>
      <c r="B182" s="279" t="n">
        <v>6</v>
      </c>
      <c r="C182" s="279" t="inlineStr">
        <is>
          <t>490490</t>
        </is>
      </c>
      <c r="D182" s="279" t="inlineStr">
        <is>
          <t>SOL미국배당미국채혼합50</t>
        </is>
      </c>
      <c r="E182" s="280" t="n">
        <v>129914</v>
      </c>
      <c r="F182" s="341" t="n"/>
      <c r="G182" s="280" t="n">
        <v>129914</v>
      </c>
      <c r="H182" s="279" t="inlineStr">
        <is>
          <t>실적</t>
        </is>
      </c>
    </row>
    <row r="183">
      <c r="A183" s="344" t="n">
        <v>46185</v>
      </c>
      <c r="B183" s="279" t="n">
        <v>6</v>
      </c>
      <c r="C183" s="279" t="inlineStr">
        <is>
          <t>498400</t>
        </is>
      </c>
      <c r="D183" s="279" t="inlineStr">
        <is>
          <t>KODEX 200타켓위클리커버드콜</t>
        </is>
      </c>
      <c r="E183" s="280" t="n">
        <v>213850</v>
      </c>
      <c r="F183" s="341" t="n"/>
      <c r="G183" s="280" t="n">
        <v>213850</v>
      </c>
      <c r="H183" s="279" t="inlineStr">
        <is>
          <t>실적</t>
        </is>
      </c>
    </row>
    <row r="184">
      <c r="A184" s="344" t="n">
        <v>46185</v>
      </c>
      <c r="B184" s="279" t="n">
        <v>6</v>
      </c>
      <c r="C184" s="279" t="inlineStr">
        <is>
          <t>AMT</t>
        </is>
      </c>
      <c r="D184" s="279" t="inlineStr">
        <is>
          <t>아메리칸타워</t>
        </is>
      </c>
      <c r="E184" s="280" t="n"/>
      <c r="F184" s="341" t="n">
        <v>8.949999999999999</v>
      </c>
      <c r="G184" s="280" t="n">
        <v>12234.65</v>
      </c>
      <c r="H184" s="279" t="inlineStr">
        <is>
          <t>실적</t>
        </is>
      </c>
    </row>
    <row r="185">
      <c r="A185" s="344" t="n">
        <v>46197</v>
      </c>
      <c r="B185" s="279" t="n">
        <v>6</v>
      </c>
      <c r="C185" s="279" t="inlineStr">
        <is>
          <t>QLD</t>
        </is>
      </c>
      <c r="D185" s="279" t="inlineStr">
        <is>
          <t>QLD</t>
        </is>
      </c>
      <c r="E185" s="280" t="n"/>
      <c r="F185" s="341" t="n">
        <v>3.782</v>
      </c>
      <c r="G185" s="280" t="n">
        <v>5169.994</v>
      </c>
      <c r="H185" s="279" t="inlineStr">
        <is>
          <t>실적</t>
        </is>
      </c>
    </row>
    <row r="186">
      <c r="A186" s="344" t="n">
        <v>46197</v>
      </c>
      <c r="B186" s="279" t="n">
        <v>6</v>
      </c>
      <c r="C186" s="279" t="inlineStr">
        <is>
          <t>SCHD</t>
        </is>
      </c>
      <c r="D186" s="279" t="inlineStr">
        <is>
          <t>SCHD</t>
        </is>
      </c>
      <c r="E186" s="280" t="n"/>
      <c r="F186" s="341" t="n">
        <v>6.072</v>
      </c>
      <c r="G186" s="280" t="n">
        <v>8300.424000000001</v>
      </c>
      <c r="H186" s="279" t="inlineStr">
        <is>
          <t>실적</t>
        </is>
      </c>
    </row>
    <row r="187">
      <c r="A187" s="345" t="n">
        <v>46200</v>
      </c>
      <c r="B187" s="288" t="n">
        <v>6</v>
      </c>
      <c r="C187" s="288" t="inlineStr">
        <is>
          <t>005389</t>
        </is>
      </c>
      <c r="D187" s="288" t="inlineStr">
        <is>
          <t>현대차3우B</t>
        </is>
      </c>
      <c r="E187" s="289" t="n">
        <v>26000</v>
      </c>
      <c r="F187" s="343" t="n"/>
      <c r="G187" s="289" t="n">
        <v>26000</v>
      </c>
      <c r="H187" s="288" t="inlineStr">
        <is>
          <t>예측</t>
        </is>
      </c>
    </row>
    <row r="188">
      <c r="A188" s="345" t="n">
        <v>46200</v>
      </c>
      <c r="B188" s="288" t="n">
        <v>6</v>
      </c>
      <c r="C188" s="288" t="n">
        <v>105560</v>
      </c>
      <c r="D188" s="288" t="inlineStr">
        <is>
          <t>KB금융</t>
        </is>
      </c>
      <c r="E188" s="289" t="n">
        <v>9492</v>
      </c>
      <c r="F188" s="343" t="n"/>
      <c r="G188" s="289" t="n">
        <v>9492</v>
      </c>
      <c r="H188" s="288" t="inlineStr">
        <is>
          <t>예측</t>
        </is>
      </c>
    </row>
    <row r="189">
      <c r="A189" s="344" t="n">
        <v>46202</v>
      </c>
      <c r="B189" s="279" t="n">
        <v>6</v>
      </c>
      <c r="C189" s="279" t="inlineStr">
        <is>
          <t>005930</t>
        </is>
      </c>
      <c r="D189" s="279" t="inlineStr">
        <is>
          <t>삼성전자</t>
        </is>
      </c>
      <c r="E189" s="280" t="n">
        <v>37026</v>
      </c>
      <c r="F189" s="341" t="n"/>
      <c r="G189" s="280" t="n">
        <v>37026</v>
      </c>
      <c r="H189" s="279" t="inlineStr">
        <is>
          <t>실적</t>
        </is>
      </c>
    </row>
    <row r="190">
      <c r="A190" s="344" t="n">
        <v>46202</v>
      </c>
      <c r="B190" s="279" t="n">
        <v>6</v>
      </c>
      <c r="C190" s="279" t="inlineStr">
        <is>
          <t>329200</t>
        </is>
      </c>
      <c r="D190" s="279" t="inlineStr">
        <is>
          <t>TIGER리츠부동산인프라</t>
        </is>
      </c>
      <c r="E190" s="280" t="n">
        <v>165000</v>
      </c>
      <c r="F190" s="341" t="n"/>
      <c r="G190" s="280" t="n">
        <v>165000</v>
      </c>
      <c r="H190" s="279" t="inlineStr">
        <is>
          <t>실적</t>
        </is>
      </c>
    </row>
    <row r="191">
      <c r="A191" s="344" t="n">
        <v>46202</v>
      </c>
      <c r="B191" s="279" t="n">
        <v>6</v>
      </c>
      <c r="C191" s="279" t="inlineStr">
        <is>
          <t>433330</t>
        </is>
      </c>
      <c r="D191" s="279" t="inlineStr">
        <is>
          <t>SOL 미국 S&amp;P500</t>
        </is>
      </c>
      <c r="E191" s="280" t="n">
        <v>30576</v>
      </c>
      <c r="F191" s="341" t="n"/>
      <c r="G191" s="280" t="n">
        <v>30576</v>
      </c>
      <c r="H191" s="279" t="inlineStr">
        <is>
          <t>실적</t>
        </is>
      </c>
    </row>
    <row r="192">
      <c r="A192" s="344" t="n">
        <v>46202</v>
      </c>
      <c r="B192" s="279" t="n">
        <v>6</v>
      </c>
      <c r="C192" s="279" t="inlineStr">
        <is>
          <t>446720</t>
        </is>
      </c>
      <c r="D192" s="279" t="inlineStr">
        <is>
          <t>SOL 미국배당다우존스</t>
        </is>
      </c>
      <c r="E192" s="280" t="n">
        <v>55860</v>
      </c>
      <c r="F192" s="341" t="n"/>
      <c r="G192" s="280" t="n">
        <v>55860</v>
      </c>
      <c r="H192" s="279" t="inlineStr">
        <is>
          <t>실적</t>
        </is>
      </c>
    </row>
    <row r="193">
      <c r="A193" s="344" t="n">
        <v>46202</v>
      </c>
      <c r="B193" s="279" t="n">
        <v>6</v>
      </c>
      <c r="C193" s="279" t="inlineStr">
        <is>
          <t>458760</t>
        </is>
      </c>
      <c r="D193" s="279" t="inlineStr">
        <is>
          <t>TIGER 미배당다우커버드콜2호</t>
        </is>
      </c>
      <c r="E193" s="280" t="n">
        <v>1489241</v>
      </c>
      <c r="F193" s="341" t="n"/>
      <c r="G193" s="280" t="n">
        <v>1489241</v>
      </c>
      <c r="H193" s="279" t="inlineStr">
        <is>
          <t>실적</t>
        </is>
      </c>
    </row>
    <row r="194">
      <c r="A194" s="344" t="n">
        <v>46202</v>
      </c>
      <c r="B194" s="279" t="n">
        <v>6</v>
      </c>
      <c r="C194" s="279" t="inlineStr">
        <is>
          <t>468380</t>
        </is>
      </c>
      <c r="D194" s="279" t="inlineStr">
        <is>
          <t>KODEX iShares미국하이일드액티브</t>
        </is>
      </c>
      <c r="E194" s="280" t="n">
        <v>130000</v>
      </c>
      <c r="F194" s="341" t="n"/>
      <c r="G194" s="280" t="n">
        <v>130000</v>
      </c>
      <c r="H194" s="279" t="inlineStr">
        <is>
          <t>실적</t>
        </is>
      </c>
    </row>
    <row r="195">
      <c r="A195" s="344" t="n">
        <v>46202</v>
      </c>
      <c r="B195" s="279" t="n">
        <v>6</v>
      </c>
      <c r="C195" s="279" t="inlineStr">
        <is>
          <t>473330</t>
        </is>
      </c>
      <c r="D195" s="279" t="inlineStr">
        <is>
          <t>SOL 미국 30년국채커버드콜(합성)</t>
        </is>
      </c>
      <c r="E195" s="280" t="n">
        <v>81600</v>
      </c>
      <c r="F195" s="341" t="n"/>
      <c r="G195" s="280" t="n">
        <v>81600</v>
      </c>
      <c r="H195" s="279" t="inlineStr">
        <is>
          <t>실적</t>
        </is>
      </c>
    </row>
    <row r="196">
      <c r="A196" s="344" t="n">
        <v>46202</v>
      </c>
      <c r="B196" s="279" t="n">
        <v>6</v>
      </c>
      <c r="C196" s="279" t="inlineStr">
        <is>
          <t>475380</t>
        </is>
      </c>
      <c r="D196" s="279" t="inlineStr">
        <is>
          <t>RISE 글로벌리얼티인컴</t>
        </is>
      </c>
      <c r="E196" s="280" t="n">
        <v>3535</v>
      </c>
      <c r="F196" s="341" t="n"/>
      <c r="G196" s="280" t="n">
        <v>3535</v>
      </c>
      <c r="H196" s="279" t="inlineStr">
        <is>
          <t>실적</t>
        </is>
      </c>
    </row>
    <row r="197">
      <c r="A197" s="344" t="n">
        <v>46202</v>
      </c>
      <c r="B197" s="279" t="n">
        <v>6</v>
      </c>
      <c r="C197" s="279" t="inlineStr">
        <is>
          <t>476550</t>
        </is>
      </c>
      <c r="D197" s="279" t="inlineStr">
        <is>
          <t>TIGER 미국30년국채커버드콜액티브(H)</t>
        </is>
      </c>
      <c r="E197" s="280" t="n">
        <v>31463</v>
      </c>
      <c r="F197" s="341" t="n"/>
      <c r="G197" s="280" t="n">
        <v>31463</v>
      </c>
      <c r="H197" s="279" t="inlineStr">
        <is>
          <t>실적</t>
        </is>
      </c>
    </row>
    <row r="198">
      <c r="A198" s="344" t="n">
        <v>46202</v>
      </c>
      <c r="B198" s="279" t="n">
        <v>6</v>
      </c>
      <c r="C198" s="279" t="inlineStr">
        <is>
          <t>476690</t>
        </is>
      </c>
      <c r="D198" s="279" t="inlineStr">
        <is>
          <t>TIGER 글로벌비만치료제 TOP2 Plus</t>
        </is>
      </c>
      <c r="E198" s="280" t="n">
        <v>1500</v>
      </c>
      <c r="F198" s="341" t="n"/>
      <c r="G198" s="280" t="n">
        <v>1500</v>
      </c>
      <c r="H198" s="279" t="inlineStr">
        <is>
          <t>실적</t>
        </is>
      </c>
    </row>
    <row r="199">
      <c r="A199" s="344" t="n">
        <v>46202</v>
      </c>
      <c r="B199" s="279" t="n">
        <v>6</v>
      </c>
      <c r="C199" s="279" t="inlineStr">
        <is>
          <t>482730</t>
        </is>
      </c>
      <c r="D199" s="279" t="inlineStr">
        <is>
          <t>미국S&amp;P500타겟데일리커버드콜</t>
        </is>
      </c>
      <c r="E199" s="280" t="n">
        <v>45900</v>
      </c>
      <c r="F199" s="341" t="n"/>
      <c r="G199" s="280" t="n">
        <v>45900</v>
      </c>
      <c r="H199" s="279" t="inlineStr">
        <is>
          <t>실적</t>
        </is>
      </c>
    </row>
    <row r="200">
      <c r="A200" s="344" t="n">
        <v>46202</v>
      </c>
      <c r="B200" s="279" t="n">
        <v>6</v>
      </c>
      <c r="C200" s="279" t="inlineStr">
        <is>
          <t>483280</t>
        </is>
      </c>
      <c r="D200" s="279" t="inlineStr">
        <is>
          <t>KODEX 미국AI테크TOP10타겟커버드콜</t>
        </is>
      </c>
      <c r="E200" s="280" t="n">
        <v>351708</v>
      </c>
      <c r="F200" s="341" t="n"/>
      <c r="G200" s="280" t="n">
        <v>351708</v>
      </c>
      <c r="H200" s="279" t="inlineStr">
        <is>
          <t>실적</t>
        </is>
      </c>
    </row>
    <row r="201">
      <c r="A201" s="344" t="n">
        <v>46202</v>
      </c>
      <c r="B201" s="279" t="n">
        <v>6</v>
      </c>
      <c r="C201" s="279" t="inlineStr">
        <is>
          <t>498410</t>
        </is>
      </c>
      <c r="D201" s="279" t="inlineStr">
        <is>
          <t>KODEX금융고배당TOP10타겟위클리커버드콜</t>
        </is>
      </c>
      <c r="E201" s="280" t="n">
        <v>332780</v>
      </c>
      <c r="F201" s="341" t="n"/>
      <c r="G201" s="280" t="n">
        <v>332780</v>
      </c>
      <c r="H201" s="279" t="inlineStr">
        <is>
          <t>실적</t>
        </is>
      </c>
    </row>
    <row r="202">
      <c r="A202" s="344" t="n">
        <v>46203</v>
      </c>
      <c r="B202" s="279" t="n">
        <v>6</v>
      </c>
      <c r="C202" s="279" t="inlineStr">
        <is>
          <t>O</t>
        </is>
      </c>
      <c r="D202" s="279" t="inlineStr">
        <is>
          <t>리얼티인컴</t>
        </is>
      </c>
      <c r="E202" s="280" t="n"/>
      <c r="F202" s="341" t="n">
        <v>14.363</v>
      </c>
      <c r="G202" s="280" t="n">
        <v>19634.221</v>
      </c>
      <c r="H202" s="279" t="inlineStr">
        <is>
          <t>실적</t>
        </is>
      </c>
    </row>
    <row r="203">
      <c r="A203" s="344" t="n">
        <v>46213</v>
      </c>
      <c r="B203" s="279" t="n">
        <v>7</v>
      </c>
      <c r="C203" s="279" t="inlineStr">
        <is>
          <t>ORCL</t>
        </is>
      </c>
      <c r="D203" s="279" t="inlineStr">
        <is>
          <t>오라클</t>
        </is>
      </c>
      <c r="E203" s="280" t="n"/>
      <c r="F203" s="341" t="n">
        <v>1</v>
      </c>
      <c r="G203" s="280" t="n">
        <v>1367</v>
      </c>
      <c r="H203" s="279" t="inlineStr">
        <is>
          <t>실적</t>
        </is>
      </c>
    </row>
    <row r="204">
      <c r="A204" s="344" t="n">
        <v>46217</v>
      </c>
      <c r="B204" s="279" t="n">
        <v>7</v>
      </c>
      <c r="C204" s="279" t="inlineStr">
        <is>
          <t>0008S0</t>
        </is>
      </c>
      <c r="D204" s="279" t="inlineStr">
        <is>
          <t>TIGER 미국배당다우존스타겟데일리커버드콜</t>
        </is>
      </c>
      <c r="E204" s="280" t="n">
        <v>312000</v>
      </c>
      <c r="F204" s="341" t="n"/>
      <c r="G204" s="280" t="n">
        <v>312000</v>
      </c>
      <c r="H204" s="279" t="inlineStr">
        <is>
          <t>실적</t>
        </is>
      </c>
    </row>
    <row r="205">
      <c r="A205" s="344" t="n">
        <v>46217</v>
      </c>
      <c r="B205" s="279" t="n">
        <v>7</v>
      </c>
      <c r="C205" s="279" t="inlineStr">
        <is>
          <t>474220</t>
        </is>
      </c>
      <c r="D205" s="279" t="inlineStr">
        <is>
          <t>TIGER미국테크TOP10커버드콜</t>
        </is>
      </c>
      <c r="E205" s="280" t="n">
        <v>603372</v>
      </c>
      <c r="F205" s="341" t="n"/>
      <c r="G205" s="280" t="n">
        <v>603372</v>
      </c>
      <c r="H205" s="279" t="inlineStr">
        <is>
          <t>실적</t>
        </is>
      </c>
    </row>
    <row r="206">
      <c r="A206" s="344" t="n">
        <v>46217</v>
      </c>
      <c r="B206" s="279" t="n">
        <v>7</v>
      </c>
      <c r="C206" s="279" t="inlineStr">
        <is>
          <t>481060</t>
        </is>
      </c>
      <c r="D206" s="279" t="inlineStr">
        <is>
          <t>KODEX 미국30년국채타겟커버드콜(H)</t>
        </is>
      </c>
      <c r="E206" s="280" t="n">
        <v>238680</v>
      </c>
      <c r="F206" s="341" t="n"/>
      <c r="G206" s="280" t="n">
        <v>238680</v>
      </c>
      <c r="H206" s="279" t="inlineStr">
        <is>
          <t>실적</t>
        </is>
      </c>
    </row>
    <row r="207">
      <c r="A207" s="344" t="n">
        <v>46217</v>
      </c>
      <c r="B207" s="279" t="n">
        <v>7</v>
      </c>
      <c r="C207" s="279" t="inlineStr">
        <is>
          <t>490490</t>
        </is>
      </c>
      <c r="D207" s="279" t="inlineStr">
        <is>
          <t>SOL미국배당미국채혼합50</t>
        </is>
      </c>
      <c r="E207" s="280" t="n">
        <v>103167</v>
      </c>
      <c r="F207" s="341" t="n"/>
      <c r="G207" s="280" t="n">
        <v>103167</v>
      </c>
      <c r="H207" s="279" t="inlineStr">
        <is>
          <t>실적</t>
        </is>
      </c>
    </row>
    <row r="208">
      <c r="A208" s="344" t="n">
        <v>46217</v>
      </c>
      <c r="B208" s="279" t="n">
        <v>7</v>
      </c>
      <c r="C208" s="279" t="inlineStr">
        <is>
          <t>498400</t>
        </is>
      </c>
      <c r="D208" s="279" t="inlineStr">
        <is>
          <t>KODEX 200타켓위클리커버드콜</t>
        </is>
      </c>
      <c r="E208" s="280" t="n">
        <v>197353</v>
      </c>
      <c r="F208" s="341" t="n"/>
      <c r="G208" s="280" t="n">
        <v>197353</v>
      </c>
      <c r="H208" s="279" t="inlineStr">
        <is>
          <t>실적</t>
        </is>
      </c>
    </row>
    <row r="209">
      <c r="A209" s="344" t="n">
        <v>46233</v>
      </c>
      <c r="B209" s="279" t="n">
        <v>7</v>
      </c>
      <c r="C209" s="279" t="inlineStr">
        <is>
          <t>0219E0</t>
        </is>
      </c>
      <c r="D209" s="279" t="inlineStr">
        <is>
          <t>KODEX 200커버드콜액티브</t>
        </is>
      </c>
      <c r="E209" s="280" t="n">
        <v>192168</v>
      </c>
      <c r="F209" s="341" t="n"/>
      <c r="G209" s="280" t="n">
        <v>192168</v>
      </c>
      <c r="H209" s="279" t="inlineStr">
        <is>
          <t>실적</t>
        </is>
      </c>
    </row>
    <row r="210">
      <c r="A210" s="344" t="n">
        <v>46233</v>
      </c>
      <c r="B210" s="279" t="n">
        <v>7</v>
      </c>
      <c r="C210" s="279" t="inlineStr">
        <is>
          <t>024110</t>
        </is>
      </c>
      <c r="D210" s="279" t="inlineStr">
        <is>
          <t>기업은행</t>
        </is>
      </c>
      <c r="E210" s="280" t="n">
        <v>37590</v>
      </c>
      <c r="F210" s="341" t="n"/>
      <c r="G210" s="280" t="n">
        <v>37590</v>
      </c>
      <c r="H210" s="279" t="inlineStr">
        <is>
          <t>실적</t>
        </is>
      </c>
    </row>
    <row r="211">
      <c r="A211" s="344" t="n">
        <v>46233</v>
      </c>
      <c r="B211" s="279" t="n">
        <v>7</v>
      </c>
      <c r="C211" s="279" t="inlineStr">
        <is>
          <t>133690</t>
        </is>
      </c>
      <c r="D211" s="279" t="inlineStr">
        <is>
          <t>TIGER 미국나스닥100</t>
        </is>
      </c>
      <c r="E211" s="280" t="n">
        <v>14535</v>
      </c>
      <c r="F211" s="341" t="n"/>
      <c r="G211" s="280" t="n">
        <v>14535</v>
      </c>
      <c r="H211" s="279" t="inlineStr">
        <is>
          <t>실적</t>
        </is>
      </c>
    </row>
    <row r="212">
      <c r="A212" s="344" t="n">
        <v>46233</v>
      </c>
      <c r="B212" s="279" t="n">
        <v>7</v>
      </c>
      <c r="C212" s="279" t="inlineStr">
        <is>
          <t>329200</t>
        </is>
      </c>
      <c r="D212" s="279" t="inlineStr">
        <is>
          <t>TIGER리츠부동산인프라</t>
        </is>
      </c>
      <c r="E212" s="280" t="n">
        <v>165000</v>
      </c>
      <c r="F212" s="341" t="n"/>
      <c r="G212" s="280" t="n">
        <v>165000</v>
      </c>
      <c r="H212" s="279" t="inlineStr">
        <is>
          <t>실적</t>
        </is>
      </c>
    </row>
    <row r="213">
      <c r="A213" s="344" t="n">
        <v>46233</v>
      </c>
      <c r="B213" s="279" t="n">
        <v>7</v>
      </c>
      <c r="C213" s="279" t="inlineStr">
        <is>
          <t>360750</t>
        </is>
      </c>
      <c r="D213" s="279" t="inlineStr">
        <is>
          <t>TIGER미국S&amp;P500</t>
        </is>
      </c>
      <c r="E213" s="280" t="n">
        <v>14454</v>
      </c>
      <c r="F213" s="341" t="n"/>
      <c r="G213" s="280" t="n">
        <v>14454</v>
      </c>
      <c r="H213" s="279" t="inlineStr">
        <is>
          <t>실적</t>
        </is>
      </c>
    </row>
    <row r="214">
      <c r="A214" s="344" t="n">
        <v>46233</v>
      </c>
      <c r="B214" s="279" t="n">
        <v>7</v>
      </c>
      <c r="C214" s="279" t="inlineStr">
        <is>
          <t>367380</t>
        </is>
      </c>
      <c r="D214" s="279" t="inlineStr">
        <is>
          <t>ACE 미국나스닥100</t>
        </is>
      </c>
      <c r="E214" s="280" t="n">
        <v>15210</v>
      </c>
      <c r="F214" s="341" t="n"/>
      <c r="G214" s="280" t="n">
        <v>15210</v>
      </c>
      <c r="H214" s="279" t="inlineStr">
        <is>
          <t>실적</t>
        </is>
      </c>
    </row>
    <row r="215">
      <c r="A215" s="344" t="n">
        <v>46233</v>
      </c>
      <c r="B215" s="279" t="n">
        <v>7</v>
      </c>
      <c r="C215" s="279" t="inlineStr">
        <is>
          <t>379810</t>
        </is>
      </c>
      <c r="D215" s="279" t="inlineStr">
        <is>
          <t>KODEX 미국나스닥100</t>
        </is>
      </c>
      <c r="E215" s="280" t="n">
        <v>32702</v>
      </c>
      <c r="F215" s="341" t="n"/>
      <c r="G215" s="280" t="n">
        <v>32702</v>
      </c>
      <c r="H215" s="279" t="inlineStr">
        <is>
          <t>실적</t>
        </is>
      </c>
    </row>
    <row r="216">
      <c r="A216" s="344" t="n">
        <v>46233</v>
      </c>
      <c r="B216" s="279" t="n">
        <v>7</v>
      </c>
      <c r="C216" s="279" t="inlineStr">
        <is>
          <t>433330</t>
        </is>
      </c>
      <c r="D216" s="279" t="inlineStr">
        <is>
          <t>SOL 미국 S&amp;P500</t>
        </is>
      </c>
      <c r="E216" s="280" t="n">
        <v>15288</v>
      </c>
      <c r="F216" s="341" t="n"/>
      <c r="G216" s="280" t="n">
        <v>15288</v>
      </c>
      <c r="H216" s="279" t="inlineStr">
        <is>
          <t>실적</t>
        </is>
      </c>
    </row>
    <row r="217">
      <c r="A217" s="344" t="n">
        <v>46233</v>
      </c>
      <c r="B217" s="279" t="n">
        <v>7</v>
      </c>
      <c r="C217" s="279" t="inlineStr">
        <is>
          <t>446720</t>
        </is>
      </c>
      <c r="D217" s="279" t="inlineStr">
        <is>
          <t>SOL 미국배당다우존스</t>
        </is>
      </c>
      <c r="E217" s="280" t="n">
        <v>46550</v>
      </c>
      <c r="F217" s="341" t="n"/>
      <c r="G217" s="280" t="n">
        <v>46550</v>
      </c>
      <c r="H217" s="279" t="inlineStr">
        <is>
          <t>실적</t>
        </is>
      </c>
    </row>
    <row r="218">
      <c r="A218" s="344" t="n">
        <v>46233</v>
      </c>
      <c r="B218" s="279" t="n">
        <v>7</v>
      </c>
      <c r="C218" s="279" t="inlineStr">
        <is>
          <t>458760</t>
        </is>
      </c>
      <c r="D218" s="279" t="inlineStr">
        <is>
          <t>TIGER 미배당다우커버드콜2호</t>
        </is>
      </c>
      <c r="E218" s="280" t="n">
        <v>1427829</v>
      </c>
      <c r="F218" s="341" t="n"/>
      <c r="G218" s="280" t="n">
        <v>1427829</v>
      </c>
      <c r="H218" s="279" t="inlineStr">
        <is>
          <t>실적</t>
        </is>
      </c>
    </row>
    <row r="219">
      <c r="A219" s="344" t="n">
        <v>46233</v>
      </c>
      <c r="B219" s="279" t="n">
        <v>7</v>
      </c>
      <c r="C219" s="279" t="inlineStr">
        <is>
          <t>468380</t>
        </is>
      </c>
      <c r="D219" s="279" t="inlineStr">
        <is>
          <t>KODEX iShares미국하이일드액티브</t>
        </is>
      </c>
      <c r="E219" s="280" t="n">
        <v>130000</v>
      </c>
      <c r="F219" s="341" t="n"/>
      <c r="G219" s="280" t="n">
        <v>130000</v>
      </c>
      <c r="H219" s="279" t="inlineStr">
        <is>
          <t>실적</t>
        </is>
      </c>
    </row>
    <row r="220">
      <c r="A220" s="344" t="n">
        <v>46233</v>
      </c>
      <c r="B220" s="279" t="n">
        <v>7</v>
      </c>
      <c r="C220" s="279" t="inlineStr">
        <is>
          <t>473330</t>
        </is>
      </c>
      <c r="D220" s="279" t="inlineStr">
        <is>
          <t>SOL 미국 30년국채커버드콜(합성)</t>
        </is>
      </c>
      <c r="E220" s="280" t="n">
        <v>62400</v>
      </c>
      <c r="F220" s="341" t="n"/>
      <c r="G220" s="280" t="n">
        <v>62400</v>
      </c>
      <c r="H220" s="279" t="inlineStr">
        <is>
          <t>실적</t>
        </is>
      </c>
    </row>
    <row r="221">
      <c r="A221" s="344" t="n">
        <v>46233</v>
      </c>
      <c r="B221" s="279" t="n">
        <v>7</v>
      </c>
      <c r="C221" s="279" t="inlineStr">
        <is>
          <t>475380</t>
        </is>
      </c>
      <c r="D221" s="279" t="inlineStr">
        <is>
          <t>RISE 글로벌리얼티인컴</t>
        </is>
      </c>
      <c r="E221" s="280" t="n">
        <v>3333</v>
      </c>
      <c r="F221" s="341" t="n"/>
      <c r="G221" s="280" t="n">
        <v>3333</v>
      </c>
      <c r="H221" s="279" t="inlineStr">
        <is>
          <t>실적</t>
        </is>
      </c>
    </row>
    <row r="222">
      <c r="A222" s="344" t="n">
        <v>46233</v>
      </c>
      <c r="B222" s="279" t="n">
        <v>7</v>
      </c>
      <c r="C222" s="279" t="inlineStr">
        <is>
          <t>476550</t>
        </is>
      </c>
      <c r="D222" s="279" t="inlineStr">
        <is>
          <t>TIGER 미국30년국채커버드콜액티브(H)</t>
        </is>
      </c>
      <c r="E222" s="280" t="n">
        <v>30170</v>
      </c>
      <c r="F222" s="341" t="n"/>
      <c r="G222" s="280" t="n">
        <v>30170</v>
      </c>
      <c r="H222" s="279" t="inlineStr">
        <is>
          <t>실적</t>
        </is>
      </c>
    </row>
    <row r="223">
      <c r="A223" s="344" t="n">
        <v>46233</v>
      </c>
      <c r="B223" s="279" t="n">
        <v>7</v>
      </c>
      <c r="C223" s="279" t="inlineStr">
        <is>
          <t>476690</t>
        </is>
      </c>
      <c r="D223" s="279" t="inlineStr">
        <is>
          <t>TIGER 글로벌비만치료제 TOP2 Plus</t>
        </is>
      </c>
      <c r="E223" s="280" t="n">
        <v>1100</v>
      </c>
      <c r="F223" s="341" t="n"/>
      <c r="G223" s="280" t="n">
        <v>1100</v>
      </c>
      <c r="H223" s="279" t="inlineStr">
        <is>
          <t>실적</t>
        </is>
      </c>
    </row>
    <row r="224">
      <c r="A224" s="344" t="n">
        <v>46233</v>
      </c>
      <c r="B224" s="279" t="n">
        <v>7</v>
      </c>
      <c r="C224" s="279" t="inlineStr">
        <is>
          <t>482730</t>
        </is>
      </c>
      <c r="D224" s="279" t="inlineStr">
        <is>
          <t>미국S&amp;P500타겟데일리커버드콜</t>
        </is>
      </c>
      <c r="E224" s="280" t="n">
        <v>43350</v>
      </c>
      <c r="F224" s="341" t="n"/>
      <c r="G224" s="280" t="n">
        <v>43350</v>
      </c>
      <c r="H224" s="279" t="inlineStr">
        <is>
          <t>실적</t>
        </is>
      </c>
    </row>
    <row r="225">
      <c r="A225" s="344" t="n">
        <v>46233</v>
      </c>
      <c r="B225" s="279" t="n">
        <v>7</v>
      </c>
      <c r="C225" s="279" t="inlineStr">
        <is>
          <t>483280</t>
        </is>
      </c>
      <c r="D225" s="279" t="inlineStr">
        <is>
          <t>KODEX 미국AI테크TOP10타겟커버드콜</t>
        </is>
      </c>
      <c r="E225" s="280" t="n">
        <v>260442</v>
      </c>
      <c r="F225" s="341" t="n"/>
      <c r="G225" s="280" t="n">
        <v>260442</v>
      </c>
      <c r="H225" s="279" t="inlineStr">
        <is>
          <t>실적</t>
        </is>
      </c>
    </row>
    <row r="226">
      <c r="A226" s="344" t="n">
        <v>46233</v>
      </c>
      <c r="B226" s="279" t="n">
        <v>7</v>
      </c>
      <c r="C226" s="279" t="inlineStr">
        <is>
          <t>498270</t>
        </is>
      </c>
      <c r="D226" s="279" t="inlineStr">
        <is>
          <t>KIWOOM 미국양자컴퓨팅</t>
        </is>
      </c>
      <c r="E226" s="280" t="n">
        <v>4158</v>
      </c>
      <c r="F226" s="341" t="n"/>
      <c r="G226" s="280" t="n">
        <v>4158</v>
      </c>
      <c r="H226" s="279" t="inlineStr">
        <is>
          <t>실적</t>
        </is>
      </c>
    </row>
    <row r="227">
      <c r="A227" s="344" t="n">
        <v>46233</v>
      </c>
      <c r="B227" s="279" t="n">
        <v>7</v>
      </c>
      <c r="C227" s="279" t="inlineStr">
        <is>
          <t>498410</t>
        </is>
      </c>
      <c r="D227" s="279" t="inlineStr">
        <is>
          <t>KODEX금융고배당TOP10타겟위클리커버드콜</t>
        </is>
      </c>
      <c r="E227" s="280" t="n">
        <v>366058</v>
      </c>
      <c r="F227" s="341" t="n"/>
      <c r="G227" s="280" t="n">
        <v>366058</v>
      </c>
      <c r="H227" s="279" t="inlineStr">
        <is>
          <t>실적</t>
        </is>
      </c>
    </row>
    <row r="228">
      <c r="A228" s="344" t="n">
        <v>46234</v>
      </c>
      <c r="B228" s="279" t="n">
        <v>7</v>
      </c>
      <c r="C228" s="279" t="inlineStr">
        <is>
          <t>O</t>
        </is>
      </c>
      <c r="D228" s="279" t="inlineStr">
        <is>
          <t>리얼티인컴</t>
        </is>
      </c>
      <c r="E228" s="280" t="n"/>
      <c r="F228" s="341" t="n">
        <v>14.363</v>
      </c>
      <c r="G228" s="280" t="n">
        <v>19634.221</v>
      </c>
      <c r="H228" s="279" t="inlineStr">
        <is>
          <t>실적</t>
        </is>
      </c>
    </row>
    <row r="229">
      <c r="A229" s="344" t="n">
        <v>46240</v>
      </c>
      <c r="B229" s="279" t="n">
        <v>8</v>
      </c>
      <c r="C229" s="279" t="n">
        <v>105560</v>
      </c>
      <c r="D229" s="279" t="inlineStr">
        <is>
          <t>KB금융</t>
        </is>
      </c>
      <c r="E229" s="280" t="n">
        <v>13860</v>
      </c>
      <c r="F229" s="341" t="n"/>
      <c r="G229" s="280" t="n">
        <v>13860</v>
      </c>
      <c r="H229" s="279" t="inlineStr">
        <is>
          <t>실적</t>
        </is>
      </c>
    </row>
    <row r="230">
      <c r="A230" s="344" t="n">
        <v>46244</v>
      </c>
      <c r="B230" s="279" t="n">
        <v>8</v>
      </c>
      <c r="C230" s="279" t="inlineStr">
        <is>
          <t>AAPL</t>
        </is>
      </c>
      <c r="D230" s="279" t="inlineStr">
        <is>
          <t>애플</t>
        </is>
      </c>
      <c r="E230" s="280" t="n"/>
      <c r="F230" s="341" t="n">
        <v>2.43</v>
      </c>
      <c r="G230" s="280" t="n">
        <v>3321.81</v>
      </c>
      <c r="H230" s="279" t="inlineStr">
        <is>
          <t>실적</t>
        </is>
      </c>
    </row>
    <row r="231">
      <c r="A231" s="344" t="n">
        <v>46247</v>
      </c>
      <c r="B231" s="279" t="n">
        <v>8</v>
      </c>
      <c r="C231" s="279" t="inlineStr">
        <is>
          <t>0008S0</t>
        </is>
      </c>
      <c r="D231" s="279" t="inlineStr">
        <is>
          <t>TIGER 미국배당다우존스타겟데일리커버드콜</t>
        </is>
      </c>
      <c r="E231" s="280" t="n">
        <v>309000</v>
      </c>
      <c r="F231" s="341" t="n"/>
      <c r="G231" s="280" t="n">
        <v>309000</v>
      </c>
      <c r="H231" s="279" t="inlineStr">
        <is>
          <t>실적</t>
        </is>
      </c>
    </row>
    <row r="232">
      <c r="A232" s="344" t="n">
        <v>46247</v>
      </c>
      <c r="B232" s="279" t="n">
        <v>8</v>
      </c>
      <c r="C232" s="279" t="inlineStr">
        <is>
          <t>474220</t>
        </is>
      </c>
      <c r="D232" s="279" t="inlineStr">
        <is>
          <t>TIGER미국테크TOP10커버드콜</t>
        </is>
      </c>
      <c r="E232" s="280" t="n">
        <v>594230</v>
      </c>
      <c r="F232" s="341" t="n"/>
      <c r="G232" s="280" t="n">
        <v>594230</v>
      </c>
      <c r="H232" s="279" t="inlineStr">
        <is>
          <t>실적</t>
        </is>
      </c>
    </row>
    <row r="233">
      <c r="A233" s="344" t="n">
        <v>46247</v>
      </c>
      <c r="B233" s="279" t="n">
        <v>8</v>
      </c>
      <c r="C233" s="279" t="inlineStr">
        <is>
          <t>481060</t>
        </is>
      </c>
      <c r="D233" s="279" t="inlineStr">
        <is>
          <t>KODEX 미국30년국채타겟커버드콜(H)</t>
        </is>
      </c>
      <c r="E233" s="280" t="n">
        <v>226440</v>
      </c>
      <c r="F233" s="341" t="n"/>
      <c r="G233" s="280" t="n">
        <v>226440</v>
      </c>
      <c r="H233" s="279" t="inlineStr">
        <is>
          <t>실적</t>
        </is>
      </c>
    </row>
    <row r="234">
      <c r="A234" s="344" t="n">
        <v>46247</v>
      </c>
      <c r="B234" s="279" t="n">
        <v>8</v>
      </c>
      <c r="C234" s="279" t="inlineStr">
        <is>
          <t>490490</t>
        </is>
      </c>
      <c r="D234" s="279" t="inlineStr">
        <is>
          <t>SOL미국배당미국채혼합50</t>
        </is>
      </c>
      <c r="E234" s="280" t="n">
        <v>80241</v>
      </c>
      <c r="F234" s="341" t="n"/>
      <c r="G234" s="280" t="n">
        <v>80241</v>
      </c>
      <c r="H234" s="279" t="inlineStr">
        <is>
          <t>실적</t>
        </is>
      </c>
    </row>
    <row r="235">
      <c r="A235" s="344" t="n">
        <v>46247</v>
      </c>
      <c r="B235" s="279" t="n">
        <v>8</v>
      </c>
      <c r="C235" s="279" t="inlineStr">
        <is>
          <t>498400</t>
        </is>
      </c>
      <c r="D235" s="279" t="inlineStr">
        <is>
          <t>KODEX 200타켓위클리커버드콜</t>
        </is>
      </c>
      <c r="E235" s="280" t="n">
        <v>164970</v>
      </c>
      <c r="F235" s="341" t="n"/>
      <c r="G235" s="280" t="n">
        <v>164970</v>
      </c>
      <c r="H235" s="279" t="inlineStr">
        <is>
          <t>실적</t>
        </is>
      </c>
    </row>
    <row r="236">
      <c r="A236" s="344" t="n">
        <v>46248</v>
      </c>
      <c r="B236" s="279" t="n">
        <v>8</v>
      </c>
      <c r="C236" s="279" t="inlineStr">
        <is>
          <t>SBUX</t>
        </is>
      </c>
      <c r="D236" s="279" t="inlineStr">
        <is>
          <t>스타벅스</t>
        </is>
      </c>
      <c r="E236" s="280" t="n"/>
      <c r="F236" s="341" t="n">
        <v>1.24</v>
      </c>
      <c r="G236" s="280" t="n">
        <v>1695.08</v>
      </c>
      <c r="H236" s="279" t="inlineStr">
        <is>
          <t>실적</t>
        </is>
      </c>
    </row>
    <row r="237">
      <c r="A237" s="344" t="n">
        <v>46251</v>
      </c>
      <c r="B237" s="279" t="n">
        <v>8</v>
      </c>
      <c r="C237" s="279" t="inlineStr">
        <is>
          <t>NVO</t>
        </is>
      </c>
      <c r="D237" s="279" t="inlineStr">
        <is>
          <t>노보 노디스크</t>
        </is>
      </c>
      <c r="E237" s="280" t="n"/>
      <c r="F237" s="341" t="n">
        <v>8.685</v>
      </c>
      <c r="G237" s="280" t="n">
        <v>11872.395</v>
      </c>
      <c r="H237" s="279" t="inlineStr">
        <is>
          <t>실적</t>
        </is>
      </c>
    </row>
    <row r="238">
      <c r="A238" s="344" t="n">
        <v>46251</v>
      </c>
      <c r="B238" s="279" t="n">
        <v>8</v>
      </c>
      <c r="C238" s="279" t="inlineStr">
        <is>
          <t>XOM</t>
        </is>
      </c>
      <c r="D238" s="279" t="inlineStr">
        <is>
          <t>엑슨모빌</t>
        </is>
      </c>
      <c r="E238" s="280" t="n"/>
      <c r="F238" s="341" t="n">
        <v>1.03</v>
      </c>
      <c r="G238" s="280" t="n">
        <v>1408.01</v>
      </c>
      <c r="H238" s="279" t="inlineStr">
        <is>
          <t>실적</t>
        </is>
      </c>
    </row>
    <row r="239">
      <c r="A239" s="344" t="n">
        <v>46253</v>
      </c>
      <c r="B239" s="279" t="n">
        <v>8</v>
      </c>
      <c r="C239" s="279" t="inlineStr">
        <is>
          <t>CVX</t>
        </is>
      </c>
      <c r="D239" s="279" t="inlineStr">
        <is>
          <t>셰브론</t>
        </is>
      </c>
      <c r="E239" s="280" t="n"/>
      <c r="F239" s="341" t="n">
        <v>1.78</v>
      </c>
      <c r="G239" s="280" t="n">
        <v>2433.26</v>
      </c>
      <c r="H239" s="279" t="inlineStr">
        <is>
          <t>실적</t>
        </is>
      </c>
    </row>
    <row r="240">
      <c r="A240" s="344" t="n">
        <v>46254</v>
      </c>
      <c r="B240" s="279" t="n">
        <v>8</v>
      </c>
      <c r="C240" s="279" t="inlineStr">
        <is>
          <t>MSFT</t>
        </is>
      </c>
      <c r="D240" s="279" t="inlineStr">
        <is>
          <t>마이크로소프트</t>
        </is>
      </c>
      <c r="E240" s="280" t="n"/>
      <c r="F240" s="341" t="n">
        <v>1.82</v>
      </c>
      <c r="G240" s="280" t="n">
        <v>2487.94</v>
      </c>
      <c r="H240" s="279" t="inlineStr">
        <is>
          <t>실적</t>
        </is>
      </c>
    </row>
    <row r="241">
      <c r="A241" s="344" t="n">
        <v>46262</v>
      </c>
      <c r="B241" s="279" t="n">
        <v>8</v>
      </c>
      <c r="C241" s="279" t="inlineStr">
        <is>
          <t>005389</t>
        </is>
      </c>
      <c r="D241" s="279" t="inlineStr">
        <is>
          <t>현대차3우B</t>
        </is>
      </c>
      <c r="E241" s="280" t="n">
        <v>32500</v>
      </c>
      <c r="F241" s="341" t="n"/>
      <c r="G241" s="280" t="n">
        <v>32500</v>
      </c>
      <c r="H241" s="279" t="inlineStr">
        <is>
          <t>실적</t>
        </is>
      </c>
    </row>
    <row r="242">
      <c r="A242" s="344" t="n">
        <v>46262</v>
      </c>
      <c r="B242" s="279" t="n">
        <v>8</v>
      </c>
      <c r="C242" s="279" t="inlineStr">
        <is>
          <t>0219E0</t>
        </is>
      </c>
      <c r="D242" s="279" t="inlineStr">
        <is>
          <t>KODEX 200커버드콜액티브</t>
        </is>
      </c>
      <c r="E242" s="280" t="n">
        <v>209752</v>
      </c>
      <c r="F242" s="341" t="n"/>
      <c r="G242" s="280" t="n">
        <v>209752</v>
      </c>
      <c r="H242" s="279" t="inlineStr">
        <is>
          <t>실적</t>
        </is>
      </c>
    </row>
    <row r="243">
      <c r="A243" s="344" t="n">
        <v>46262</v>
      </c>
      <c r="B243" s="279" t="n">
        <v>8</v>
      </c>
      <c r="C243" s="279" t="inlineStr">
        <is>
          <t>329200</t>
        </is>
      </c>
      <c r="D243" s="279" t="inlineStr">
        <is>
          <t>TIGER리츠부동산인프라</t>
        </is>
      </c>
      <c r="E243" s="280" t="n">
        <v>165000</v>
      </c>
      <c r="F243" s="341" t="n"/>
      <c r="G243" s="280" t="n">
        <v>165000</v>
      </c>
      <c r="H243" s="279" t="inlineStr">
        <is>
          <t>실적</t>
        </is>
      </c>
    </row>
    <row r="244">
      <c r="A244" s="344" t="n">
        <v>46262</v>
      </c>
      <c r="B244" s="279" t="n">
        <v>8</v>
      </c>
      <c r="C244" s="279" t="inlineStr">
        <is>
          <t>433330</t>
        </is>
      </c>
      <c r="D244" s="279" t="inlineStr">
        <is>
          <t>SOL 미국 S&amp;P500</t>
        </is>
      </c>
      <c r="E244" s="280" t="n">
        <v>24206</v>
      </c>
      <c r="F244" s="341" t="n"/>
      <c r="G244" s="280" t="n">
        <v>24206</v>
      </c>
      <c r="H244" s="279" t="inlineStr">
        <is>
          <t>실적</t>
        </is>
      </c>
    </row>
    <row r="245">
      <c r="A245" s="344" t="n">
        <v>46262</v>
      </c>
      <c r="B245" s="279" t="n">
        <v>8</v>
      </c>
      <c r="C245" s="279" t="inlineStr">
        <is>
          <t>446720</t>
        </is>
      </c>
      <c r="D245" s="279" t="inlineStr">
        <is>
          <t>SOL 미국배당다우존스</t>
        </is>
      </c>
      <c r="E245" s="280" t="n">
        <v>35910</v>
      </c>
      <c r="F245" s="341" t="n"/>
      <c r="G245" s="280" t="n">
        <v>35910</v>
      </c>
      <c r="H245" s="279" t="inlineStr">
        <is>
          <t>실적</t>
        </is>
      </c>
    </row>
    <row r="246">
      <c r="A246" s="344" t="n">
        <v>46262</v>
      </c>
      <c r="B246" s="279" t="n">
        <v>8</v>
      </c>
      <c r="C246" s="279" t="inlineStr">
        <is>
          <t>458760</t>
        </is>
      </c>
      <c r="D246" s="279" t="inlineStr">
        <is>
          <t>TIGER 미배당다우커버드콜2호</t>
        </is>
      </c>
      <c r="E246" s="280" t="n">
        <v>1381770</v>
      </c>
      <c r="F246" s="341" t="n"/>
      <c r="G246" s="280" t="n">
        <v>1381770</v>
      </c>
      <c r="H246" s="279" t="inlineStr">
        <is>
          <t>실적</t>
        </is>
      </c>
    </row>
    <row r="247">
      <c r="A247" s="344" t="n">
        <v>46262</v>
      </c>
      <c r="B247" s="279" t="n">
        <v>8</v>
      </c>
      <c r="C247" s="279" t="inlineStr">
        <is>
          <t>468380</t>
        </is>
      </c>
      <c r="D247" s="279" t="inlineStr">
        <is>
          <t>KODEX iShares미국하이일드액티브</t>
        </is>
      </c>
      <c r="E247" s="280" t="n">
        <v>126000</v>
      </c>
      <c r="F247" s="341" t="n"/>
      <c r="G247" s="280" t="n">
        <v>126000</v>
      </c>
      <c r="H247" s="279" t="inlineStr">
        <is>
          <t>실적</t>
        </is>
      </c>
    </row>
    <row r="248">
      <c r="A248" s="344" t="n">
        <v>46262</v>
      </c>
      <c r="B248" s="279" t="n">
        <v>8</v>
      </c>
      <c r="C248" s="279" t="inlineStr">
        <is>
          <t>473330</t>
        </is>
      </c>
      <c r="D248" s="279" t="inlineStr">
        <is>
          <t>SOL 미국 30년국채커버드콜(합성)</t>
        </is>
      </c>
      <c r="E248" s="280" t="n">
        <v>57600</v>
      </c>
      <c r="F248" s="341" t="n"/>
      <c r="G248" s="280" t="n">
        <v>57600</v>
      </c>
      <c r="H248" s="279" t="inlineStr">
        <is>
          <t>실적</t>
        </is>
      </c>
    </row>
    <row r="249">
      <c r="A249" s="344" t="n">
        <v>46262</v>
      </c>
      <c r="B249" s="279" t="n">
        <v>8</v>
      </c>
      <c r="C249" s="279" t="inlineStr">
        <is>
          <t>475380</t>
        </is>
      </c>
      <c r="D249" s="279" t="inlineStr">
        <is>
          <t>RISE 글로벌리얼티인컴</t>
        </is>
      </c>
      <c r="E249" s="280" t="n">
        <v>3232</v>
      </c>
      <c r="F249" s="341" t="n"/>
      <c r="G249" s="280" t="n">
        <v>3232</v>
      </c>
      <c r="H249" s="279" t="inlineStr">
        <is>
          <t>실적</t>
        </is>
      </c>
    </row>
    <row r="250">
      <c r="A250" s="344" t="n">
        <v>46262</v>
      </c>
      <c r="B250" s="279" t="n">
        <v>8</v>
      </c>
      <c r="C250" s="279" t="inlineStr">
        <is>
          <t>476550</t>
        </is>
      </c>
      <c r="D250" s="279" t="inlineStr">
        <is>
          <t>TIGER 미국30년국채커버드콜액티브(H)</t>
        </is>
      </c>
      <c r="E250" s="280" t="n">
        <v>29739</v>
      </c>
      <c r="F250" s="341" t="n"/>
      <c r="G250" s="280" t="n">
        <v>29739</v>
      </c>
      <c r="H250" s="279" t="inlineStr">
        <is>
          <t>실적</t>
        </is>
      </c>
    </row>
    <row r="251">
      <c r="A251" s="344" t="n">
        <v>46262</v>
      </c>
      <c r="B251" s="279" t="n">
        <v>8</v>
      </c>
      <c r="C251" s="279" t="inlineStr">
        <is>
          <t>476690</t>
        </is>
      </c>
      <c r="D251" s="279" t="inlineStr">
        <is>
          <t>TIGER 글로벌비만치료제 TOP2 Plus</t>
        </is>
      </c>
      <c r="E251" s="280" t="n">
        <v>1100</v>
      </c>
      <c r="F251" s="341" t="n"/>
      <c r="G251" s="280" t="n">
        <v>1100</v>
      </c>
      <c r="H251" s="279" t="inlineStr">
        <is>
          <t>실적</t>
        </is>
      </c>
    </row>
    <row r="252">
      <c r="A252" s="344" t="n">
        <v>46262</v>
      </c>
      <c r="B252" s="279" t="n">
        <v>8</v>
      </c>
      <c r="C252" s="279" t="inlineStr">
        <is>
          <t>482730</t>
        </is>
      </c>
      <c r="D252" s="279" t="inlineStr">
        <is>
          <t>미국S&amp;P500타겟데일리커버드콜</t>
        </is>
      </c>
      <c r="E252" s="280" t="n">
        <v>42500</v>
      </c>
      <c r="F252" s="341" t="n"/>
      <c r="G252" s="280" t="n">
        <v>42500</v>
      </c>
      <c r="H252" s="279" t="inlineStr">
        <is>
          <t>실적</t>
        </is>
      </c>
    </row>
    <row r="253">
      <c r="A253" s="344" t="n">
        <v>46262</v>
      </c>
      <c r="B253" s="279" t="n">
        <v>8</v>
      </c>
      <c r="C253" s="279" t="inlineStr">
        <is>
          <t>483280</t>
        </is>
      </c>
      <c r="D253" s="279" t="inlineStr">
        <is>
          <t>KODEX 미국AI테크TOP10타겟커버드콜</t>
        </is>
      </c>
      <c r="E253" s="280" t="n">
        <v>318318</v>
      </c>
      <c r="F253" s="341" t="n"/>
      <c r="G253" s="280" t="n">
        <v>318318</v>
      </c>
      <c r="H253" s="279" t="inlineStr">
        <is>
          <t>실적</t>
        </is>
      </c>
    </row>
    <row r="254">
      <c r="A254" s="344" t="n">
        <v>46262</v>
      </c>
      <c r="B254" s="279" t="n">
        <v>8</v>
      </c>
      <c r="C254" s="279" t="inlineStr">
        <is>
          <t>498410</t>
        </is>
      </c>
      <c r="D254" s="279" t="inlineStr">
        <is>
          <t>KODEX금융고배당TOP10타겟위클리커버드콜</t>
        </is>
      </c>
      <c r="E254" s="280" t="n">
        <v>342288</v>
      </c>
      <c r="F254" s="341" t="n"/>
      <c r="G254" s="280" t="n">
        <v>342288</v>
      </c>
      <c r="H254" s="279" t="inlineStr">
        <is>
          <t>실적</t>
        </is>
      </c>
    </row>
    <row r="255">
      <c r="A255" s="344" t="n">
        <v>46262</v>
      </c>
      <c r="B255" s="279" t="n">
        <v>8</v>
      </c>
      <c r="C255" s="279" t="inlineStr">
        <is>
          <t>TMUS</t>
        </is>
      </c>
      <c r="D255" s="279" t="inlineStr">
        <is>
          <t>T-모바일</t>
        </is>
      </c>
      <c r="E255" s="280" t="n"/>
      <c r="F255" s="341" t="n">
        <v>4.08</v>
      </c>
      <c r="G255" s="280" t="n">
        <v>5577.36</v>
      </c>
      <c r="H255" s="279" t="inlineStr">
        <is>
          <t>실적</t>
        </is>
      </c>
    </row>
    <row r="256">
      <c r="A256" s="344" t="n">
        <v>46265</v>
      </c>
      <c r="B256" s="279" t="n">
        <v>8</v>
      </c>
      <c r="C256" s="279" t="inlineStr">
        <is>
          <t>O</t>
        </is>
      </c>
      <c r="D256" s="279" t="inlineStr">
        <is>
          <t>리얼티인컴</t>
        </is>
      </c>
      <c r="E256" s="280" t="n"/>
      <c r="F256" s="341" t="n">
        <v>14.363</v>
      </c>
      <c r="G256" s="280" t="n">
        <v>19634.221</v>
      </c>
      <c r="H256" s="279" t="inlineStr">
        <is>
          <t>실적</t>
        </is>
      </c>
    </row>
    <row r="257">
      <c r="A257" s="344" t="n">
        <v>46266</v>
      </c>
      <c r="B257" s="279" t="n">
        <v>9</v>
      </c>
      <c r="C257" s="279" t="inlineStr">
        <is>
          <t>NKE</t>
        </is>
      </c>
      <c r="D257" s="279" t="inlineStr">
        <is>
          <t>나이키</t>
        </is>
      </c>
      <c r="E257" s="280" t="n"/>
      <c r="F257" s="341" t="n">
        <v>4.1</v>
      </c>
      <c r="G257" s="280" t="n">
        <v>5604.7</v>
      </c>
      <c r="H257" s="279" t="inlineStr">
        <is>
          <t>실적</t>
        </is>
      </c>
    </row>
    <row r="258">
      <c r="A258" s="345" t="n">
        <v>46267</v>
      </c>
      <c r="B258" s="288" t="n">
        <v>9</v>
      </c>
      <c r="C258" s="288" t="inlineStr">
        <is>
          <t>O</t>
        </is>
      </c>
      <c r="D258" s="288" t="inlineStr">
        <is>
          <t>리얼티인컴</t>
        </is>
      </c>
      <c r="E258" s="289" t="n"/>
      <c r="F258" s="343" t="n">
        <v>14.098</v>
      </c>
      <c r="G258" s="289" t="n">
        <v>19271.966</v>
      </c>
      <c r="H258" s="288" t="inlineStr">
        <is>
          <t>예측</t>
        </is>
      </c>
    </row>
    <row r="259">
      <c r="A259" s="345" t="n">
        <v>46277</v>
      </c>
      <c r="B259" s="288" t="n">
        <v>9</v>
      </c>
      <c r="C259" s="288" t="inlineStr">
        <is>
          <t>0008S0</t>
        </is>
      </c>
      <c r="D259" s="288" t="inlineStr">
        <is>
          <t>TIGER 미국배당다우존스타겟데일리커버드콜</t>
        </is>
      </c>
      <c r="E259" s="289" t="n">
        <v>264000</v>
      </c>
      <c r="F259" s="343" t="n"/>
      <c r="G259" s="289" t="n">
        <v>264000</v>
      </c>
      <c r="H259" s="288" t="inlineStr">
        <is>
          <t>예측</t>
        </is>
      </c>
    </row>
    <row r="260">
      <c r="A260" s="345" t="n">
        <v>46277</v>
      </c>
      <c r="B260" s="288" t="n">
        <v>9</v>
      </c>
      <c r="C260" s="288" t="inlineStr">
        <is>
          <t>474220</t>
        </is>
      </c>
      <c r="D260" s="288" t="inlineStr">
        <is>
          <t>TIGER미국테크TOP10커버드콜</t>
        </is>
      </c>
      <c r="E260" s="289" t="n">
        <v>495954</v>
      </c>
      <c r="F260" s="343" t="n"/>
      <c r="G260" s="289" t="n">
        <v>495954</v>
      </c>
      <c r="H260" s="288" t="inlineStr">
        <is>
          <t>예측</t>
        </is>
      </c>
    </row>
    <row r="261">
      <c r="A261" s="345" t="n">
        <v>46277</v>
      </c>
      <c r="B261" s="288" t="n">
        <v>9</v>
      </c>
      <c r="C261" s="288" t="inlineStr">
        <is>
          <t>490490</t>
        </is>
      </c>
      <c r="D261" s="288" t="inlineStr">
        <is>
          <t>SOL미국배당미국채혼합50</t>
        </is>
      </c>
      <c r="E261" s="289" t="n">
        <v>137556</v>
      </c>
      <c r="F261" s="343" t="n"/>
      <c r="G261" s="289" t="n">
        <v>137556</v>
      </c>
      <c r="H261" s="288" t="inlineStr">
        <is>
          <t>예측</t>
        </is>
      </c>
    </row>
    <row r="262">
      <c r="A262" s="345" t="n">
        <v>46277</v>
      </c>
      <c r="B262" s="288" t="n">
        <v>9</v>
      </c>
      <c r="C262" s="288" t="inlineStr">
        <is>
          <t>498400</t>
        </is>
      </c>
      <c r="D262" s="288" t="inlineStr">
        <is>
          <t>KODEX 200타켓위클리커버드콜</t>
        </is>
      </c>
      <c r="E262" s="289" t="n">
        <v>98371</v>
      </c>
      <c r="F262" s="343" t="n"/>
      <c r="G262" s="289" t="n">
        <v>98371</v>
      </c>
      <c r="H262" s="288" t="inlineStr">
        <is>
          <t>예측</t>
        </is>
      </c>
    </row>
    <row r="263">
      <c r="A263" s="345" t="n">
        <v>46285</v>
      </c>
      <c r="B263" s="288" t="n">
        <v>9</v>
      </c>
      <c r="C263" s="288" t="inlineStr">
        <is>
          <t>481060</t>
        </is>
      </c>
      <c r="D263" s="288" t="inlineStr">
        <is>
          <t>KODEX 미국30년국채타겟커버드콜(H)</t>
        </is>
      </c>
      <c r="E263" s="289" t="n">
        <v>296820</v>
      </c>
      <c r="F263" s="343" t="n"/>
      <c r="G263" s="289" t="n">
        <v>296820</v>
      </c>
      <c r="H263" s="288" t="inlineStr">
        <is>
          <t>예측</t>
        </is>
      </c>
    </row>
    <row r="264">
      <c r="A264" s="345" t="n">
        <v>46289</v>
      </c>
      <c r="B264" s="288" t="n">
        <v>9</v>
      </c>
      <c r="C264" s="288" t="inlineStr">
        <is>
          <t>QLD</t>
        </is>
      </c>
      <c r="D264" s="288" t="inlineStr">
        <is>
          <t>QLD</t>
        </is>
      </c>
      <c r="E264" s="289" t="n"/>
      <c r="F264" s="343" t="n">
        <v>1.426</v>
      </c>
      <c r="G264" s="289" t="n">
        <v>1949.342</v>
      </c>
      <c r="H264" s="288" t="inlineStr">
        <is>
          <t>예측</t>
        </is>
      </c>
    </row>
    <row r="265">
      <c r="A265" s="345" t="n">
        <v>46289</v>
      </c>
      <c r="B265" s="288" t="n">
        <v>9</v>
      </c>
      <c r="C265" s="288" t="inlineStr">
        <is>
          <t>SCHD</t>
        </is>
      </c>
      <c r="D265" s="288" t="inlineStr">
        <is>
          <t>SCHD</t>
        </is>
      </c>
      <c r="E265" s="289" t="n"/>
      <c r="F265" s="343" t="n">
        <v>6.14</v>
      </c>
      <c r="G265" s="289" t="n">
        <v>8393.379999999999</v>
      </c>
      <c r="H265" s="288" t="inlineStr">
        <is>
          <t>예측</t>
        </is>
      </c>
    </row>
    <row r="266">
      <c r="A266" s="345" t="n">
        <v>46292</v>
      </c>
      <c r="B266" s="288" t="n">
        <v>9</v>
      </c>
      <c r="C266" s="288" t="inlineStr">
        <is>
          <t>005389</t>
        </is>
      </c>
      <c r="D266" s="288" t="inlineStr">
        <is>
          <t>현대차3우B</t>
        </is>
      </c>
      <c r="E266" s="289" t="n">
        <v>26000</v>
      </c>
      <c r="F266" s="343" t="n"/>
      <c r="G266" s="289" t="n">
        <v>26000</v>
      </c>
      <c r="H266" s="288" t="inlineStr">
        <is>
          <t>예측</t>
        </is>
      </c>
    </row>
    <row r="267">
      <c r="A267" s="345" t="n">
        <v>46292</v>
      </c>
      <c r="B267" s="288" t="n">
        <v>9</v>
      </c>
      <c r="C267" s="288" t="n">
        <v>105560</v>
      </c>
      <c r="D267" s="288" t="inlineStr">
        <is>
          <t>KB금융</t>
        </is>
      </c>
      <c r="E267" s="289" t="n">
        <v>9540</v>
      </c>
      <c r="F267" s="343" t="n"/>
      <c r="G267" s="289" t="n">
        <v>9540</v>
      </c>
      <c r="H267" s="288" t="inlineStr">
        <is>
          <t>예측</t>
        </is>
      </c>
    </row>
    <row r="268">
      <c r="A268" s="345" t="n">
        <v>46293</v>
      </c>
      <c r="B268" s="288" t="n">
        <v>9</v>
      </c>
      <c r="C268" s="288" t="inlineStr">
        <is>
          <t>005930</t>
        </is>
      </c>
      <c r="D268" s="288" t="inlineStr">
        <is>
          <t>삼성전자</t>
        </is>
      </c>
      <c r="E268" s="289" t="n">
        <v>36184</v>
      </c>
      <c r="F268" s="343" t="n"/>
      <c r="G268" s="289" t="n">
        <v>36184</v>
      </c>
      <c r="H268" s="288" t="inlineStr">
        <is>
          <t>예측</t>
        </is>
      </c>
    </row>
    <row r="269">
      <c r="A269" s="345" t="n">
        <v>46293</v>
      </c>
      <c r="B269" s="288" t="n">
        <v>9</v>
      </c>
      <c r="C269" s="288" t="inlineStr">
        <is>
          <t>329200</t>
        </is>
      </c>
      <c r="D269" s="288" t="inlineStr">
        <is>
          <t>TIGER리츠부동산인프라</t>
        </is>
      </c>
      <c r="E269" s="289" t="n">
        <v>195000</v>
      </c>
      <c r="F269" s="343" t="n"/>
      <c r="G269" s="289" t="n">
        <v>195000</v>
      </c>
      <c r="H269" s="288" t="inlineStr">
        <is>
          <t>예측</t>
        </is>
      </c>
    </row>
    <row r="270">
      <c r="A270" s="345" t="n">
        <v>46293</v>
      </c>
      <c r="B270" s="288" t="n">
        <v>9</v>
      </c>
      <c r="C270" s="288" t="inlineStr">
        <is>
          <t>433330</t>
        </is>
      </c>
      <c r="D270" s="288" t="inlineStr">
        <is>
          <t>SOL 미국 S&amp;P500</t>
        </is>
      </c>
      <c r="E270" s="289" t="n">
        <v>19747</v>
      </c>
      <c r="F270" s="343" t="n"/>
      <c r="G270" s="289" t="n">
        <v>19747</v>
      </c>
      <c r="H270" s="288" t="inlineStr">
        <is>
          <t>예측</t>
        </is>
      </c>
    </row>
    <row r="271">
      <c r="A271" s="345" t="n">
        <v>46293</v>
      </c>
      <c r="B271" s="288" t="n">
        <v>9</v>
      </c>
      <c r="C271" s="288" t="inlineStr">
        <is>
          <t>446720</t>
        </is>
      </c>
      <c r="D271" s="288" t="inlineStr">
        <is>
          <t>SOL 미국배당다우존스</t>
        </is>
      </c>
      <c r="E271" s="289" t="n">
        <v>43225</v>
      </c>
      <c r="F271" s="343" t="n"/>
      <c r="G271" s="289" t="n">
        <v>43225</v>
      </c>
      <c r="H271" s="288" t="inlineStr">
        <is>
          <t>예측</t>
        </is>
      </c>
    </row>
    <row r="272">
      <c r="A272" s="345" t="n">
        <v>46293</v>
      </c>
      <c r="B272" s="288" t="n">
        <v>9</v>
      </c>
      <c r="C272" s="288" t="inlineStr">
        <is>
          <t>458760</t>
        </is>
      </c>
      <c r="D272" s="288" t="inlineStr">
        <is>
          <t>TIGER 미배당다우커버드콜2호</t>
        </is>
      </c>
      <c r="E272" s="289" t="n">
        <v>1366417</v>
      </c>
      <c r="F272" s="343" t="n"/>
      <c r="G272" s="289" t="n">
        <v>1366417</v>
      </c>
      <c r="H272" s="288" t="inlineStr">
        <is>
          <t>예측</t>
        </is>
      </c>
    </row>
    <row r="273">
      <c r="A273" s="345" t="n">
        <v>46293</v>
      </c>
      <c r="B273" s="288" t="n">
        <v>9</v>
      </c>
      <c r="C273" s="288" t="inlineStr">
        <is>
          <t>468380</t>
        </is>
      </c>
      <c r="D273" s="288" t="inlineStr">
        <is>
          <t>KODEX iShares미국하이일드액티브</t>
        </is>
      </c>
      <c r="E273" s="289" t="n">
        <v>119000</v>
      </c>
      <c r="F273" s="343" t="n"/>
      <c r="G273" s="289" t="n">
        <v>119000</v>
      </c>
      <c r="H273" s="288" t="inlineStr">
        <is>
          <t>예측</t>
        </is>
      </c>
    </row>
    <row r="274">
      <c r="A274" s="345" t="n">
        <v>46293</v>
      </c>
      <c r="B274" s="288" t="n">
        <v>9</v>
      </c>
      <c r="C274" s="288" t="inlineStr">
        <is>
          <t>473330</t>
        </is>
      </c>
      <c r="D274" s="288" t="inlineStr">
        <is>
          <t>SOL 미국 30년국채커버드콜(합성)</t>
        </is>
      </c>
      <c r="E274" s="289" t="n">
        <v>89280</v>
      </c>
      <c r="F274" s="343" t="n"/>
      <c r="G274" s="289" t="n">
        <v>89280</v>
      </c>
      <c r="H274" s="288" t="inlineStr">
        <is>
          <t>예측</t>
        </is>
      </c>
    </row>
    <row r="275">
      <c r="A275" s="345" t="n">
        <v>46293</v>
      </c>
      <c r="B275" s="288" t="n">
        <v>9</v>
      </c>
      <c r="C275" s="288" t="inlineStr">
        <is>
          <t>475380</t>
        </is>
      </c>
      <c r="D275" s="288" t="inlineStr">
        <is>
          <t>RISE 글로벌리얼티인컴</t>
        </is>
      </c>
      <c r="E275" s="289" t="n">
        <v>3737</v>
      </c>
      <c r="F275" s="343" t="n"/>
      <c r="G275" s="289" t="n">
        <v>3737</v>
      </c>
      <c r="H275" s="288" t="inlineStr">
        <is>
          <t>예측</t>
        </is>
      </c>
    </row>
    <row r="276">
      <c r="A276" s="345" t="n">
        <v>46293</v>
      </c>
      <c r="B276" s="288" t="n">
        <v>9</v>
      </c>
      <c r="C276" s="288" t="inlineStr">
        <is>
          <t>476550</t>
        </is>
      </c>
      <c r="D276" s="288" t="inlineStr">
        <is>
          <t>TIGER 미국30년국채커버드콜액티브(H)</t>
        </is>
      </c>
      <c r="E276" s="289" t="n">
        <v>38790</v>
      </c>
      <c r="F276" s="343" t="n"/>
      <c r="G276" s="289" t="n">
        <v>38790</v>
      </c>
      <c r="H276" s="288" t="inlineStr">
        <is>
          <t>예측</t>
        </is>
      </c>
    </row>
    <row r="277">
      <c r="A277" s="345" t="n">
        <v>46293</v>
      </c>
      <c r="B277" s="288" t="n">
        <v>9</v>
      </c>
      <c r="C277" s="288" t="inlineStr">
        <is>
          <t>476690</t>
        </is>
      </c>
      <c r="D277" s="288" t="inlineStr">
        <is>
          <t>TIGER 글로벌비만치료제 TOP2 Plus</t>
        </is>
      </c>
      <c r="E277" s="289" t="n">
        <v>1250</v>
      </c>
      <c r="F277" s="343" t="n"/>
      <c r="G277" s="289" t="n">
        <v>1250</v>
      </c>
      <c r="H277" s="288" t="inlineStr">
        <is>
          <t>예측</t>
        </is>
      </c>
    </row>
    <row r="278">
      <c r="A278" s="345" t="n">
        <v>46293</v>
      </c>
      <c r="B278" s="288" t="n">
        <v>9</v>
      </c>
      <c r="C278" s="288" t="inlineStr">
        <is>
          <t>482730</t>
        </is>
      </c>
      <c r="D278" s="288" t="inlineStr">
        <is>
          <t>미국S&amp;P500타겟데일리커버드콜</t>
        </is>
      </c>
      <c r="E278" s="289" t="n">
        <v>38250</v>
      </c>
      <c r="F278" s="343" t="n"/>
      <c r="G278" s="289" t="n">
        <v>38250</v>
      </c>
      <c r="H278" s="288" t="inlineStr">
        <is>
          <t>예측</t>
        </is>
      </c>
    </row>
    <row r="279">
      <c r="A279" s="345" t="n">
        <v>46293</v>
      </c>
      <c r="B279" s="288" t="n">
        <v>9</v>
      </c>
      <c r="C279" s="288" t="inlineStr">
        <is>
          <t>483280</t>
        </is>
      </c>
      <c r="D279" s="288" t="inlineStr">
        <is>
          <t>KODEX 미국AI테크TOP10타겟커버드콜</t>
        </is>
      </c>
      <c r="E279" s="289" t="n">
        <v>309414</v>
      </c>
      <c r="F279" s="343" t="n"/>
      <c r="G279" s="289" t="n">
        <v>309414</v>
      </c>
      <c r="H279" s="288" t="inlineStr">
        <is>
          <t>예측</t>
        </is>
      </c>
    </row>
    <row r="280">
      <c r="A280" s="345" t="n">
        <v>46294</v>
      </c>
      <c r="B280" s="288" t="n">
        <v>9</v>
      </c>
      <c r="C280" s="288" t="inlineStr">
        <is>
          <t>498410</t>
        </is>
      </c>
      <c r="D280" s="288" t="inlineStr">
        <is>
          <t>KODEX금융고배당TOP10타겟위클리커버드콜</t>
        </is>
      </c>
      <c r="E280" s="289" t="n">
        <v>375566</v>
      </c>
      <c r="F280" s="343" t="n"/>
      <c r="G280" s="289" t="n">
        <v>375566</v>
      </c>
      <c r="H280" s="288" t="inlineStr">
        <is>
          <t>예측</t>
        </is>
      </c>
    </row>
    <row r="281">
      <c r="A281" s="345" t="n">
        <v>46295</v>
      </c>
      <c r="B281" s="288" t="n">
        <v>9</v>
      </c>
      <c r="C281" s="288" t="inlineStr">
        <is>
          <t>0219E0</t>
        </is>
      </c>
      <c r="D281" s="288" t="inlineStr">
        <is>
          <t>KODEX 200커버드콜액티브</t>
        </is>
      </c>
      <c r="E281" s="289" t="n">
        <v>200960</v>
      </c>
      <c r="F281" s="343" t="n"/>
      <c r="G281" s="289" t="n">
        <v>200960</v>
      </c>
      <c r="H281" s="288" t="inlineStr">
        <is>
          <t>예측</t>
        </is>
      </c>
    </row>
    <row r="282">
      <c r="A282" s="345" t="n">
        <v>46295</v>
      </c>
      <c r="B282" s="288" t="n">
        <v>9</v>
      </c>
      <c r="C282" s="288" t="inlineStr">
        <is>
          <t>AMT</t>
        </is>
      </c>
      <c r="D282" s="288" t="inlineStr">
        <is>
          <t>아메리칸타워</t>
        </is>
      </c>
      <c r="E282" s="289" t="n"/>
      <c r="F282" s="343" t="n">
        <v>8.5</v>
      </c>
      <c r="G282" s="289" t="n">
        <v>11619.5</v>
      </c>
      <c r="H282" s="288" t="inlineStr">
        <is>
          <t>예측</t>
        </is>
      </c>
    </row>
    <row r="283">
      <c r="A283" s="345" t="n">
        <v>46304</v>
      </c>
      <c r="B283" s="288" t="n">
        <v>10</v>
      </c>
      <c r="C283" s="288" t="inlineStr">
        <is>
          <t>AMT</t>
        </is>
      </c>
      <c r="D283" s="288" t="inlineStr">
        <is>
          <t>아메리칸타워</t>
        </is>
      </c>
      <c r="E283" s="289" t="n"/>
      <c r="F283" s="343" t="n">
        <v>8.1</v>
      </c>
      <c r="G283" s="289" t="n">
        <v>11072.7</v>
      </c>
      <c r="H283" s="288" t="inlineStr">
        <is>
          <t>예측</t>
        </is>
      </c>
    </row>
    <row r="284">
      <c r="A284" s="345" t="n">
        <v>46305</v>
      </c>
      <c r="B284" s="288" t="n">
        <v>10</v>
      </c>
      <c r="C284" s="288" t="inlineStr">
        <is>
          <t>ORCL</t>
        </is>
      </c>
      <c r="D284" s="288" t="inlineStr">
        <is>
          <t>오라클</t>
        </is>
      </c>
      <c r="E284" s="289" t="n"/>
      <c r="F284" s="343" t="n">
        <v>0.9</v>
      </c>
      <c r="G284" s="289" t="n">
        <v>1230.3</v>
      </c>
      <c r="H284" s="288" t="inlineStr">
        <is>
          <t>예측</t>
        </is>
      </c>
    </row>
    <row r="285">
      <c r="A285" s="345" t="n">
        <v>46306</v>
      </c>
      <c r="B285" s="288" t="n">
        <v>10</v>
      </c>
      <c r="C285" s="288" t="inlineStr">
        <is>
          <t>O</t>
        </is>
      </c>
      <c r="D285" s="288" t="inlineStr">
        <is>
          <t>리얼티인컴</t>
        </is>
      </c>
      <c r="E285" s="289" t="n"/>
      <c r="F285" s="343" t="n">
        <v>14.204</v>
      </c>
      <c r="G285" s="289" t="n">
        <v>19416.868</v>
      </c>
      <c r="H285" s="288" t="inlineStr">
        <is>
          <t>예측</t>
        </is>
      </c>
    </row>
    <row r="286">
      <c r="A286" s="345" t="n">
        <v>46309</v>
      </c>
      <c r="B286" s="288" t="n">
        <v>10</v>
      </c>
      <c r="C286" s="288" t="inlineStr">
        <is>
          <t>0008S0</t>
        </is>
      </c>
      <c r="D286" s="288" t="inlineStr">
        <is>
          <t>TIGER 미국배당다우존스타겟데일리커버드콜</t>
        </is>
      </c>
      <c r="E286" s="289" t="n">
        <v>261000</v>
      </c>
      <c r="F286" s="343" t="n"/>
      <c r="G286" s="289" t="n">
        <v>261000</v>
      </c>
      <c r="H286" s="288" t="inlineStr">
        <is>
          <t>예측</t>
        </is>
      </c>
    </row>
    <row r="287">
      <c r="A287" s="345" t="n">
        <v>46309</v>
      </c>
      <c r="B287" s="288" t="n">
        <v>10</v>
      </c>
      <c r="C287" s="288" t="inlineStr">
        <is>
          <t>474220</t>
        </is>
      </c>
      <c r="D287" s="288" t="inlineStr">
        <is>
          <t>TIGER미국테크TOP10커버드콜</t>
        </is>
      </c>
      <c r="E287" s="289" t="n">
        <v>523380</v>
      </c>
      <c r="F287" s="343" t="n"/>
      <c r="G287" s="289" t="n">
        <v>523380</v>
      </c>
      <c r="H287" s="288" t="inlineStr">
        <is>
          <t>예측</t>
        </is>
      </c>
    </row>
    <row r="288">
      <c r="A288" s="345" t="n">
        <v>46309</v>
      </c>
      <c r="B288" s="288" t="n">
        <v>10</v>
      </c>
      <c r="C288" s="288" t="inlineStr">
        <is>
          <t>481060</t>
        </is>
      </c>
      <c r="D288" s="288" t="inlineStr">
        <is>
          <t>KODEX 미국30년국채타겟커버드콜(H)</t>
        </is>
      </c>
      <c r="E288" s="289" t="n">
        <v>287640</v>
      </c>
      <c r="F288" s="343" t="n"/>
      <c r="G288" s="289" t="n">
        <v>287640</v>
      </c>
      <c r="H288" s="288" t="inlineStr">
        <is>
          <t>예측</t>
        </is>
      </c>
    </row>
    <row r="289">
      <c r="A289" s="345" t="n">
        <v>46309</v>
      </c>
      <c r="B289" s="288" t="n">
        <v>10</v>
      </c>
      <c r="C289" s="288" t="inlineStr">
        <is>
          <t>490490</t>
        </is>
      </c>
      <c r="D289" s="288" t="inlineStr">
        <is>
          <t>SOL미국배당미국채혼합50</t>
        </is>
      </c>
      <c r="E289" s="289" t="n">
        <v>80241</v>
      </c>
      <c r="F289" s="343" t="n"/>
      <c r="G289" s="289" t="n">
        <v>80241</v>
      </c>
      <c r="H289" s="288" t="inlineStr">
        <is>
          <t>예측</t>
        </is>
      </c>
    </row>
    <row r="290">
      <c r="A290" s="345" t="n">
        <v>46309</v>
      </c>
      <c r="B290" s="288" t="n">
        <v>10</v>
      </c>
      <c r="C290" s="288" t="inlineStr">
        <is>
          <t>498400</t>
        </is>
      </c>
      <c r="D290" s="288" t="inlineStr">
        <is>
          <t>KODEX 200타켓위클리커버드콜</t>
        </is>
      </c>
      <c r="E290" s="289" t="n">
        <v>105092</v>
      </c>
      <c r="F290" s="343" t="n"/>
      <c r="G290" s="289" t="n">
        <v>105092</v>
      </c>
      <c r="H290" s="288" t="inlineStr">
        <is>
          <t>예측</t>
        </is>
      </c>
    </row>
    <row r="291">
      <c r="A291" s="345" t="n">
        <v>46325</v>
      </c>
      <c r="B291" s="288" t="n">
        <v>10</v>
      </c>
      <c r="C291" s="288" t="inlineStr">
        <is>
          <t>133690</t>
        </is>
      </c>
      <c r="D291" s="288" t="inlineStr">
        <is>
          <t>TIGER 미국나스닥100</t>
        </is>
      </c>
      <c r="E291" s="289" t="n">
        <v>11457</v>
      </c>
      <c r="F291" s="343" t="n"/>
      <c r="G291" s="289" t="n">
        <v>11457</v>
      </c>
      <c r="H291" s="288" t="inlineStr">
        <is>
          <t>예측</t>
        </is>
      </c>
    </row>
    <row r="292">
      <c r="A292" s="345" t="n">
        <v>46325</v>
      </c>
      <c r="B292" s="288" t="n">
        <v>10</v>
      </c>
      <c r="C292" s="288" t="inlineStr">
        <is>
          <t>329200</t>
        </is>
      </c>
      <c r="D292" s="288" t="inlineStr">
        <is>
          <t>TIGER리츠부동산인프라</t>
        </is>
      </c>
      <c r="E292" s="289" t="n">
        <v>155000</v>
      </c>
      <c r="F292" s="343" t="n"/>
      <c r="G292" s="289" t="n">
        <v>155000</v>
      </c>
      <c r="H292" s="288" t="inlineStr">
        <is>
          <t>예측</t>
        </is>
      </c>
    </row>
    <row r="293">
      <c r="A293" s="345" t="n">
        <v>46325</v>
      </c>
      <c r="B293" s="288" t="n">
        <v>10</v>
      </c>
      <c r="C293" s="288" t="inlineStr">
        <is>
          <t>360750</t>
        </is>
      </c>
      <c r="D293" s="288" t="inlineStr">
        <is>
          <t>TIGER미국S&amp;P500</t>
        </is>
      </c>
      <c r="E293" s="289" t="n">
        <v>13688</v>
      </c>
      <c r="F293" s="343" t="n"/>
      <c r="G293" s="289" t="n">
        <v>13688</v>
      </c>
      <c r="H293" s="288" t="inlineStr">
        <is>
          <t>예측</t>
        </is>
      </c>
    </row>
    <row r="294">
      <c r="A294" s="345" t="n">
        <v>46325</v>
      </c>
      <c r="B294" s="288" t="n">
        <v>10</v>
      </c>
      <c r="C294" s="288" t="inlineStr">
        <is>
          <t>367380</t>
        </is>
      </c>
      <c r="D294" s="288" t="inlineStr">
        <is>
          <t>ACE 미국나스닥100</t>
        </is>
      </c>
      <c r="E294" s="289" t="n">
        <v>12337</v>
      </c>
      <c r="F294" s="343" t="n"/>
      <c r="G294" s="289" t="n">
        <v>12337</v>
      </c>
      <c r="H294" s="288" t="inlineStr">
        <is>
          <t>예측</t>
        </is>
      </c>
    </row>
    <row r="295">
      <c r="A295" s="345" t="n">
        <v>46325</v>
      </c>
      <c r="B295" s="288" t="n">
        <v>10</v>
      </c>
      <c r="C295" s="288" t="inlineStr">
        <is>
          <t>379810</t>
        </is>
      </c>
      <c r="D295" s="288" t="inlineStr">
        <is>
          <t>KODEX 미국나스닥100</t>
        </is>
      </c>
      <c r="E295" s="289" t="n">
        <v>24822</v>
      </c>
      <c r="F295" s="343" t="n"/>
      <c r="G295" s="289" t="n">
        <v>24822</v>
      </c>
      <c r="H295" s="288" t="inlineStr">
        <is>
          <t>예측</t>
        </is>
      </c>
    </row>
    <row r="296">
      <c r="A296" s="345" t="n">
        <v>46325</v>
      </c>
      <c r="B296" s="288" t="n">
        <v>10</v>
      </c>
      <c r="C296" s="288" t="inlineStr">
        <is>
          <t>433330</t>
        </is>
      </c>
      <c r="D296" s="288" t="inlineStr">
        <is>
          <t>SOL 미국 S&amp;P500</t>
        </is>
      </c>
      <c r="E296" s="289" t="n">
        <v>14014</v>
      </c>
      <c r="F296" s="343" t="n"/>
      <c r="G296" s="289" t="n">
        <v>14014</v>
      </c>
      <c r="H296" s="288" t="inlineStr">
        <is>
          <t>예측</t>
        </is>
      </c>
    </row>
    <row r="297">
      <c r="A297" s="345" t="n">
        <v>46325</v>
      </c>
      <c r="B297" s="288" t="n">
        <v>10</v>
      </c>
      <c r="C297" s="288" t="inlineStr">
        <is>
          <t>446720</t>
        </is>
      </c>
      <c r="D297" s="288" t="inlineStr">
        <is>
          <t>SOL 미국배당다우존스</t>
        </is>
      </c>
      <c r="E297" s="289" t="n">
        <v>43890</v>
      </c>
      <c r="F297" s="343" t="n"/>
      <c r="G297" s="289" t="n">
        <v>43890</v>
      </c>
      <c r="H297" s="288" t="inlineStr">
        <is>
          <t>예측</t>
        </is>
      </c>
    </row>
    <row r="298">
      <c r="A298" s="345" t="n">
        <v>46325</v>
      </c>
      <c r="B298" s="288" t="n">
        <v>10</v>
      </c>
      <c r="C298" s="288" t="inlineStr">
        <is>
          <t>458760</t>
        </is>
      </c>
      <c r="D298" s="288" t="inlineStr">
        <is>
          <t>TIGER 미배당다우커버드콜2호</t>
        </is>
      </c>
      <c r="E298" s="289" t="n">
        <v>1343388</v>
      </c>
      <c r="F298" s="343" t="n"/>
      <c r="G298" s="289" t="n">
        <v>1343388</v>
      </c>
      <c r="H298" s="288" t="inlineStr">
        <is>
          <t>예측</t>
        </is>
      </c>
    </row>
    <row r="299">
      <c r="A299" s="345" t="n">
        <v>46325</v>
      </c>
      <c r="B299" s="288" t="n">
        <v>10</v>
      </c>
      <c r="C299" s="288" t="inlineStr">
        <is>
          <t>468380</t>
        </is>
      </c>
      <c r="D299" s="288" t="inlineStr">
        <is>
          <t>KODEX iShares미국하이일드액티브</t>
        </is>
      </c>
      <c r="E299" s="289" t="n">
        <v>120000</v>
      </c>
      <c r="F299" s="343" t="n"/>
      <c r="G299" s="289" t="n">
        <v>120000</v>
      </c>
      <c r="H299" s="288" t="inlineStr">
        <is>
          <t>예측</t>
        </is>
      </c>
    </row>
    <row r="300">
      <c r="A300" s="345" t="n">
        <v>46325</v>
      </c>
      <c r="B300" s="288" t="n">
        <v>10</v>
      </c>
      <c r="C300" s="288" t="inlineStr">
        <is>
          <t>473330</t>
        </is>
      </c>
      <c r="D300" s="288" t="inlineStr">
        <is>
          <t>SOL 미국 30년국채커버드콜(합성)</t>
        </is>
      </c>
      <c r="E300" s="289" t="n">
        <v>78720</v>
      </c>
      <c r="F300" s="343" t="n"/>
      <c r="G300" s="289" t="n">
        <v>78720</v>
      </c>
      <c r="H300" s="288" t="inlineStr">
        <is>
          <t>예측</t>
        </is>
      </c>
    </row>
    <row r="301">
      <c r="A301" s="345" t="n">
        <v>46325</v>
      </c>
      <c r="B301" s="288" t="n">
        <v>10</v>
      </c>
      <c r="C301" s="288" t="inlineStr">
        <is>
          <t>475380</t>
        </is>
      </c>
      <c r="D301" s="288" t="inlineStr">
        <is>
          <t>RISE 글로벌리얼티인컴</t>
        </is>
      </c>
      <c r="E301" s="289" t="n">
        <v>3737</v>
      </c>
      <c r="F301" s="343" t="n"/>
      <c r="G301" s="289" t="n">
        <v>3737</v>
      </c>
      <c r="H301" s="288" t="inlineStr">
        <is>
          <t>예측</t>
        </is>
      </c>
    </row>
    <row r="302">
      <c r="A302" s="345" t="n">
        <v>46325</v>
      </c>
      <c r="B302" s="288" t="n">
        <v>10</v>
      </c>
      <c r="C302" s="288" t="inlineStr">
        <is>
          <t>476550</t>
        </is>
      </c>
      <c r="D302" s="288" t="inlineStr">
        <is>
          <t>TIGER 미국30년국채커버드콜액티브(H)</t>
        </is>
      </c>
      <c r="E302" s="289" t="n">
        <v>37928</v>
      </c>
      <c r="F302" s="343" t="n"/>
      <c r="G302" s="289" t="n">
        <v>37928</v>
      </c>
      <c r="H302" s="288" t="inlineStr">
        <is>
          <t>예측</t>
        </is>
      </c>
    </row>
    <row r="303">
      <c r="A303" s="345" t="n">
        <v>46325</v>
      </c>
      <c r="B303" s="288" t="n">
        <v>10</v>
      </c>
      <c r="C303" s="288" t="inlineStr">
        <is>
          <t>476690</t>
        </is>
      </c>
      <c r="D303" s="288" t="inlineStr">
        <is>
          <t>TIGER 글로벌비만치료제 TOP2 Plus</t>
        </is>
      </c>
      <c r="E303" s="289" t="n">
        <v>1200</v>
      </c>
      <c r="F303" s="343" t="n"/>
      <c r="G303" s="289" t="n">
        <v>1200</v>
      </c>
      <c r="H303" s="288" t="inlineStr">
        <is>
          <t>예측</t>
        </is>
      </c>
    </row>
    <row r="304">
      <c r="A304" s="345" t="n">
        <v>46325</v>
      </c>
      <c r="B304" s="288" t="n">
        <v>10</v>
      </c>
      <c r="C304" s="288" t="inlineStr">
        <is>
          <t>482730</t>
        </is>
      </c>
      <c r="D304" s="288" t="inlineStr">
        <is>
          <t>미국S&amp;P500타겟데일리커버드콜</t>
        </is>
      </c>
      <c r="E304" s="289" t="n">
        <v>40375</v>
      </c>
      <c r="F304" s="343" t="n"/>
      <c r="G304" s="289" t="n">
        <v>40375</v>
      </c>
      <c r="H304" s="288" t="inlineStr">
        <is>
          <t>예측</t>
        </is>
      </c>
    </row>
    <row r="305">
      <c r="A305" s="345" t="n">
        <v>46325</v>
      </c>
      <c r="B305" s="288" t="n">
        <v>10</v>
      </c>
      <c r="C305" s="288" t="inlineStr">
        <is>
          <t>483280</t>
        </is>
      </c>
      <c r="D305" s="288" t="inlineStr">
        <is>
          <t>KODEX 미국AI테크TOP10타겟커버드콜</t>
        </is>
      </c>
      <c r="E305" s="289" t="n">
        <v>324996</v>
      </c>
      <c r="F305" s="343" t="n"/>
      <c r="G305" s="289" t="n">
        <v>324996</v>
      </c>
      <c r="H305" s="288" t="inlineStr">
        <is>
          <t>예측</t>
        </is>
      </c>
    </row>
    <row r="306">
      <c r="A306" s="345" t="n">
        <v>46325</v>
      </c>
      <c r="B306" s="288" t="n">
        <v>10</v>
      </c>
      <c r="C306" s="288" t="inlineStr">
        <is>
          <t>498410</t>
        </is>
      </c>
      <c r="D306" s="288" t="inlineStr">
        <is>
          <t>KODEX금융고배당TOP10타겟위클리커버드콜</t>
        </is>
      </c>
      <c r="E306" s="289" t="n">
        <v>366058</v>
      </c>
      <c r="F306" s="343" t="n"/>
      <c r="G306" s="289" t="n">
        <v>366058</v>
      </c>
      <c r="H306" s="288" t="inlineStr">
        <is>
          <t>예측</t>
        </is>
      </c>
    </row>
    <row r="307">
      <c r="A307" s="345" t="n">
        <v>46326</v>
      </c>
      <c r="B307" s="288" t="n">
        <v>10</v>
      </c>
      <c r="C307" s="288" t="inlineStr">
        <is>
          <t>0219E0</t>
        </is>
      </c>
      <c r="D307" s="288" t="inlineStr">
        <is>
          <t>KODEX 200커버드콜액티브</t>
        </is>
      </c>
      <c r="E307" s="289" t="n">
        <v>200960</v>
      </c>
      <c r="F307" s="343" t="n"/>
      <c r="G307" s="289" t="n">
        <v>200960</v>
      </c>
      <c r="H307" s="288" t="inlineStr">
        <is>
          <t>예측</t>
        </is>
      </c>
    </row>
    <row r="308">
      <c r="A308" s="345" t="n">
        <v>46335</v>
      </c>
      <c r="B308" s="288" t="n">
        <v>11</v>
      </c>
      <c r="C308" s="288" t="inlineStr">
        <is>
          <t>AAPL</t>
        </is>
      </c>
      <c r="D308" s="288" t="inlineStr">
        <is>
          <t>애플</t>
        </is>
      </c>
      <c r="E308" s="289" t="n"/>
      <c r="F308" s="343" t="n">
        <v>2.295</v>
      </c>
      <c r="G308" s="289" t="n">
        <v>3137.265</v>
      </c>
      <c r="H308" s="288" t="inlineStr">
        <is>
          <t>예측</t>
        </is>
      </c>
    </row>
    <row r="309">
      <c r="A309" s="345" t="n">
        <v>46339</v>
      </c>
      <c r="B309" s="288" t="n">
        <v>11</v>
      </c>
      <c r="C309" s="288" t="inlineStr">
        <is>
          <t>0008S0</t>
        </is>
      </c>
      <c r="D309" s="288" t="inlineStr">
        <is>
          <t>TIGER 미국배당다우존스타겟데일리커버드콜</t>
        </is>
      </c>
      <c r="E309" s="289" t="n">
        <v>267000</v>
      </c>
      <c r="F309" s="343" t="n"/>
      <c r="G309" s="289" t="n">
        <v>267000</v>
      </c>
      <c r="H309" s="288" t="inlineStr">
        <is>
          <t>예측</t>
        </is>
      </c>
    </row>
    <row r="310">
      <c r="A310" s="345" t="n">
        <v>46339</v>
      </c>
      <c r="B310" s="288" t="n">
        <v>11</v>
      </c>
      <c r="C310" s="288" t="n">
        <v>105560</v>
      </c>
      <c r="D310" s="288" t="inlineStr">
        <is>
          <t>KB금융</t>
        </is>
      </c>
      <c r="E310" s="289" t="n">
        <v>11160</v>
      </c>
      <c r="F310" s="343" t="n"/>
      <c r="G310" s="289" t="n">
        <v>11160</v>
      </c>
      <c r="H310" s="288" t="inlineStr">
        <is>
          <t>예측</t>
        </is>
      </c>
    </row>
    <row r="311">
      <c r="A311" s="345" t="n">
        <v>46339</v>
      </c>
      <c r="B311" s="288" t="n">
        <v>11</v>
      </c>
      <c r="C311" s="288" t="inlineStr">
        <is>
          <t>498400</t>
        </is>
      </c>
      <c r="D311" s="288" t="inlineStr">
        <is>
          <t>KODEX 200타켓위클리커버드콜</t>
        </is>
      </c>
      <c r="E311" s="289" t="n">
        <v>119756</v>
      </c>
      <c r="F311" s="343" t="n"/>
      <c r="G311" s="289" t="n">
        <v>119756</v>
      </c>
      <c r="H311" s="288" t="inlineStr">
        <is>
          <t>예측</t>
        </is>
      </c>
    </row>
    <row r="312">
      <c r="A312" s="345" t="n">
        <v>46340</v>
      </c>
      <c r="B312" s="288" t="n">
        <v>11</v>
      </c>
      <c r="C312" s="288" t="inlineStr">
        <is>
          <t>474220</t>
        </is>
      </c>
      <c r="D312" s="288" t="inlineStr">
        <is>
          <t>TIGER미국테크TOP10커버드콜</t>
        </is>
      </c>
      <c r="E312" s="289" t="n">
        <v>571375</v>
      </c>
      <c r="F312" s="343" t="n"/>
      <c r="G312" s="289" t="n">
        <v>571375</v>
      </c>
      <c r="H312" s="288" t="inlineStr">
        <is>
          <t>예측</t>
        </is>
      </c>
    </row>
    <row r="313">
      <c r="A313" s="345" t="n">
        <v>46340</v>
      </c>
      <c r="B313" s="288" t="n">
        <v>11</v>
      </c>
      <c r="C313" s="288" t="inlineStr">
        <is>
          <t>481060</t>
        </is>
      </c>
      <c r="D313" s="288" t="inlineStr">
        <is>
          <t>KODEX 미국30년국채타겟커버드콜(H)</t>
        </is>
      </c>
      <c r="E313" s="289" t="n">
        <v>278460</v>
      </c>
      <c r="F313" s="343" t="n"/>
      <c r="G313" s="289" t="n">
        <v>278460</v>
      </c>
      <c r="H313" s="288" t="inlineStr">
        <is>
          <t>예측</t>
        </is>
      </c>
    </row>
    <row r="314">
      <c r="A314" s="345" t="n">
        <v>46340</v>
      </c>
      <c r="B314" s="288" t="n">
        <v>11</v>
      </c>
      <c r="C314" s="288" t="inlineStr">
        <is>
          <t>490490</t>
        </is>
      </c>
      <c r="D314" s="288" t="inlineStr">
        <is>
          <t>SOL미국배당미국채혼합50</t>
        </is>
      </c>
      <c r="E314" s="289" t="n">
        <v>122272</v>
      </c>
      <c r="F314" s="343" t="n"/>
      <c r="G314" s="289" t="n">
        <v>122272</v>
      </c>
      <c r="H314" s="288" t="inlineStr">
        <is>
          <t>예측</t>
        </is>
      </c>
    </row>
    <row r="315">
      <c r="A315" s="345" t="n">
        <v>46340</v>
      </c>
      <c r="B315" s="288" t="n">
        <v>11</v>
      </c>
      <c r="C315" s="288" t="inlineStr">
        <is>
          <t>O</t>
        </is>
      </c>
      <c r="D315" s="288" t="inlineStr">
        <is>
          <t>리얼티인컴</t>
        </is>
      </c>
      <c r="E315" s="289" t="n"/>
      <c r="F315" s="343" t="n">
        <v>14.151</v>
      </c>
      <c r="G315" s="289" t="n">
        <v>19344.417</v>
      </c>
      <c r="H315" s="288" t="inlineStr">
        <is>
          <t>예측</t>
        </is>
      </c>
    </row>
    <row r="316">
      <c r="A316" s="345" t="n">
        <v>46340</v>
      </c>
      <c r="B316" s="288" t="n">
        <v>11</v>
      </c>
      <c r="C316" s="288" t="inlineStr">
        <is>
          <t>SBUX</t>
        </is>
      </c>
      <c r="D316" s="288" t="inlineStr">
        <is>
          <t>스타벅스</t>
        </is>
      </c>
      <c r="E316" s="289" t="n"/>
      <c r="F316" s="343" t="n">
        <v>1.23</v>
      </c>
      <c r="G316" s="289" t="n">
        <v>1681.41</v>
      </c>
      <c r="H316" s="288" t="inlineStr">
        <is>
          <t>예측</t>
        </is>
      </c>
    </row>
    <row r="317">
      <c r="A317" s="345" t="n">
        <v>46340</v>
      </c>
      <c r="B317" s="288" t="n">
        <v>11</v>
      </c>
      <c r="C317" s="288" t="inlineStr">
        <is>
          <t>XOM</t>
        </is>
      </c>
      <c r="D317" s="288" t="inlineStr">
        <is>
          <t>엑슨모빌</t>
        </is>
      </c>
      <c r="E317" s="289" t="n"/>
      <c r="F317" s="343" t="n">
        <v>1.01</v>
      </c>
      <c r="G317" s="289" t="n">
        <v>1380.67</v>
      </c>
      <c r="H317" s="288" t="inlineStr">
        <is>
          <t>예측</t>
        </is>
      </c>
    </row>
    <row r="318">
      <c r="A318" s="345" t="n">
        <v>46344</v>
      </c>
      <c r="B318" s="288" t="n">
        <v>11</v>
      </c>
      <c r="C318" s="288" t="inlineStr">
        <is>
          <t>CVX</t>
        </is>
      </c>
      <c r="D318" s="288" t="inlineStr">
        <is>
          <t>셰브론</t>
        </is>
      </c>
      <c r="E318" s="289" t="n"/>
      <c r="F318" s="343" t="n">
        <v>1.67</v>
      </c>
      <c r="G318" s="289" t="n">
        <v>2282.89</v>
      </c>
      <c r="H318" s="288" t="inlineStr">
        <is>
          <t>예측</t>
        </is>
      </c>
    </row>
    <row r="319">
      <c r="A319" s="345" t="n">
        <v>46346</v>
      </c>
      <c r="B319" s="288" t="n">
        <v>11</v>
      </c>
      <c r="C319" s="288" t="inlineStr">
        <is>
          <t>MSFT</t>
        </is>
      </c>
      <c r="D319" s="288" t="inlineStr">
        <is>
          <t>마이크로소프트</t>
        </is>
      </c>
      <c r="E319" s="289" t="n"/>
      <c r="F319" s="343" t="n">
        <v>1.74</v>
      </c>
      <c r="G319" s="289" t="n">
        <v>2378.58</v>
      </c>
      <c r="H319" s="288" t="inlineStr">
        <is>
          <t>예측</t>
        </is>
      </c>
    </row>
    <row r="320">
      <c r="A320" s="345" t="n">
        <v>46352</v>
      </c>
      <c r="B320" s="288" t="n">
        <v>11</v>
      </c>
      <c r="C320" s="288" t="inlineStr">
        <is>
          <t>TMUS</t>
        </is>
      </c>
      <c r="D320" s="288" t="inlineStr">
        <is>
          <t>T-모바일</t>
        </is>
      </c>
      <c r="E320" s="289" t="n"/>
      <c r="F320" s="343" t="n">
        <v>3.8</v>
      </c>
      <c r="G320" s="289" t="n">
        <v>5194.599999999999</v>
      </c>
      <c r="H320" s="288" t="inlineStr">
        <is>
          <t>예측</t>
        </is>
      </c>
    </row>
    <row r="321">
      <c r="A321" s="345" t="n">
        <v>46353</v>
      </c>
      <c r="B321" s="288" t="n">
        <v>11</v>
      </c>
      <c r="C321" s="288" t="inlineStr">
        <is>
          <t>005389</t>
        </is>
      </c>
      <c r="D321" s="288" t="inlineStr">
        <is>
          <t>현대차3우B</t>
        </is>
      </c>
      <c r="E321" s="289" t="n">
        <v>32500</v>
      </c>
      <c r="F321" s="343" t="n"/>
      <c r="G321" s="289" t="n">
        <v>32500</v>
      </c>
      <c r="H321" s="288" t="inlineStr">
        <is>
          <t>예측</t>
        </is>
      </c>
    </row>
    <row r="322">
      <c r="A322" s="345" t="n">
        <v>46353</v>
      </c>
      <c r="B322" s="288" t="n">
        <v>11</v>
      </c>
      <c r="C322" s="288" t="inlineStr">
        <is>
          <t>472170</t>
        </is>
      </c>
      <c r="D322" s="288" t="inlineStr">
        <is>
          <t>TIGER 미국테크TOP10채권혼합</t>
        </is>
      </c>
      <c r="E322" s="289" t="n">
        <v>100521</v>
      </c>
      <c r="F322" s="343" t="n"/>
      <c r="G322" s="289" t="n">
        <v>100521</v>
      </c>
      <c r="H322" s="288" t="inlineStr">
        <is>
          <t>예측</t>
        </is>
      </c>
    </row>
    <row r="323">
      <c r="A323" s="345" t="n">
        <v>46353</v>
      </c>
      <c r="B323" s="288" t="n">
        <v>11</v>
      </c>
      <c r="C323" s="288" t="inlineStr">
        <is>
          <t>498410</t>
        </is>
      </c>
      <c r="D323" s="288" t="inlineStr">
        <is>
          <t>KODEX금융고배당TOP10타겟위클리커버드콜</t>
        </is>
      </c>
      <c r="E323" s="289" t="n">
        <v>366058</v>
      </c>
      <c r="F323" s="343" t="n"/>
      <c r="G323" s="289" t="n">
        <v>366058</v>
      </c>
      <c r="H323" s="288" t="inlineStr">
        <is>
          <t>예측</t>
        </is>
      </c>
    </row>
    <row r="324">
      <c r="A324" s="345" t="n">
        <v>46354</v>
      </c>
      <c r="B324" s="288" t="n">
        <v>11</v>
      </c>
      <c r="C324" s="288" t="inlineStr">
        <is>
          <t>329200</t>
        </is>
      </c>
      <c r="D324" s="288" t="inlineStr">
        <is>
          <t>TIGER리츠부동산인프라</t>
        </is>
      </c>
      <c r="E324" s="289" t="n">
        <v>107500</v>
      </c>
      <c r="F324" s="343" t="n"/>
      <c r="G324" s="289" t="n">
        <v>107500</v>
      </c>
      <c r="H324" s="288" t="inlineStr">
        <is>
          <t>예측</t>
        </is>
      </c>
    </row>
    <row r="325">
      <c r="A325" s="345" t="n">
        <v>46354</v>
      </c>
      <c r="B325" s="288" t="n">
        <v>11</v>
      </c>
      <c r="C325" s="288" t="inlineStr">
        <is>
          <t>433330</t>
        </is>
      </c>
      <c r="D325" s="288" t="inlineStr">
        <is>
          <t>SOL 미국 S&amp;P500</t>
        </is>
      </c>
      <c r="E325" s="289" t="n">
        <v>22295</v>
      </c>
      <c r="F325" s="343" t="n"/>
      <c r="G325" s="289" t="n">
        <v>22295</v>
      </c>
      <c r="H325" s="288" t="inlineStr">
        <is>
          <t>예측</t>
        </is>
      </c>
    </row>
    <row r="326">
      <c r="A326" s="345" t="n">
        <v>46354</v>
      </c>
      <c r="B326" s="288" t="n">
        <v>11</v>
      </c>
      <c r="C326" s="288" t="inlineStr">
        <is>
          <t>446720</t>
        </is>
      </c>
      <c r="D326" s="288" t="inlineStr">
        <is>
          <t>SOL 미국배당다우존스</t>
        </is>
      </c>
      <c r="E326" s="289" t="n">
        <v>53865</v>
      </c>
      <c r="F326" s="343" t="n"/>
      <c r="G326" s="289" t="n">
        <v>53865</v>
      </c>
      <c r="H326" s="288" t="inlineStr">
        <is>
          <t>예측</t>
        </is>
      </c>
    </row>
    <row r="327">
      <c r="A327" s="345" t="n">
        <v>46354</v>
      </c>
      <c r="B327" s="288" t="n">
        <v>11</v>
      </c>
      <c r="C327" s="288" t="inlineStr">
        <is>
          <t>458760</t>
        </is>
      </c>
      <c r="D327" s="288" t="inlineStr">
        <is>
          <t>TIGER 미배당다우커버드콜2호</t>
        </is>
      </c>
      <c r="E327" s="289" t="n">
        <v>1435506</v>
      </c>
      <c r="F327" s="343" t="n"/>
      <c r="G327" s="289" t="n">
        <v>1435506</v>
      </c>
      <c r="H327" s="288" t="inlineStr">
        <is>
          <t>예측</t>
        </is>
      </c>
    </row>
    <row r="328">
      <c r="A328" s="345" t="n">
        <v>46354</v>
      </c>
      <c r="B328" s="288" t="n">
        <v>11</v>
      </c>
      <c r="C328" s="288" t="inlineStr">
        <is>
          <t>468380</t>
        </is>
      </c>
      <c r="D328" s="288" t="inlineStr">
        <is>
          <t>KODEX iShares미국하이일드액티브</t>
        </is>
      </c>
      <c r="E328" s="289" t="n">
        <v>124000</v>
      </c>
      <c r="F328" s="343" t="n"/>
      <c r="G328" s="289" t="n">
        <v>124000</v>
      </c>
      <c r="H328" s="288" t="inlineStr">
        <is>
          <t>예측</t>
        </is>
      </c>
    </row>
    <row r="329">
      <c r="A329" s="345" t="n">
        <v>46354</v>
      </c>
      <c r="B329" s="288" t="n">
        <v>11</v>
      </c>
      <c r="C329" s="288" t="inlineStr">
        <is>
          <t>473330</t>
        </is>
      </c>
      <c r="D329" s="288" t="inlineStr">
        <is>
          <t>SOL 미국 30년국채커버드콜(합성)</t>
        </is>
      </c>
      <c r="E329" s="289" t="n">
        <v>108000</v>
      </c>
      <c r="F329" s="343" t="n"/>
      <c r="G329" s="289" t="n">
        <v>108000</v>
      </c>
      <c r="H329" s="288" t="inlineStr">
        <is>
          <t>예측</t>
        </is>
      </c>
    </row>
    <row r="330">
      <c r="A330" s="345" t="n">
        <v>46354</v>
      </c>
      <c r="B330" s="288" t="n">
        <v>11</v>
      </c>
      <c r="C330" s="288" t="inlineStr">
        <is>
          <t>475380</t>
        </is>
      </c>
      <c r="D330" s="288" t="inlineStr">
        <is>
          <t>RISE 글로벌리얼티인컴</t>
        </is>
      </c>
      <c r="E330" s="289" t="n">
        <v>3737</v>
      </c>
      <c r="F330" s="343" t="n"/>
      <c r="G330" s="289" t="n">
        <v>3737</v>
      </c>
      <c r="H330" s="288" t="inlineStr">
        <is>
          <t>예측</t>
        </is>
      </c>
    </row>
    <row r="331">
      <c r="A331" s="345" t="n">
        <v>46354</v>
      </c>
      <c r="B331" s="288" t="n">
        <v>11</v>
      </c>
      <c r="C331" s="288" t="inlineStr">
        <is>
          <t>476550</t>
        </is>
      </c>
      <c r="D331" s="288" t="inlineStr">
        <is>
          <t>TIGER 미국30년국채커버드콜액티브(H)</t>
        </is>
      </c>
      <c r="E331" s="289" t="n">
        <v>37066</v>
      </c>
      <c r="F331" s="343" t="n"/>
      <c r="G331" s="289" t="n">
        <v>37066</v>
      </c>
      <c r="H331" s="288" t="inlineStr">
        <is>
          <t>예측</t>
        </is>
      </c>
    </row>
    <row r="332">
      <c r="A332" s="345" t="n">
        <v>46354</v>
      </c>
      <c r="B332" s="288" t="n">
        <v>11</v>
      </c>
      <c r="C332" s="288" t="inlineStr">
        <is>
          <t>476690</t>
        </is>
      </c>
      <c r="D332" s="288" t="inlineStr">
        <is>
          <t>TIGER 글로벌비만치료제 TOP2 Plus</t>
        </is>
      </c>
      <c r="E332" s="289" t="n">
        <v>1200</v>
      </c>
      <c r="F332" s="343" t="n"/>
      <c r="G332" s="289" t="n">
        <v>1200</v>
      </c>
      <c r="H332" s="288" t="inlineStr">
        <is>
          <t>예측</t>
        </is>
      </c>
    </row>
    <row r="333">
      <c r="A333" s="345" t="n">
        <v>46354</v>
      </c>
      <c r="B333" s="288" t="n">
        <v>11</v>
      </c>
      <c r="C333" s="288" t="inlineStr">
        <is>
          <t>482730</t>
        </is>
      </c>
      <c r="D333" s="288" t="inlineStr">
        <is>
          <t>미국S&amp;P500타겟데일리커버드콜</t>
        </is>
      </c>
      <c r="E333" s="289" t="n">
        <v>40800</v>
      </c>
      <c r="F333" s="343" t="n"/>
      <c r="G333" s="289" t="n">
        <v>40800</v>
      </c>
      <c r="H333" s="288" t="inlineStr">
        <is>
          <t>예측</t>
        </is>
      </c>
    </row>
    <row r="334">
      <c r="A334" s="345" t="n">
        <v>46354</v>
      </c>
      <c r="B334" s="288" t="n">
        <v>11</v>
      </c>
      <c r="C334" s="288" t="inlineStr">
        <is>
          <t>483280</t>
        </is>
      </c>
      <c r="D334" s="288" t="inlineStr">
        <is>
          <t>KODEX 미국AI테크TOP10타겟커버드콜</t>
        </is>
      </c>
      <c r="E334" s="289" t="n">
        <v>329448</v>
      </c>
      <c r="F334" s="343" t="n"/>
      <c r="G334" s="289" t="n">
        <v>329448</v>
      </c>
      <c r="H334" s="288" t="inlineStr">
        <is>
          <t>예측</t>
        </is>
      </c>
    </row>
    <row r="335">
      <c r="A335" s="345" t="n">
        <v>46356</v>
      </c>
      <c r="B335" s="288" t="n">
        <v>11</v>
      </c>
      <c r="C335" s="288" t="inlineStr">
        <is>
          <t>0219E0</t>
        </is>
      </c>
      <c r="D335" s="288" t="inlineStr">
        <is>
          <t>KODEX 200커버드콜액티브</t>
        </is>
      </c>
      <c r="E335" s="289" t="n">
        <v>200960</v>
      </c>
      <c r="F335" s="343" t="n"/>
      <c r="G335" s="289" t="n">
        <v>200960</v>
      </c>
      <c r="H335" s="288" t="inlineStr">
        <is>
          <t>예측</t>
        </is>
      </c>
    </row>
    <row r="336">
      <c r="A336" s="345" t="n">
        <v>46358</v>
      </c>
      <c r="B336" s="288" t="n">
        <v>12</v>
      </c>
      <c r="C336" s="288" t="inlineStr">
        <is>
          <t>NKE</t>
        </is>
      </c>
      <c r="D336" s="288" t="inlineStr">
        <is>
          <t>나이키</t>
        </is>
      </c>
      <c r="E336" s="289" t="n"/>
      <c r="F336" s="343" t="n">
        <v>4.05</v>
      </c>
      <c r="G336" s="289" t="n">
        <v>5536.349999999999</v>
      </c>
      <c r="H336" s="288" t="inlineStr">
        <is>
          <t>예측</t>
        </is>
      </c>
    </row>
    <row r="337">
      <c r="A337" s="345" t="n">
        <v>46366</v>
      </c>
      <c r="B337" s="288" t="n">
        <v>12</v>
      </c>
      <c r="C337" s="288" t="inlineStr">
        <is>
          <t>SCHD</t>
        </is>
      </c>
      <c r="D337" s="288" t="inlineStr">
        <is>
          <t>SCHD</t>
        </is>
      </c>
      <c r="E337" s="289" t="n"/>
      <c r="F337" s="343" t="n">
        <v>6.516</v>
      </c>
      <c r="G337" s="289" t="n">
        <v>8907.371999999999</v>
      </c>
      <c r="H337" s="288" t="inlineStr">
        <is>
          <t>예측</t>
        </is>
      </c>
    </row>
    <row r="338">
      <c r="A338" s="345" t="n">
        <v>46368</v>
      </c>
      <c r="B338" s="288" t="n">
        <v>12</v>
      </c>
      <c r="C338" s="288" t="inlineStr">
        <is>
          <t>0008S0</t>
        </is>
      </c>
      <c r="D338" s="288" t="inlineStr">
        <is>
          <t>TIGER 미국배당다우존스타겟데일리커버드콜</t>
        </is>
      </c>
      <c r="E338" s="289" t="n">
        <v>273000</v>
      </c>
      <c r="F338" s="343" t="n"/>
      <c r="G338" s="289" t="n">
        <v>273000</v>
      </c>
      <c r="H338" s="288" t="inlineStr">
        <is>
          <t>예측</t>
        </is>
      </c>
    </row>
    <row r="339">
      <c r="A339" s="345" t="n">
        <v>46368</v>
      </c>
      <c r="B339" s="288" t="n">
        <v>12</v>
      </c>
      <c r="C339" s="288" t="inlineStr">
        <is>
          <t>474220</t>
        </is>
      </c>
      <c r="D339" s="288" t="inlineStr">
        <is>
          <t>TIGER미국테크TOP10커버드콜</t>
        </is>
      </c>
      <c r="E339" s="289" t="n">
        <v>582802</v>
      </c>
      <c r="F339" s="343" t="n"/>
      <c r="G339" s="289" t="n">
        <v>582802</v>
      </c>
      <c r="H339" s="288" t="inlineStr">
        <is>
          <t>예측</t>
        </is>
      </c>
    </row>
    <row r="340">
      <c r="A340" s="345" t="n">
        <v>46368</v>
      </c>
      <c r="B340" s="288" t="n">
        <v>12</v>
      </c>
      <c r="C340" s="288" t="inlineStr">
        <is>
          <t>481060</t>
        </is>
      </c>
      <c r="D340" s="288" t="inlineStr">
        <is>
          <t>KODEX 미국30년국채타겟커버드콜(H)</t>
        </is>
      </c>
      <c r="E340" s="289" t="n">
        <v>278460</v>
      </c>
      <c r="F340" s="343" t="n"/>
      <c r="G340" s="289" t="n">
        <v>278460</v>
      </c>
      <c r="H340" s="288" t="inlineStr">
        <is>
          <t>예측</t>
        </is>
      </c>
    </row>
    <row r="341">
      <c r="A341" s="345" t="n">
        <v>46368</v>
      </c>
      <c r="B341" s="288" t="n">
        <v>12</v>
      </c>
      <c r="C341" s="288" t="inlineStr">
        <is>
          <t>490490</t>
        </is>
      </c>
      <c r="D341" s="288" t="inlineStr">
        <is>
          <t>SOL미국배당미국채혼합50</t>
        </is>
      </c>
      <c r="E341" s="289" t="n">
        <v>114630</v>
      </c>
      <c r="F341" s="343" t="n"/>
      <c r="G341" s="289" t="n">
        <v>114630</v>
      </c>
      <c r="H341" s="288" t="inlineStr">
        <is>
          <t>예측</t>
        </is>
      </c>
    </row>
    <row r="342">
      <c r="A342" s="345" t="n">
        <v>46368</v>
      </c>
      <c r="B342" s="288" t="n">
        <v>12</v>
      </c>
      <c r="C342" s="288" t="inlineStr">
        <is>
          <t>498400</t>
        </is>
      </c>
      <c r="D342" s="288" t="inlineStr">
        <is>
          <t>KODEX 200타켓위클리커버드콜</t>
        </is>
      </c>
      <c r="E342" s="289" t="n">
        <v>119756</v>
      </c>
      <c r="F342" s="343" t="n"/>
      <c r="G342" s="289" t="n">
        <v>119756</v>
      </c>
      <c r="H342" s="288" t="inlineStr">
        <is>
          <t>예측</t>
        </is>
      </c>
    </row>
    <row r="343">
      <c r="A343" s="345" t="n">
        <v>46372</v>
      </c>
      <c r="B343" s="288" t="n">
        <v>12</v>
      </c>
      <c r="C343" s="288" t="inlineStr">
        <is>
          <t>O</t>
        </is>
      </c>
      <c r="D343" s="288" t="inlineStr">
        <is>
          <t>리얼티인컴</t>
        </is>
      </c>
      <c r="E343" s="289" t="n"/>
      <c r="F343" s="343" t="n">
        <v>14.151</v>
      </c>
      <c r="G343" s="289" t="n">
        <v>19344.417</v>
      </c>
      <c r="H343" s="288" t="inlineStr">
        <is>
          <t>예측</t>
        </is>
      </c>
    </row>
    <row r="344">
      <c r="A344" s="345" t="n">
        <v>46380</v>
      </c>
      <c r="B344" s="288" t="n">
        <v>12</v>
      </c>
      <c r="C344" s="288" t="inlineStr">
        <is>
          <t>QLD</t>
        </is>
      </c>
      <c r="D344" s="288" t="inlineStr">
        <is>
          <t>QLD</t>
        </is>
      </c>
      <c r="E344" s="289" t="n"/>
      <c r="F344" s="343" t="n">
        <v>1.6585</v>
      </c>
      <c r="G344" s="289" t="n">
        <v>2267.1695</v>
      </c>
      <c r="H344" s="288" t="inlineStr">
        <is>
          <t>예측</t>
        </is>
      </c>
    </row>
    <row r="345">
      <c r="A345" s="345" t="n">
        <v>46383</v>
      </c>
      <c r="B345" s="288" t="n">
        <v>12</v>
      </c>
      <c r="C345" s="288" t="inlineStr">
        <is>
          <t>472170</t>
        </is>
      </c>
      <c r="D345" s="288" t="inlineStr">
        <is>
          <t>TIGER 미국테크TOP10채권혼합</t>
        </is>
      </c>
      <c r="E345" s="289" t="n">
        <v>473040</v>
      </c>
      <c r="F345" s="343" t="n"/>
      <c r="G345" s="289" t="n">
        <v>473040</v>
      </c>
      <c r="H345" s="288" t="inlineStr">
        <is>
          <t>예측</t>
        </is>
      </c>
    </row>
    <row r="346">
      <c r="A346" s="345" t="n">
        <v>46384</v>
      </c>
      <c r="B346" s="288" t="n">
        <v>12</v>
      </c>
      <c r="C346" s="288" t="inlineStr">
        <is>
          <t>005930</t>
        </is>
      </c>
      <c r="D346" s="288" t="inlineStr">
        <is>
          <t>삼성전자</t>
        </is>
      </c>
      <c r="E346" s="289" t="n">
        <v>45986</v>
      </c>
      <c r="F346" s="343" t="n"/>
      <c r="G346" s="289" t="n">
        <v>45986</v>
      </c>
      <c r="H346" s="288" t="inlineStr">
        <is>
          <t>예측</t>
        </is>
      </c>
    </row>
    <row r="347">
      <c r="A347" s="345" t="n">
        <v>46384</v>
      </c>
      <c r="B347" s="288" t="n">
        <v>12</v>
      </c>
      <c r="C347" s="288" t="inlineStr">
        <is>
          <t>329200</t>
        </is>
      </c>
      <c r="D347" s="288" t="inlineStr">
        <is>
          <t>TIGER리츠부동산인프라</t>
        </is>
      </c>
      <c r="E347" s="289" t="n">
        <v>120000</v>
      </c>
      <c r="F347" s="343" t="n"/>
      <c r="G347" s="289" t="n">
        <v>120000</v>
      </c>
      <c r="H347" s="288" t="inlineStr">
        <is>
          <t>예측</t>
        </is>
      </c>
    </row>
    <row r="348">
      <c r="A348" s="345" t="n">
        <v>46384</v>
      </c>
      <c r="B348" s="288" t="n">
        <v>12</v>
      </c>
      <c r="C348" s="288" t="inlineStr">
        <is>
          <t>433330</t>
        </is>
      </c>
      <c r="D348" s="288" t="inlineStr">
        <is>
          <t>SOL 미국 S&amp;P500</t>
        </is>
      </c>
      <c r="E348" s="289" t="n">
        <v>22932</v>
      </c>
      <c r="F348" s="343" t="n"/>
      <c r="G348" s="289" t="n">
        <v>22932</v>
      </c>
      <c r="H348" s="288" t="inlineStr">
        <is>
          <t>예측</t>
        </is>
      </c>
    </row>
    <row r="349">
      <c r="A349" s="345" t="n">
        <v>46384</v>
      </c>
      <c r="B349" s="288" t="n">
        <v>12</v>
      </c>
      <c r="C349" s="288" t="inlineStr">
        <is>
          <t>446720</t>
        </is>
      </c>
      <c r="D349" s="288" t="inlineStr">
        <is>
          <t>SOL 미국배당다우존스</t>
        </is>
      </c>
      <c r="E349" s="289" t="n">
        <v>47880</v>
      </c>
      <c r="F349" s="343" t="n"/>
      <c r="G349" s="289" t="n">
        <v>47880</v>
      </c>
      <c r="H349" s="288" t="inlineStr">
        <is>
          <t>예측</t>
        </is>
      </c>
    </row>
    <row r="350">
      <c r="A350" s="345" t="n">
        <v>46384</v>
      </c>
      <c r="B350" s="288" t="n">
        <v>12</v>
      </c>
      <c r="C350" s="288" t="inlineStr">
        <is>
          <t>458760</t>
        </is>
      </c>
      <c r="D350" s="288" t="inlineStr">
        <is>
          <t>TIGER 미배당다우커버드콜2호</t>
        </is>
      </c>
      <c r="E350" s="289" t="n">
        <v>1412476</v>
      </c>
      <c r="F350" s="343" t="n"/>
      <c r="G350" s="289" t="n">
        <v>1412476</v>
      </c>
      <c r="H350" s="288" t="inlineStr">
        <is>
          <t>예측</t>
        </is>
      </c>
    </row>
    <row r="351">
      <c r="A351" s="345" t="n">
        <v>46384</v>
      </c>
      <c r="B351" s="288" t="n">
        <v>12</v>
      </c>
      <c r="C351" s="288" t="inlineStr">
        <is>
          <t>468380</t>
        </is>
      </c>
      <c r="D351" s="288" t="inlineStr">
        <is>
          <t>KODEX iShares미국하이일드액티브</t>
        </is>
      </c>
      <c r="E351" s="289" t="n">
        <v>133000</v>
      </c>
      <c r="F351" s="343" t="n"/>
      <c r="G351" s="289" t="n">
        <v>133000</v>
      </c>
      <c r="H351" s="288" t="inlineStr">
        <is>
          <t>예측</t>
        </is>
      </c>
    </row>
    <row r="352">
      <c r="A352" s="345" t="n">
        <v>46384</v>
      </c>
      <c r="B352" s="288" t="n">
        <v>12</v>
      </c>
      <c r="C352" s="288" t="inlineStr">
        <is>
          <t>473330</t>
        </is>
      </c>
      <c r="D352" s="288" t="inlineStr">
        <is>
          <t>SOL 미국 30년국채커버드콜(합성)</t>
        </is>
      </c>
      <c r="E352" s="289" t="n">
        <v>129600</v>
      </c>
      <c r="F352" s="343" t="n"/>
      <c r="G352" s="289" t="n">
        <v>129600</v>
      </c>
      <c r="H352" s="288" t="inlineStr">
        <is>
          <t>예측</t>
        </is>
      </c>
    </row>
    <row r="353">
      <c r="A353" s="345" t="n">
        <v>46384</v>
      </c>
      <c r="B353" s="288" t="n">
        <v>12</v>
      </c>
      <c r="C353" s="288" t="inlineStr">
        <is>
          <t>475380</t>
        </is>
      </c>
      <c r="D353" s="288" t="inlineStr">
        <is>
          <t>RISE 글로벌리얼티인컴</t>
        </is>
      </c>
      <c r="E353" s="289" t="n">
        <v>3737</v>
      </c>
      <c r="F353" s="343" t="n"/>
      <c r="G353" s="289" t="n">
        <v>3737</v>
      </c>
      <c r="H353" s="288" t="inlineStr">
        <is>
          <t>예측</t>
        </is>
      </c>
    </row>
    <row r="354">
      <c r="A354" s="345" t="n">
        <v>46384</v>
      </c>
      <c r="B354" s="288" t="n">
        <v>12</v>
      </c>
      <c r="C354" s="288" t="inlineStr">
        <is>
          <t>476550</t>
        </is>
      </c>
      <c r="D354" s="288" t="inlineStr">
        <is>
          <t>TIGER 미국30년국채커버드콜액티브(H)</t>
        </is>
      </c>
      <c r="E354" s="289" t="n">
        <v>34911</v>
      </c>
      <c r="F354" s="343" t="n"/>
      <c r="G354" s="289" t="n">
        <v>34911</v>
      </c>
      <c r="H354" s="288" t="inlineStr">
        <is>
          <t>예측</t>
        </is>
      </c>
    </row>
    <row r="355">
      <c r="A355" s="345" t="n">
        <v>46384</v>
      </c>
      <c r="B355" s="288" t="n">
        <v>12</v>
      </c>
      <c r="C355" s="288" t="inlineStr">
        <is>
          <t>476690</t>
        </is>
      </c>
      <c r="D355" s="288" t="inlineStr">
        <is>
          <t>TIGER 글로벌비만치료제 TOP2 Plus</t>
        </is>
      </c>
      <c r="E355" s="289" t="n">
        <v>1350</v>
      </c>
      <c r="F355" s="343" t="n"/>
      <c r="G355" s="289" t="n">
        <v>1350</v>
      </c>
      <c r="H355" s="288" t="inlineStr">
        <is>
          <t>예측</t>
        </is>
      </c>
    </row>
    <row r="356">
      <c r="A356" s="345" t="n">
        <v>46384</v>
      </c>
      <c r="B356" s="288" t="n">
        <v>12</v>
      </c>
      <c r="C356" s="288" t="inlineStr">
        <is>
          <t>482730</t>
        </is>
      </c>
      <c r="D356" s="288" t="inlineStr">
        <is>
          <t>미국S&amp;P500타겟데일리커버드콜</t>
        </is>
      </c>
      <c r="E356" s="289" t="n">
        <v>41650</v>
      </c>
      <c r="F356" s="343" t="n"/>
      <c r="G356" s="289" t="n">
        <v>41650</v>
      </c>
      <c r="H356" s="288" t="inlineStr">
        <is>
          <t>예측</t>
        </is>
      </c>
    </row>
    <row r="357">
      <c r="A357" s="345" t="n">
        <v>46384</v>
      </c>
      <c r="B357" s="288" t="n">
        <v>12</v>
      </c>
      <c r="C357" s="288" t="inlineStr">
        <is>
          <t>483280</t>
        </is>
      </c>
      <c r="D357" s="288" t="inlineStr">
        <is>
          <t>KODEX 미국AI테크TOP10타겟커버드콜</t>
        </is>
      </c>
      <c r="E357" s="289" t="n">
        <v>342804</v>
      </c>
      <c r="F357" s="343" t="n"/>
      <c r="G357" s="289" t="n">
        <v>342804</v>
      </c>
      <c r="H357" s="288" t="inlineStr">
        <is>
          <t>예측</t>
        </is>
      </c>
    </row>
    <row r="358">
      <c r="A358" s="345" t="n">
        <v>46384</v>
      </c>
      <c r="B358" s="288" t="n">
        <v>12</v>
      </c>
      <c r="C358" s="288" t="inlineStr">
        <is>
          <t>AMT</t>
        </is>
      </c>
      <c r="D358" s="288" t="inlineStr">
        <is>
          <t>아메리칸타워</t>
        </is>
      </c>
      <c r="E358" s="289" t="n"/>
      <c r="F358" s="343" t="n">
        <v>8.300000000000001</v>
      </c>
      <c r="G358" s="289" t="n">
        <v>11346.1</v>
      </c>
      <c r="H358" s="288" t="inlineStr">
        <is>
          <t>예측</t>
        </is>
      </c>
    </row>
    <row r="359">
      <c r="A359" s="345" t="n">
        <v>46385</v>
      </c>
      <c r="B359" s="288" t="n">
        <v>12</v>
      </c>
      <c r="C359" s="288" t="inlineStr">
        <is>
          <t>381170</t>
        </is>
      </c>
      <c r="D359" s="288" t="inlineStr">
        <is>
          <t>TIGER 미국테크TOP10 INDXX</t>
        </is>
      </c>
      <c r="E359" s="289" t="n">
        <v>24871</v>
      </c>
      <c r="F359" s="343" t="n"/>
      <c r="G359" s="289" t="n">
        <v>24871</v>
      </c>
      <c r="H359" s="288" t="inlineStr">
        <is>
          <t>예측</t>
        </is>
      </c>
    </row>
    <row r="360">
      <c r="A360" s="345" t="n">
        <v>46385</v>
      </c>
      <c r="B360" s="288" t="n">
        <v>12</v>
      </c>
      <c r="C360" s="288" t="inlineStr">
        <is>
          <t>438100</t>
        </is>
      </c>
      <c r="D360" s="288" t="inlineStr">
        <is>
          <t>ACE미국나스닥100미국채혼합50액티브</t>
        </is>
      </c>
      <c r="E360" s="289" t="n">
        <v>228672</v>
      </c>
      <c r="F360" s="343" t="n"/>
      <c r="G360" s="289" t="n">
        <v>228672</v>
      </c>
      <c r="H360" s="288" t="inlineStr">
        <is>
          <t>예측</t>
        </is>
      </c>
    </row>
    <row r="361">
      <c r="A361" s="345" t="n">
        <v>46385</v>
      </c>
      <c r="B361" s="288" t="n">
        <v>12</v>
      </c>
      <c r="C361" s="288" t="inlineStr">
        <is>
          <t>457480</t>
        </is>
      </c>
      <c r="D361" s="288" t="inlineStr">
        <is>
          <t>ACE테슬라밸류체인액티브</t>
        </is>
      </c>
      <c r="E361" s="289" t="n">
        <v>184325</v>
      </c>
      <c r="F361" s="343" t="n"/>
      <c r="G361" s="289" t="n">
        <v>184325</v>
      </c>
      <c r="H361" s="288" t="inlineStr">
        <is>
          <t>예측</t>
        </is>
      </c>
    </row>
    <row r="362">
      <c r="A362" s="345" t="n">
        <v>46385</v>
      </c>
      <c r="B362" s="288" t="n">
        <v>12</v>
      </c>
      <c r="C362" s="288" t="inlineStr">
        <is>
          <t>498410</t>
        </is>
      </c>
      <c r="D362" s="288" t="inlineStr">
        <is>
          <t>KODEX금융고배당TOP10타겟위클리커버드콜</t>
        </is>
      </c>
      <c r="E362" s="289" t="n">
        <v>361304</v>
      </c>
      <c r="F362" s="343" t="n"/>
      <c r="G362" s="289" t="n">
        <v>361304</v>
      </c>
      <c r="H362" s="288" t="inlineStr">
        <is>
          <t>예측</t>
        </is>
      </c>
    </row>
    <row r="363">
      <c r="A363" s="345" t="n">
        <v>46387</v>
      </c>
      <c r="B363" s="288" t="n">
        <v>12</v>
      </c>
      <c r="C363" s="288" t="inlineStr">
        <is>
          <t>0219E0</t>
        </is>
      </c>
      <c r="D363" s="288" t="inlineStr">
        <is>
          <t>KODEX 200커버드콜액티브</t>
        </is>
      </c>
      <c r="E363" s="289" t="n">
        <v>200960</v>
      </c>
      <c r="F363" s="343" t="n"/>
      <c r="G363" s="289" t="n">
        <v>200960</v>
      </c>
      <c r="H363" s="288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2026-09-02T06:08:01Z</dcterms:modified>
  <cp:lastModifiedBy>Hyoyol Park</cp:lastModifiedBy>
</cp:coreProperties>
</file>