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￦1,351</t>
        </is>
      </c>
      <c r="J5" s="73" t="n">
        <v>1351.48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10935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10945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9955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11860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13890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10690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7445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4045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26480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14945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10935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13720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21715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11660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30440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25997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11545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10935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14945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18440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7810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126900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13870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6790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13050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181500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10415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10680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10210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256000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256000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20100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376.365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61.74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39.02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328.21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20700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178400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90.38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172200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8195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78600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149.74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177.75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228.45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35.08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510.12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188.02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47.51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182.53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63.81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10.9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38.77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417.01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192.7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170.46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154.04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6.87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105.82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9.75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15490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39.84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14900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177065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30735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21715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211.32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162.21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108.42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8" t="n">
        <v>13</v>
      </c>
      <c r="B32" s="288">
        <f>IFERROR(INDEX('계좌현황'!A:A,INDEX($L$20:$L$95,MATCH(LARGE($N$20:$N$95,13),$N$20:$N$95,0))),"")</f>
        <v/>
      </c>
      <c r="C32" s="288">
        <f>IFERROR(INDEX('계좌현황'!C:C,INDEX($L$20:$L$95,MATCH(LARGE($N$20:$N$95,13),$N$20:$N$95,0))),"")</f>
        <v/>
      </c>
      <c r="D32" s="288">
        <f>IFERROR(INDEX('계좌현황'!D:D,INDEX($L$20:$L$95,MATCH(LARGE($N$20:$N$95,13),$N$20:$N$95,0))),"")</f>
        <v/>
      </c>
      <c r="E32" s="288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2" t="n">
        <v>14</v>
      </c>
      <c r="B33" s="282">
        <f>IFERROR(INDEX('계좌현황'!A:A,INDEX($L$20:$L$95,MATCH(LARGE($N$20:$N$95,14),$N$20:$N$95,0))),"")</f>
        <v/>
      </c>
      <c r="C33" s="282">
        <f>IFERROR(INDEX('계좌현황'!C:C,INDEX($L$20:$L$95,MATCH(LARGE($N$20:$N$95,14),$N$20:$N$95,0))),"")</f>
        <v/>
      </c>
      <c r="D33" s="282">
        <f>IFERROR(INDEX('계좌현황'!D:D,INDEX($L$20:$L$95,MATCH(LARGE($N$20:$N$95,14),$N$20:$N$95,0))),"")</f>
        <v/>
      </c>
      <c r="E33" s="282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1" t="n">
        <v>21</v>
      </c>
      <c r="B40" s="291">
        <f>IFERROR(INDEX('계좌현황'!A:A,INDEX($L$20:$L$95,MATCH(LARGE($N$20:$N$95,21),$N$20:$N$95,0))),"")</f>
        <v/>
      </c>
      <c r="C40" s="291">
        <f>IFERROR(INDEX('계좌현황'!C:C,INDEX($L$20:$L$95,MATCH(LARGE($N$20:$N$95,21),$N$20:$N$95,0))),"")</f>
        <v/>
      </c>
      <c r="D40" s="291">
        <f>IFERROR(INDEX('계좌현황'!D:D,INDEX($L$20:$L$95,MATCH(LARGE($N$20:$N$95,21),$N$20:$N$95,0))),"")</f>
        <v/>
      </c>
      <c r="E40" s="291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5" t="n">
        <v>22</v>
      </c>
      <c r="B41" s="285">
        <f>IFERROR(INDEX('계좌현황'!A:A,INDEX($L$20:$L$95,MATCH(LARGE($N$20:$N$95,22),$N$20:$N$95,0))),"")</f>
        <v/>
      </c>
      <c r="C41" s="285">
        <f>IFERROR(INDEX('계좌현황'!C:C,INDEX($L$20:$L$95,MATCH(LARGE($N$20:$N$95,22),$N$20:$N$95,0))),"")</f>
        <v/>
      </c>
      <c r="D41" s="285">
        <f>IFERROR(INDEX('계좌현황'!D:D,INDEX($L$20:$L$95,MATCH(LARGE($N$20:$N$95,22),$N$20:$N$95,0))),"")</f>
        <v/>
      </c>
      <c r="E41" s="285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1" t="n">
        <v>26</v>
      </c>
      <c r="B45" s="291">
        <f>IFERROR(INDEX('계좌현황'!A:A,INDEX($L$20:$L$95,MATCH(LARGE($N$20:$N$95,26),$N$20:$N$95,0))),"")</f>
        <v/>
      </c>
      <c r="C45" s="291">
        <f>IFERROR(INDEX('계좌현황'!C:C,INDEX($L$20:$L$95,MATCH(LARGE($N$20:$N$95,26),$N$20:$N$95,0))),"")</f>
        <v/>
      </c>
      <c r="D45" s="291">
        <f>IFERROR(INDEX('계좌현황'!D:D,INDEX($L$20:$L$95,MATCH(LARGE($N$20:$N$95,26),$N$20:$N$95,0))),"")</f>
        <v/>
      </c>
      <c r="E45" s="291">
        <f>IFERROR(INDEX('계좌현황'!E:E,INDEX($L$20:$L$95,MATCH(LARGE($N$20:$N$95,26),$N$20:$N$95,0))),"")</f>
        <v/>
      </c>
      <c r="F45" s="318">
        <f>IFERROR(INDEX('계좌현황'!F:F,INDEX($L$20:$L$95,MATCH(LARGE($N$20:$N$95,26),$N$20:$N$95,0))),"")</f>
        <v/>
      </c>
      <c r="G45" s="319">
        <f>IFERROR(INDEX('계좌현황'!K:K,INDEX($L$20:$L$95,MATCH(LARGE($N$20:$N$95,26),$N$20:$N$95,0))),0)</f>
        <v/>
      </c>
      <c r="H45" s="320">
        <f>IF($B$3=0,0,G45/$B$3)</f>
        <v/>
      </c>
      <c r="I45" s="320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7" t="n">
        <v>27</v>
      </c>
      <c r="B46" s="297">
        <f>IFERROR(INDEX('계좌현황'!A:A,INDEX($L$20:$L$95,MATCH(LARGE($N$20:$N$95,27),$N$20:$N$95,0))),"")</f>
        <v/>
      </c>
      <c r="C46" s="297">
        <f>IFERROR(INDEX('계좌현황'!C:C,INDEX($L$20:$L$95,MATCH(LARGE($N$20:$N$95,27),$N$20:$N$95,0))),"")</f>
        <v/>
      </c>
      <c r="D46" s="297">
        <f>IFERROR(INDEX('계좌현황'!D:D,INDEX($L$20:$L$95,MATCH(LARGE($N$20:$N$95,27),$N$20:$N$95,0))),"")</f>
        <v/>
      </c>
      <c r="E46" s="297">
        <f>IFERROR(INDEX('계좌현황'!E:E,INDEX($L$20:$L$95,MATCH(LARGE($N$20:$N$95,27),$N$20:$N$95,0))),"")</f>
        <v/>
      </c>
      <c r="F46" s="321">
        <f>IFERROR(INDEX('계좌현황'!F:F,INDEX($L$20:$L$95,MATCH(LARGE($N$20:$N$95,27),$N$20:$N$95,0))),"")</f>
        <v/>
      </c>
      <c r="G46" s="322">
        <f>IFERROR(INDEX('계좌현황'!K:K,INDEX($L$20:$L$95,MATCH(LARGE($N$20:$N$95,27),$N$20:$N$95,0))),0)</f>
        <v/>
      </c>
      <c r="H46" s="323">
        <f>IF($B$3=0,0,G46/$B$3)</f>
        <v/>
      </c>
      <c r="I46" s="32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91" t="n">
        <v>28</v>
      </c>
      <c r="B47" s="291">
        <f>IFERROR(INDEX('계좌현황'!A:A,INDEX($L$20:$L$95,MATCH(LARGE($N$20:$N$95,28),$N$20:$N$95,0))),"")</f>
        <v/>
      </c>
      <c r="C47" s="291">
        <f>IFERROR(INDEX('계좌현황'!C:C,INDEX($L$20:$L$95,MATCH(LARGE($N$20:$N$95,28),$N$20:$N$95,0))),"")</f>
        <v/>
      </c>
      <c r="D47" s="291">
        <f>IFERROR(INDEX('계좌현황'!D:D,INDEX($L$20:$L$95,MATCH(LARGE($N$20:$N$95,28),$N$20:$N$95,0))),"")</f>
        <v/>
      </c>
      <c r="E47" s="291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1" t="n">
        <v>33</v>
      </c>
      <c r="B52" s="291">
        <f>IFERROR(INDEX('계좌현황'!A:A,INDEX($L$20:$L$95,MATCH(LARGE($N$20:$N$95,33),$N$20:$N$95,0))),"")</f>
        <v/>
      </c>
      <c r="C52" s="291">
        <f>IFERROR(INDEX('계좌현황'!C:C,INDEX($L$20:$L$95,MATCH(LARGE($N$20:$N$95,33),$N$20:$N$95,0))),"")</f>
        <v/>
      </c>
      <c r="D52" s="291">
        <f>IFERROR(INDEX('계좌현황'!D:D,INDEX($L$20:$L$95,MATCH(LARGE($N$20:$N$95,33),$N$20:$N$95,0))),"")</f>
        <v/>
      </c>
      <c r="E52" s="291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1" t="n">
        <v>43</v>
      </c>
      <c r="B62" s="291">
        <f>IFERROR(INDEX('계좌현황'!A:A,INDEX($L$20:$L$95,MATCH(LARGE($N$20:$N$95,43),$N$20:$N$95,0))),"")</f>
        <v/>
      </c>
      <c r="C62" s="291">
        <f>IFERROR(INDEX('계좌현황'!C:C,INDEX($L$20:$L$95,MATCH(LARGE($N$20:$N$95,43),$N$20:$N$95,0))),"")</f>
        <v/>
      </c>
      <c r="D62" s="291">
        <f>IFERROR(INDEX('계좌현황'!D:D,INDEX($L$20:$L$95,MATCH(LARGE($N$20:$N$95,43),$N$20:$N$95,0))),"")</f>
        <v/>
      </c>
      <c r="E62" s="291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IFERROR(INDEX('계좌현황'!A:A,INDEX($L$20:$L$95,MATCH(LARGE($N$20:$N$95,44),$N$20:$N$95,0))),"")</f>
        <v/>
      </c>
      <c r="C63" s="288">
        <f>IFERROR(INDEX('계좌현황'!C:C,INDEX($L$20:$L$95,MATCH(LARGE($N$20:$N$95,44),$N$20:$N$95,0))),"")</f>
        <v/>
      </c>
      <c r="D63" s="288">
        <f>IFERROR(INDEX('계좌현황'!D:D,INDEX($L$20:$L$95,MATCH(LARGE($N$20:$N$95,44),$N$20:$N$95,0))),"")</f>
        <v/>
      </c>
      <c r="E63" s="288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1,351원/$  | 연간 합계 52,194,394원 · 월평균 4,349,533원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4085046.81</v>
      </c>
      <c r="C7" s="280" t="n">
        <v>0</v>
      </c>
      <c r="D7" s="280" t="n">
        <v>4085046.81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4211011.6</v>
      </c>
      <c r="C8" s="280" t="n">
        <v>0</v>
      </c>
      <c r="D8" s="280" t="n">
        <v>4211011.6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4590033.818</v>
      </c>
      <c r="C9" s="283" t="n">
        <v>35408</v>
      </c>
      <c r="D9" s="283" t="n">
        <v>4625441.818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4200888.863</v>
      </c>
      <c r="C10" s="283" t="n">
        <v>5104</v>
      </c>
      <c r="D10" s="283" t="n">
        <v>4205992.863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4283579.793</v>
      </c>
      <c r="C11" s="280" t="n">
        <v>0</v>
      </c>
      <c r="D11" s="280" t="n">
        <v>4283579.793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4317564.921999999</v>
      </c>
      <c r="C12" s="283" t="n">
        <v>35492</v>
      </c>
      <c r="D12" s="283" t="n">
        <v>4353056.921999999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4337664.413</v>
      </c>
      <c r="C13" s="280" t="n">
        <v>0</v>
      </c>
      <c r="D13" s="280" t="n">
        <v>4337664.413</v>
      </c>
      <c r="E13" s="279" t="inlineStr">
        <is>
          <t>실적</t>
        </is>
      </c>
    </row>
    <row r="14">
      <c r="A14" s="279" t="inlineStr">
        <is>
          <t>8월</t>
        </is>
      </c>
      <c r="B14" s="280" t="n">
        <v>4206519.228</v>
      </c>
      <c r="C14" s="280" t="n">
        <v>0</v>
      </c>
      <c r="D14" s="280" t="n">
        <v>4206519.228</v>
      </c>
      <c r="E14" s="279" t="inlineStr">
        <is>
          <t>실적</t>
        </is>
      </c>
    </row>
    <row r="15">
      <c r="A15" s="282" t="inlineStr">
        <is>
          <t>9월</t>
        </is>
      </c>
      <c r="B15" s="283" t="n">
        <v>5539.099999999999</v>
      </c>
      <c r="C15" s="283" t="n">
        <v>4205812.564</v>
      </c>
      <c r="D15" s="283" t="n">
        <v>4211351.664</v>
      </c>
      <c r="E15" s="282" t="inlineStr">
        <is>
          <t>혼합</t>
        </is>
      </c>
    </row>
    <row r="16">
      <c r="A16" s="288" t="inlineStr">
        <is>
          <t>10월</t>
        </is>
      </c>
      <c r="B16" s="289" t="n">
        <v>0</v>
      </c>
      <c r="C16" s="289" t="n">
        <v>4081271.604</v>
      </c>
      <c r="D16" s="289" t="n">
        <v>4081271.604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4368464.495999999</v>
      </c>
      <c r="D17" s="289" t="n">
        <v>4368464.495999999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5224992.6005</v>
      </c>
      <c r="D18" s="289" t="n">
        <v>5224992.6005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0.1011</v>
      </c>
      <c r="F24" s="304" t="n">
        <v>167885055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0.1019</v>
      </c>
      <c r="F25" s="304" t="n">
        <v>68313595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0.1587</v>
      </c>
      <c r="F26" s="304" t="n">
        <v>28191220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0.155</v>
      </c>
      <c r="F27" s="304" t="n">
        <v>25699170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0.1174</v>
      </c>
      <c r="F28" s="304" t="n">
        <v>29865000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0.1357</v>
      </c>
      <c r="F29" s="304" t="n">
        <v>22781700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0.09380000000000001</v>
      </c>
      <c r="F30" s="304" t="n">
        <v>20225000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0.1486</v>
      </c>
      <c r="F31" s="304" t="n">
        <v>12281100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0.07190000000000001</v>
      </c>
      <c r="F32" s="304" t="n">
        <v>21380000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0.0309</v>
      </c>
      <c r="F33" s="304" t="n">
        <v>41820845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0.1171</v>
      </c>
      <c r="F34" s="304" t="n">
        <v>10292920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0.1318</v>
      </c>
      <c r="F35" s="304" t="n">
        <v>7497600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</v>
      </c>
      <c r="F36" s="304" t="n">
        <v>27377190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0.0297</v>
      </c>
      <c r="F37" s="304" t="n">
        <v>18247600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0.1022</v>
      </c>
      <c r="F38" s="304" t="n">
        <v>4955500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1351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19332.81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3161.34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1391.53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1675.24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2404.78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2458.82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19332.81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5512.08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5539.099999999999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1291.556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1088.906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8332.968000000001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25837.875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19404.413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1351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12091.45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19404.413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3282.93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1675.24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1391.53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2404.78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2458.82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19404.413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5512.08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5539.099999999999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1351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1290.205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12091.45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5109.482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8203.272000000001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19404.413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1351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19404.413</v>
      </c>
      <c r="H228" s="279" t="inlineStr">
        <is>
          <t>실적</t>
        </is>
      </c>
    </row>
    <row r="229">
      <c r="A229" s="344" t="n">
        <v>46240</v>
      </c>
      <c r="B229" s="279" t="n">
        <v>8</v>
      </c>
      <c r="C229" s="279" t="n">
        <v>105560</v>
      </c>
      <c r="D229" s="279" t="inlineStr">
        <is>
          <t>KB금융</t>
        </is>
      </c>
      <c r="E229" s="280" t="n">
        <v>13860</v>
      </c>
      <c r="F229" s="341" t="n"/>
      <c r="G229" s="280" t="n">
        <v>13860</v>
      </c>
      <c r="H229" s="279" t="inlineStr">
        <is>
          <t>실적</t>
        </is>
      </c>
    </row>
    <row r="230">
      <c r="A230" s="344" t="n">
        <v>46244</v>
      </c>
      <c r="B230" s="279" t="n">
        <v>8</v>
      </c>
      <c r="C230" s="279" t="inlineStr">
        <is>
          <t>AAPL</t>
        </is>
      </c>
      <c r="D230" s="279" t="inlineStr">
        <is>
          <t>애플</t>
        </is>
      </c>
      <c r="E230" s="280" t="n"/>
      <c r="F230" s="341" t="n">
        <v>2.43</v>
      </c>
      <c r="G230" s="280" t="n">
        <v>3282.93</v>
      </c>
      <c r="H230" s="279" t="inlineStr">
        <is>
          <t>실적</t>
        </is>
      </c>
    </row>
    <row r="231">
      <c r="A231" s="344" t="n">
        <v>46247</v>
      </c>
      <c r="B231" s="279" t="n">
        <v>8</v>
      </c>
      <c r="C231" s="279" t="inlineStr">
        <is>
          <t>0008S0</t>
        </is>
      </c>
      <c r="D231" s="279" t="inlineStr">
        <is>
          <t>TIGER 미국배당다우존스타겟데일리커버드콜</t>
        </is>
      </c>
      <c r="E231" s="280" t="n">
        <v>309000</v>
      </c>
      <c r="F231" s="341" t="n"/>
      <c r="G231" s="280" t="n">
        <v>309000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474220</t>
        </is>
      </c>
      <c r="D232" s="279" t="inlineStr">
        <is>
          <t>TIGER미국테크TOP10커버드콜</t>
        </is>
      </c>
      <c r="E232" s="280" t="n">
        <v>594230</v>
      </c>
      <c r="F232" s="341" t="n"/>
      <c r="G232" s="280" t="n">
        <v>594230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481060</t>
        </is>
      </c>
      <c r="D233" s="279" t="inlineStr">
        <is>
          <t>KODEX 미국30년국채타겟커버드콜(H)</t>
        </is>
      </c>
      <c r="E233" s="280" t="n">
        <v>226440</v>
      </c>
      <c r="F233" s="341" t="n"/>
      <c r="G233" s="280" t="n">
        <v>226440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490490</t>
        </is>
      </c>
      <c r="D234" s="279" t="inlineStr">
        <is>
          <t>SOL미국배당미국채혼합50</t>
        </is>
      </c>
      <c r="E234" s="280" t="n">
        <v>80241</v>
      </c>
      <c r="F234" s="341" t="n"/>
      <c r="G234" s="280" t="n">
        <v>80241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498400</t>
        </is>
      </c>
      <c r="D235" s="279" t="inlineStr">
        <is>
          <t>KODEX 200타켓위클리커버드콜</t>
        </is>
      </c>
      <c r="E235" s="280" t="n">
        <v>164970</v>
      </c>
      <c r="F235" s="341" t="n"/>
      <c r="G235" s="280" t="n">
        <v>164970</v>
      </c>
      <c r="H235" s="279" t="inlineStr">
        <is>
          <t>실적</t>
        </is>
      </c>
    </row>
    <row r="236">
      <c r="A236" s="344" t="n">
        <v>46248</v>
      </c>
      <c r="B236" s="279" t="n">
        <v>8</v>
      </c>
      <c r="C236" s="279" t="inlineStr">
        <is>
          <t>SBUX</t>
        </is>
      </c>
      <c r="D236" s="279" t="inlineStr">
        <is>
          <t>스타벅스</t>
        </is>
      </c>
      <c r="E236" s="280" t="n"/>
      <c r="F236" s="341" t="n">
        <v>1.24</v>
      </c>
      <c r="G236" s="280" t="n">
        <v>1675.24</v>
      </c>
      <c r="H236" s="279" t="inlineStr">
        <is>
          <t>실적</t>
        </is>
      </c>
    </row>
    <row r="237">
      <c r="A237" s="344" t="n">
        <v>46251</v>
      </c>
      <c r="B237" s="279" t="n">
        <v>8</v>
      </c>
      <c r="C237" s="279" t="inlineStr">
        <is>
          <t>NVO</t>
        </is>
      </c>
      <c r="D237" s="279" t="inlineStr">
        <is>
          <t>노보 노디스크</t>
        </is>
      </c>
      <c r="E237" s="280" t="n"/>
      <c r="F237" s="341" t="n">
        <v>8.685</v>
      </c>
      <c r="G237" s="280" t="n">
        <v>11733.435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XOM</t>
        </is>
      </c>
      <c r="D238" s="279" t="inlineStr">
        <is>
          <t>엑슨모빌</t>
        </is>
      </c>
      <c r="E238" s="280" t="n"/>
      <c r="F238" s="341" t="n">
        <v>1.03</v>
      </c>
      <c r="G238" s="280" t="n">
        <v>1391.53</v>
      </c>
      <c r="H238" s="279" t="inlineStr">
        <is>
          <t>실적</t>
        </is>
      </c>
    </row>
    <row r="239">
      <c r="A239" s="344" t="n">
        <v>46253</v>
      </c>
      <c r="B239" s="279" t="n">
        <v>8</v>
      </c>
      <c r="C239" s="279" t="inlineStr">
        <is>
          <t>CVX</t>
        </is>
      </c>
      <c r="D239" s="279" t="inlineStr">
        <is>
          <t>셰브론</t>
        </is>
      </c>
      <c r="E239" s="280" t="n"/>
      <c r="F239" s="341" t="n">
        <v>1.78</v>
      </c>
      <c r="G239" s="280" t="n">
        <v>2404.78</v>
      </c>
      <c r="H239" s="279" t="inlineStr">
        <is>
          <t>실적</t>
        </is>
      </c>
    </row>
    <row r="240">
      <c r="A240" s="344" t="n">
        <v>46254</v>
      </c>
      <c r="B240" s="279" t="n">
        <v>8</v>
      </c>
      <c r="C240" s="279" t="inlineStr">
        <is>
          <t>MSFT</t>
        </is>
      </c>
      <c r="D240" s="279" t="inlineStr">
        <is>
          <t>마이크로소프트</t>
        </is>
      </c>
      <c r="E240" s="280" t="n"/>
      <c r="F240" s="341" t="n">
        <v>1.82</v>
      </c>
      <c r="G240" s="280" t="n">
        <v>2458.82</v>
      </c>
      <c r="H240" s="279" t="inlineStr">
        <is>
          <t>실적</t>
        </is>
      </c>
    </row>
    <row r="241">
      <c r="A241" s="344" t="n">
        <v>46262</v>
      </c>
      <c r="B241" s="279" t="n">
        <v>8</v>
      </c>
      <c r="C241" s="279" t="inlineStr">
        <is>
          <t>005389</t>
        </is>
      </c>
      <c r="D241" s="279" t="inlineStr">
        <is>
          <t>현대차3우B</t>
        </is>
      </c>
      <c r="E241" s="280" t="n">
        <v>32500</v>
      </c>
      <c r="F241" s="341" t="n"/>
      <c r="G241" s="280" t="n">
        <v>32500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0219E0</t>
        </is>
      </c>
      <c r="D242" s="279" t="inlineStr">
        <is>
          <t>KODEX 200커버드콜액티브</t>
        </is>
      </c>
      <c r="E242" s="280" t="n">
        <v>209752</v>
      </c>
      <c r="F242" s="341" t="n"/>
      <c r="G242" s="280" t="n">
        <v>209752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329200</t>
        </is>
      </c>
      <c r="D243" s="279" t="inlineStr">
        <is>
          <t>TIGER리츠부동산인프라</t>
        </is>
      </c>
      <c r="E243" s="280" t="n">
        <v>165000</v>
      </c>
      <c r="F243" s="341" t="n"/>
      <c r="G243" s="280" t="n">
        <v>165000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433330</t>
        </is>
      </c>
      <c r="D244" s="279" t="inlineStr">
        <is>
          <t>SOL 미국 S&amp;P500</t>
        </is>
      </c>
      <c r="E244" s="280" t="n">
        <v>24206</v>
      </c>
      <c r="F244" s="341" t="n"/>
      <c r="G244" s="280" t="n">
        <v>24206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446720</t>
        </is>
      </c>
      <c r="D245" s="279" t="inlineStr">
        <is>
          <t>SOL 미국배당다우존스</t>
        </is>
      </c>
      <c r="E245" s="280" t="n">
        <v>35910</v>
      </c>
      <c r="F245" s="341" t="n"/>
      <c r="G245" s="280" t="n">
        <v>35910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458760</t>
        </is>
      </c>
      <c r="D246" s="279" t="inlineStr">
        <is>
          <t>TIGER 미배당다우커버드콜2호</t>
        </is>
      </c>
      <c r="E246" s="280" t="n">
        <v>1381770</v>
      </c>
      <c r="F246" s="341" t="n"/>
      <c r="G246" s="280" t="n">
        <v>1381770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468380</t>
        </is>
      </c>
      <c r="D247" s="279" t="inlineStr">
        <is>
          <t>KODEX iShares미국하이일드액티브</t>
        </is>
      </c>
      <c r="E247" s="280" t="n">
        <v>126000</v>
      </c>
      <c r="F247" s="341" t="n"/>
      <c r="G247" s="280" t="n">
        <v>126000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473330</t>
        </is>
      </c>
      <c r="D248" s="279" t="inlineStr">
        <is>
          <t>SOL 미국 30년국채커버드콜(합성)</t>
        </is>
      </c>
      <c r="E248" s="280" t="n">
        <v>57600</v>
      </c>
      <c r="F248" s="341" t="n"/>
      <c r="G248" s="280" t="n">
        <v>57600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475380</t>
        </is>
      </c>
      <c r="D249" s="279" t="inlineStr">
        <is>
          <t>RISE 글로벌리얼티인컴</t>
        </is>
      </c>
      <c r="E249" s="280" t="n">
        <v>3232</v>
      </c>
      <c r="F249" s="341" t="n"/>
      <c r="G249" s="280" t="n">
        <v>3232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476550</t>
        </is>
      </c>
      <c r="D250" s="279" t="inlineStr">
        <is>
          <t>TIGER 미국30년국채커버드콜액티브(H)</t>
        </is>
      </c>
      <c r="E250" s="280" t="n">
        <v>29739</v>
      </c>
      <c r="F250" s="341" t="n"/>
      <c r="G250" s="280" t="n">
        <v>29739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476690</t>
        </is>
      </c>
      <c r="D251" s="279" t="inlineStr">
        <is>
          <t>TIGER 글로벌비만치료제 TOP2 Plus</t>
        </is>
      </c>
      <c r="E251" s="280" t="n">
        <v>1100</v>
      </c>
      <c r="F251" s="341" t="n"/>
      <c r="G251" s="280" t="n">
        <v>1100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482730</t>
        </is>
      </c>
      <c r="D252" s="279" t="inlineStr">
        <is>
          <t>미국S&amp;P500타겟데일리커버드콜</t>
        </is>
      </c>
      <c r="E252" s="280" t="n">
        <v>42500</v>
      </c>
      <c r="F252" s="341" t="n"/>
      <c r="G252" s="280" t="n">
        <v>42500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483280</t>
        </is>
      </c>
      <c r="D253" s="279" t="inlineStr">
        <is>
          <t>KODEX 미국AI테크TOP10타겟커버드콜</t>
        </is>
      </c>
      <c r="E253" s="280" t="n">
        <v>318318</v>
      </c>
      <c r="F253" s="341" t="n"/>
      <c r="G253" s="280" t="n">
        <v>318318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498410</t>
        </is>
      </c>
      <c r="D254" s="279" t="inlineStr">
        <is>
          <t>KODEX금융고배당TOP10타겟위클리커버드콜</t>
        </is>
      </c>
      <c r="E254" s="280" t="n">
        <v>342288</v>
      </c>
      <c r="F254" s="341" t="n"/>
      <c r="G254" s="280" t="n">
        <v>342288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TMUS</t>
        </is>
      </c>
      <c r="D255" s="279" t="inlineStr">
        <is>
          <t>T-모바일</t>
        </is>
      </c>
      <c r="E255" s="280" t="n"/>
      <c r="F255" s="341" t="n">
        <v>4.08</v>
      </c>
      <c r="G255" s="280" t="n">
        <v>5512.08</v>
      </c>
      <c r="H255" s="279" t="inlineStr">
        <is>
          <t>실적</t>
        </is>
      </c>
    </row>
    <row r="256">
      <c r="A256" s="344" t="n">
        <v>46265</v>
      </c>
      <c r="B256" s="279" t="n">
        <v>8</v>
      </c>
      <c r="C256" s="279" t="inlineStr">
        <is>
          <t>O</t>
        </is>
      </c>
      <c r="D256" s="279" t="inlineStr">
        <is>
          <t>리얼티인컴</t>
        </is>
      </c>
      <c r="E256" s="280" t="n"/>
      <c r="F256" s="341" t="n">
        <v>14.363</v>
      </c>
      <c r="G256" s="280" t="n">
        <v>19404.413</v>
      </c>
      <c r="H256" s="279" t="inlineStr">
        <is>
          <t>실적</t>
        </is>
      </c>
    </row>
    <row r="257">
      <c r="A257" s="344" t="n">
        <v>46266</v>
      </c>
      <c r="B257" s="279" t="n">
        <v>9</v>
      </c>
      <c r="C257" s="279" t="inlineStr">
        <is>
          <t>NKE</t>
        </is>
      </c>
      <c r="D257" s="279" t="inlineStr">
        <is>
          <t>나이키</t>
        </is>
      </c>
      <c r="E257" s="280" t="n"/>
      <c r="F257" s="341" t="n">
        <v>4.1</v>
      </c>
      <c r="G257" s="280" t="n">
        <v>5539.099999999999</v>
      </c>
      <c r="H257" s="279" t="inlineStr">
        <is>
          <t>실적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19046.398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1926.526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8295.139999999999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11483.5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10943.1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1215.9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19189.604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3100.545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19118.001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1661.73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1364.51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2256.17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2350.74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5133.8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5471.55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8803.116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19118.001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2240.6335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11213.3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2026-09-04T06:02:05Z</dcterms:modified>
  <cp:lastModifiedBy>Hyoyol Park</cp:lastModifiedBy>
</cp:coreProperties>
</file>