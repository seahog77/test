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7" fillId="12" borderId="12" applyAlignment="1" pivotButton="0" quotePrefix="0" xfId="0">
      <alignment horizontal="center"/>
    </xf>
    <xf numFmtId="0" fontId="14" fillId="12" borderId="12" applyAlignment="1" pivotButton="0" quotePrefix="0" xfId="0">
      <alignment horizontal="center"/>
    </xf>
    <xf numFmtId="0" fontId="13" fillId="12" borderId="12" applyAlignment="1" pivotButton="0" quotePrefix="0" xfId="0">
      <alignment horizontal="center"/>
    </xf>
    <xf numFmtId="0" fontId="1" fillId="13" borderId="12" applyAlignment="1" pivotButton="0" quotePrefix="0" xfId="0">
      <alignment horizontal="center" vertical="center"/>
    </xf>
    <xf numFmtId="0" fontId="7" fillId="14" borderId="12" applyAlignment="1" pivotButton="0" quotePrefix="0" xfId="0">
      <alignment horizontal="center"/>
    </xf>
    <xf numFmtId="0" fontId="1" fillId="14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5" borderId="13" applyAlignment="1" pivotButton="0" quotePrefix="0" xfId="0">
      <alignment horizontal="center"/>
    </xf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21" borderId="13" pivotButton="0" quotePrefix="0" xfId="0"/>
    <xf numFmtId="3" fontId="0" fillId="21" borderId="13" pivotButton="0" quotePrefix="0" xfId="0"/>
    <xf numFmtId="164" fontId="0" fillId="21" borderId="13" pivotButton="0" quotePrefix="0" xfId="0"/>
    <xf numFmtId="0" fontId="0" fillId="22" borderId="13" pivotButton="0" quotePrefix="0" xfId="0"/>
    <xf numFmtId="3" fontId="0" fillId="22" borderId="13" pivotButton="0" quotePrefix="0" xfId="0"/>
    <xf numFmtId="164" fontId="0" fillId="22" borderId="13" pivotButton="0" quotePrefix="0" xfId="0"/>
    <xf numFmtId="0" fontId="0" fillId="23" borderId="13" pivotButton="0" quotePrefix="0" xfId="0"/>
    <xf numFmtId="3" fontId="0" fillId="23" borderId="13" pivotButton="0" quotePrefix="0" xfId="0"/>
    <xf numFmtId="164" fontId="0" fillId="2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5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171" fontId="0" fillId="22" borderId="13" pivotButton="0" quotePrefix="0" xfId="0"/>
    <xf numFmtId="3" fontId="19" fillId="22" borderId="13" pivotButton="0" quotePrefix="0" xfId="0"/>
    <xf numFmtId="10" fontId="0" fillId="22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21" borderId="13" pivotButton="0" quotePrefix="0" xfId="0"/>
    <xf numFmtId="3" fontId="19" fillId="21" borderId="13" pivotButton="0" quotePrefix="0" xfId="0"/>
    <xf numFmtId="10" fontId="0" fillId="21" borderId="13" pivotButton="0" quotePrefix="0" xfId="0"/>
    <xf numFmtId="171" fontId="0" fillId="23" borderId="13" pivotButton="0" quotePrefix="0" xfId="0"/>
    <xf numFmtId="3" fontId="19" fillId="23" borderId="13" pivotButton="0" quotePrefix="0" xfId="0"/>
    <xf numFmtId="10" fontId="0" fillId="23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5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21" borderId="13" pivotButton="0" quotePrefix="0" xfId="0"/>
    <xf numFmtId="164" fontId="0" fillId="22" borderId="13" pivotButton="0" quotePrefix="0" xfId="0"/>
    <xf numFmtId="164" fontId="0" fillId="23" borderId="13" pivotButton="0" quotePrefix="0" xfId="0"/>
    <xf numFmtId="164" fontId="0" fillId="0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22" borderId="13" pivotButton="0" quotePrefix="0" xfId="0"/>
    <xf numFmtId="171" fontId="0" fillId="18" borderId="13" pivotButton="0" quotePrefix="0" xfId="0"/>
    <xf numFmtId="171" fontId="0" fillId="0" borderId="13" pivotButton="0" quotePrefix="0" xfId="0"/>
    <xf numFmtId="171" fontId="0" fillId="21" borderId="13" pivotButton="0" quotePrefix="0" xfId="0"/>
    <xf numFmtId="171" fontId="0" fillId="2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0.1331818476862279</v>
                </pt>
                <pt idx="1">
                  <v>0.05432287179625428</v>
                </pt>
                <pt idx="2">
                  <v>0.03832125914721755</v>
                </pt>
                <pt idx="3">
                  <v>0.03430420580396088</v>
                </pt>
                <pt idx="4">
                  <v>0.06787191714743974</v>
                </pt>
                <pt idx="5">
                  <v>0.02726588801120997</v>
                </pt>
                <pt idx="6">
                  <v>0.02684971739163955</v>
                </pt>
                <pt idx="7">
                  <v>0.01806203982438311</v>
                </pt>
                <pt idx="8">
                  <v>0.06321859933872404</v>
                </pt>
                <pt idx="9">
                  <v>0.05770407013224214</v>
                </pt>
                <pt idx="10">
                  <v>0.02384543538839553</v>
                </pt>
                <pt idx="11">
                  <v>0.03004012163584243</v>
                </pt>
                <pt idx="12">
                  <v>0.006341735437171565</v>
                </pt>
                <pt idx="13">
                  <v>0.01342449622463499</v>
                </pt>
                <pt idx="14">
                  <v>0.007501790901936048</v>
                </pt>
                <pt idx="15">
                  <v>0.03309623701851102</v>
                </pt>
                <pt idx="16">
                  <v>0.02794840782730544</v>
                </pt>
                <pt idx="17">
                  <v>0.02617948132125075</v>
                </pt>
                <pt idx="18">
                  <v>0.01125221312663504</v>
                </pt>
                <pt idx="19">
                  <v>0.0097045618540342</v>
                </pt>
                <pt idx="20">
                  <v>0.004966123728757652</v>
                </pt>
                <pt idx="21">
                  <v>0.005029831395698665</v>
                </pt>
                <pt idx="22">
                  <v>0.007490534157919603</v>
                </pt>
                <pt idx="23">
                  <v>0.002795861071991427</v>
                </pt>
                <pt idx="24">
                  <v>0.002330877666203013</v>
                </pt>
                <pt idx="25">
                  <v>0.001370006829908408</v>
                </pt>
                <pt idx="26">
                  <v>0.001294216790141158</v>
                </pt>
                <pt idx="27">
                  <v>0.01583797704639338</v>
                </pt>
                <pt idx="28">
                  <v>0.01267038163711471</v>
                </pt>
                <pt idx="29">
                  <v>0.01512648638523232</v>
                </pt>
                <pt idx="30">
                  <v>0.01150814649035857</v>
                </pt>
                <pt idx="31">
                  <v>0.00527883430661944</v>
                </pt>
                <pt idx="32">
                  <v>0.00517083702211384</v>
                </pt>
                <pt idx="33">
                  <v>0.005531974196190717</v>
                </pt>
                <pt idx="34">
                  <v>0.004770053667505204</v>
                </pt>
                <pt idx="35">
                  <v>0.00424816228570521</v>
                </pt>
                <pt idx="36">
                  <v>0.009747301306552738</v>
                </pt>
                <pt idx="37">
                  <v>0.01226273390179215</v>
                </pt>
                <pt idx="38">
                  <v>0.002548575174814426</v>
                </pt>
                <pt idx="39">
                  <v>0</v>
                </pt>
                <pt idx="40">
                  <v>0.01152797986153523</v>
                </pt>
                <pt idx="41">
                  <v>0.001224419607295721</v>
                </pt>
                <pt idx="42">
                  <v>0.002719339377425254</v>
                </pt>
                <pt idx="43">
                  <v>0.0004397325890674464</v>
                </pt>
                <pt idx="44">
                  <v>0.001905298358751056</v>
                </pt>
                <pt idx="45">
                  <v>0.00158407036351945</v>
                </pt>
                <pt idx="46">
                  <v>0.001547868078424015</v>
                </pt>
                <pt idx="47">
                  <v>0.001495346840746182</v>
                </pt>
                <pt idx="48">
                  <v>0.001884972642702845</v>
                </pt>
                <pt idx="49">
                  <v>0.001115114376506832</v>
                </pt>
                <pt idx="50">
                  <v>0.001053896210946585</v>
                </pt>
                <pt idx="51">
                  <v>0.001436484871978419</v>
                </pt>
                <pt idx="52">
                  <v>0.0006520669146675974</v>
                </pt>
                <pt idx="53">
                  <v>0.00112161084247524</v>
                </pt>
                <pt idx="54">
                  <v>0.0006646866253855451</v>
                </pt>
                <pt idx="55">
                  <v>0.0007464353222331523</v>
                </pt>
                <pt idx="56">
                  <v>0.0006077490480804428</v>
                </pt>
                <pt idx="57">
                  <v>0.0003773291202990151</v>
                </pt>
                <pt idx="58">
                  <v>0.0004487760302150221</v>
                </pt>
                <pt idx="59">
                  <v>0.0002813949770884962</v>
                </pt>
                <pt idx="60">
                  <v>0.000354191013865585</v>
                </pt>
                <pt idx="61">
                  <v>0.0001899104595461518</v>
                </pt>
                <pt idx="62">
                  <v>0.0002903796935905818</v>
                </pt>
                <pt idx="63">
                  <v>0.0001431002849452972</v>
                </pt>
                <pt idx="64">
                  <v>7.293994226612801e-05</v>
                </pt>
                <pt idx="65">
                  <v>0</v>
                </pt>
                <pt idx="66">
                  <v>0.05413578430795521</v>
                </pt>
                <pt idx="67">
                  <v>0.0155199958433242</v>
                </pt>
                <pt idx="68">
                  <v>0.01316173146538171</v>
                </pt>
                <pt idx="69">
                  <v>0.01305638659919561</v>
                </pt>
                <pt idx="70">
                  <v>0.01064569814804595</v>
                </pt>
                <pt idx="71">
                  <v>0.01803629765783387</v>
                </pt>
                <pt idx="72">
                  <v>0.0004047299854835776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16" zoomScale="70" zoomScaleNormal="70" workbookViewId="0">
      <selection activeCell="G17" sqref="G17"/>
    </sheetView>
  </sheetViews>
  <sheetFormatPr baseColWidth="8" defaultColWidth="12.59765625" defaultRowHeight="15.75" customHeight="1"/>
  <cols>
    <col width="9.9296875" customWidth="1" style="210" min="1" max="1"/>
    <col outlineLevel="1" width="12.59765625" customWidth="1" style="210" min="2" max="2"/>
    <col width="41.59765625" customWidth="1" style="210" min="4" max="4"/>
    <col width="35.3984375" customWidth="1" style="210" min="5" max="5"/>
    <col width="14.59765625" customWidth="1" style="210" min="11" max="11"/>
    <col width="16" customWidth="1" style="210" min="13" max="13"/>
    <col width="22.796875" customWidth="1" style="210" min="14" max="14"/>
    <col width="14.1328125" customWidth="1" style="210" min="15" max="15"/>
    <col width="3.265625" customWidth="1" style="210" min="16" max="16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10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10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10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10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￦1,337</t>
        </is>
      </c>
      <c r="J5" s="73" t="n">
        <v>1336.56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10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10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10">
      <c r="A9" s="209" t="inlineStr">
        <is>
          <t>DC</t>
        </is>
      </c>
      <c r="B9" s="209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10830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10">
      <c r="A10" s="209" t="inlineStr">
        <is>
          <t>DC</t>
        </is>
      </c>
      <c r="B10" s="209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10815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10">
      <c r="A11" s="209" t="inlineStr">
        <is>
          <t>DC</t>
        </is>
      </c>
      <c r="B11" s="209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9780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10">
      <c r="A12" s="209" t="inlineStr">
        <is>
          <t>DC</t>
        </is>
      </c>
      <c r="B12" s="209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10435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9" t="n"/>
      <c r="Q12" s="209" t="n"/>
      <c r="R12" s="209" t="n"/>
    </row>
    <row r="13" ht="12.75" customHeight="1" s="210">
      <c r="A13" s="209" t="inlineStr">
        <is>
          <t>DC</t>
        </is>
      </c>
      <c r="B13" s="209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13870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10">
      <c r="A14" s="209" t="inlineStr">
        <is>
          <t>DC</t>
        </is>
      </c>
      <c r="B14" s="209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10295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10">
      <c r="A15" s="209" t="inlineStr">
        <is>
          <t>DC</t>
        </is>
      </c>
      <c r="B15" s="209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3940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9" t="n"/>
      <c r="Q15" s="209" t="n"/>
      <c r="R15" s="209" t="n"/>
    </row>
    <row r="16" ht="12.75" customHeight="1" s="210">
      <c r="A16" s="209" t="inlineStr">
        <is>
          <t>DC</t>
        </is>
      </c>
      <c r="B16" s="209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523</v>
      </c>
      <c r="G16" s="218" t="n">
        <v>27046</v>
      </c>
      <c r="H16" s="231" t="n"/>
      <c r="I16" s="226" t="n">
        <v>26090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9" t="n"/>
      <c r="Q16" s="209" t="n"/>
      <c r="R16" s="209" t="n"/>
    </row>
    <row r="17" ht="12.75" customHeight="1" s="210">
      <c r="A17" s="209" t="inlineStr">
        <is>
          <t>개인연금1</t>
        </is>
      </c>
      <c r="B17" s="209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14460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9" t="n"/>
      <c r="Q17" s="209" t="n"/>
      <c r="R17" s="209" t="n"/>
    </row>
    <row r="18" ht="12.75" customHeight="1" s="210">
      <c r="A18" s="209" t="inlineStr">
        <is>
          <t>개인연금1</t>
        </is>
      </c>
      <c r="B18" s="209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10830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9" t="n"/>
      <c r="Q18" s="209" t="n"/>
      <c r="R18" s="209" t="n"/>
    </row>
    <row r="19" ht="12.75" customHeight="1" s="210">
      <c r="A19" s="209" t="inlineStr">
        <is>
          <t>개인연금1</t>
        </is>
      </c>
      <c r="B19" s="209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13695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9" t="n"/>
      <c r="Q19" s="209" t="n"/>
      <c r="R19" s="209" t="n"/>
    </row>
    <row r="20" ht="12.75" customHeight="1" s="210">
      <c r="A20" s="209" t="inlineStr">
        <is>
          <t>개인연금1</t>
        </is>
      </c>
      <c r="B20" s="209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21385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9" t="n"/>
      <c r="Q20" s="209" t="n"/>
      <c r="R20" s="209" t="n"/>
    </row>
    <row r="21" ht="12.75" customHeight="1" s="210">
      <c r="A21" s="209" t="inlineStr">
        <is>
          <t>개인연금1</t>
        </is>
      </c>
      <c r="B21" s="209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11260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9" t="n"/>
      <c r="Q21" s="209" t="n"/>
      <c r="R21" s="209" t="n"/>
    </row>
    <row r="22" ht="12.75" customHeight="1" s="210">
      <c r="A22" s="72" t="inlineStr">
        <is>
          <t>개인연금2</t>
        </is>
      </c>
      <c r="B22" s="209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30035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9" t="n"/>
      <c r="Q22" s="209" t="n"/>
      <c r="R22" s="209" t="n"/>
    </row>
    <row r="23" ht="12.75" customHeight="1" s="210">
      <c r="A23" s="72" t="inlineStr">
        <is>
          <t>개인연금2</t>
        </is>
      </c>
      <c r="B23" s="209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25590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9" t="n"/>
      <c r="Q23" s="209" t="n"/>
      <c r="R23" s="209" t="n"/>
    </row>
    <row r="24" ht="12.75" customHeight="1" s="210">
      <c r="A24" s="209" t="inlineStr">
        <is>
          <t>ISA</t>
        </is>
      </c>
      <c r="B24" s="209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10895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9" t="n"/>
      <c r="Q24" s="209" t="n"/>
      <c r="R24" s="209" t="n"/>
    </row>
    <row r="25" ht="12.75" customHeight="1" s="210">
      <c r="A25" s="209" t="inlineStr">
        <is>
          <t>ISA</t>
        </is>
      </c>
      <c r="B25" s="209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10830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9" t="n"/>
      <c r="Q25" s="209" t="n"/>
      <c r="R25" s="209" t="n"/>
    </row>
    <row r="26" ht="12.75" customHeight="1" s="210">
      <c r="A26" s="209" t="inlineStr">
        <is>
          <t>ISA</t>
        </is>
      </c>
      <c r="B26" s="209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14460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9" t="n"/>
      <c r="Q26" s="209" t="n"/>
      <c r="R26" s="209" t="n"/>
    </row>
    <row r="27" ht="12.75" customHeight="1" s="210">
      <c r="A27" s="209" t="inlineStr">
        <is>
          <t>ISA</t>
        </is>
      </c>
      <c r="B27" s="209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515</v>
      </c>
      <c r="G27" s="218" t="n">
        <v>16707</v>
      </c>
      <c r="H27" s="231" t="n"/>
      <c r="I27" s="226" t="n">
        <v>17515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9" t="n"/>
      <c r="Q27" s="209" t="n"/>
      <c r="R27" s="209" t="n"/>
    </row>
    <row r="28" ht="12.75" customHeight="1" s="210">
      <c r="A28" s="209" t="inlineStr">
        <is>
          <t>ISA</t>
        </is>
      </c>
      <c r="B28" s="209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7510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9" t="n"/>
      <c r="Q28" s="209" t="n"/>
      <c r="R28" s="209" t="n"/>
    </row>
    <row r="29" ht="12.75" customHeight="1" s="210">
      <c r="A29" s="209" t="inlineStr">
        <is>
          <t>ISA</t>
        </is>
      </c>
      <c r="B29" s="209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108300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9" t="n"/>
      <c r="Q29" s="209" t="n"/>
      <c r="R29" s="209" t="n"/>
    </row>
    <row r="30" ht="12.75" customHeight="1" s="210">
      <c r="A30" s="209" t="inlineStr">
        <is>
          <t>ISA</t>
        </is>
      </c>
      <c r="B30" s="209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12735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9" t="n"/>
      <c r="Q30" s="209" t="n"/>
      <c r="R30" s="209" t="n"/>
    </row>
    <row r="31" ht="12.75" customHeight="1" s="210">
      <c r="A31" s="209" t="inlineStr">
        <is>
          <t>ISA</t>
        </is>
      </c>
      <c r="B31" s="209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11555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9" t="n"/>
      <c r="Q31" s="209" t="n"/>
      <c r="R31" s="209" t="n"/>
    </row>
    <row r="32" ht="12.75" customHeight="1" s="210">
      <c r="A32" s="209" t="inlineStr">
        <is>
          <t>ISA</t>
        </is>
      </c>
      <c r="B32" s="209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159000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9" t="n"/>
      <c r="Q32" s="209" t="n"/>
      <c r="R32" s="209" t="n"/>
    </row>
    <row r="33" ht="12.75" customHeight="1" s="210">
      <c r="A33" s="209" t="inlineStr">
        <is>
          <t>ISA</t>
        </is>
      </c>
      <c r="B33" s="209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9540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9" t="n"/>
      <c r="Q33" s="209" t="n"/>
      <c r="R33" s="209" t="n"/>
    </row>
    <row r="34" ht="12.75" customHeight="1" s="210">
      <c r="A34" s="209" t="inlineStr">
        <is>
          <t>ISA</t>
        </is>
      </c>
      <c r="B34" s="209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10395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9" t="n"/>
      <c r="Q34" s="209" t="n"/>
      <c r="R34" s="209" t="n"/>
    </row>
    <row r="35" ht="12.75" customHeight="1" s="210">
      <c r="A35" s="209" t="inlineStr">
        <is>
          <t>ISA</t>
        </is>
      </c>
      <c r="B35" s="209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9585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9" t="n"/>
      <c r="Q35" s="209" t="n"/>
      <c r="R35" s="209" t="n"/>
    </row>
    <row r="36" ht="12.75" customHeight="1" s="210">
      <c r="A36" s="209" t="inlineStr">
        <is>
          <t>일반계좌</t>
        </is>
      </c>
      <c r="B36" s="209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232000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9" t="n"/>
      <c r="Q36" s="209" t="n"/>
      <c r="R36" s="209" t="n"/>
    </row>
    <row r="37" ht="12.75" customHeight="1" s="210">
      <c r="A37" s="209" t="inlineStr">
        <is>
          <t>일반계좌</t>
        </is>
      </c>
      <c r="B37" s="209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232000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9" t="n"/>
      <c r="Q37" s="209" t="n"/>
      <c r="R37" s="209" t="n"/>
    </row>
    <row r="38" ht="12.75" customHeight="1" s="210">
      <c r="A38" s="72" t="inlineStr">
        <is>
          <t>일반계좌</t>
        </is>
      </c>
      <c r="B38" s="209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17495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9" t="n"/>
      <c r="Q38" s="209" t="n"/>
      <c r="R38" s="209" t="n"/>
    </row>
    <row r="39">
      <c r="A39" s="72" t="inlineStr">
        <is>
          <t>일반계좌</t>
        </is>
      </c>
      <c r="B39" s="209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404.2200012207031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9" t="n"/>
      <c r="Q39" s="209" t="n"/>
      <c r="R39" s="209" t="n"/>
    </row>
    <row r="40">
      <c r="A40" s="72" t="inlineStr">
        <is>
          <t>일반계좌</t>
        </is>
      </c>
      <c r="B40" s="209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56.22999954223633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32.43000030517578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343.8299865722656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19130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158800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91.38999938964844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9" t="n"/>
      <c r="Q45" s="209" t="n"/>
      <c r="R45" s="209" t="n"/>
    </row>
    <row r="46">
      <c r="A46" s="72" t="inlineStr">
        <is>
          <t>일반계좌2</t>
        </is>
      </c>
      <c r="B46" s="209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91.38999938964844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155900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9" t="n"/>
      <c r="Q47" s="209" t="n"/>
      <c r="R47" s="209" t="n"/>
    </row>
    <row r="48">
      <c r="A48" s="72" t="inlineStr">
        <is>
          <t>일반계좌</t>
        </is>
      </c>
      <c r="B48" s="209" t="n">
        <v>40</v>
      </c>
      <c r="C48" s="225" t="n"/>
      <c r="D48" s="106" t="inlineStr">
        <is>
          <t>현금</t>
        </is>
      </c>
      <c r="E48" s="133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1312</v>
      </c>
      <c r="G49" s="218" t="n">
        <v>8263</v>
      </c>
      <c r="H49" s="231" t="n"/>
      <c r="I49" s="226" t="n">
        <v>7040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9" t="n"/>
      <c r="Q49" s="209" t="n"/>
      <c r="R49" s="209" t="n"/>
    </row>
    <row r="50" ht="12.75" customHeight="1" s="210">
      <c r="A50" s="72" t="inlineStr">
        <is>
          <t>일반계좌</t>
        </is>
      </c>
      <c r="B50" s="209" t="n">
        <v>42</v>
      </c>
      <c r="C50" s="225" t="n"/>
      <c r="D50" s="106" t="inlineStr">
        <is>
          <t>현금</t>
        </is>
      </c>
      <c r="E50" s="132" t="inlineStr">
        <is>
          <t>예수금(직투달러)</t>
        </is>
      </c>
      <c r="F50" s="107" t="n">
        <v>1</v>
      </c>
      <c r="G50" s="234" t="n">
        <v>912054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9" t="n"/>
      <c r="Q50" s="209" t="n"/>
      <c r="R50" s="209" t="n"/>
    </row>
    <row r="51" ht="12.75" customHeight="1" s="210">
      <c r="A51" s="72" t="inlineStr">
        <is>
          <t>일반계좌</t>
        </is>
      </c>
      <c r="B51" s="209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84400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9" t="n"/>
      <c r="Q51" s="209" t="n"/>
      <c r="R51" s="209" t="n"/>
    </row>
    <row r="52" ht="12.75" customHeight="1" s="210">
      <c r="A52" s="72" t="inlineStr">
        <is>
          <t>일반계좌</t>
        </is>
      </c>
      <c r="B52" s="209" t="n">
        <v>44</v>
      </c>
      <c r="C52" s="225" t="n"/>
      <c r="D52" s="106" t="inlineStr">
        <is>
          <t>현금</t>
        </is>
      </c>
      <c r="E52" s="131" t="inlineStr">
        <is>
          <t>현금성자산(삼성증권)</t>
        </is>
      </c>
      <c r="F52" s="107" t="n">
        <v>1</v>
      </c>
      <c r="G52" s="234" t="n">
        <v>327551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>
      <c r="A53" s="72" t="inlineStr">
        <is>
          <t>일반계좌</t>
        </is>
      </c>
      <c r="B53" s="209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145.2299957275391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9" t="n"/>
      <c r="Q53" s="209" t="n"/>
      <c r="R53" s="209" t="n"/>
    </row>
    <row r="54">
      <c r="A54" s="72" t="inlineStr">
        <is>
          <t>일반계좌</t>
        </is>
      </c>
      <c r="B54" s="209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183.75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9" t="n"/>
      <c r="Q54" s="209" t="n"/>
      <c r="R54" s="209" t="n"/>
    </row>
    <row r="55">
      <c r="A55" s="72" t="inlineStr">
        <is>
          <t>일반계좌</t>
        </is>
      </c>
      <c r="B55" s="209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215.3800048828125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35.09000015258789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531.010009765625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148.0800018310547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38.29000091552734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196.8099975585938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58.59999847412109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12.32999992370605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37.15000152587891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9" t="n"/>
      <c r="Q63" s="209" t="n"/>
      <c r="R63" s="209" t="n"/>
    </row>
    <row r="64" ht="12.75" customHeight="1" s="210">
      <c r="A64" s="72" t="inlineStr">
        <is>
          <t>일반계좌</t>
        </is>
      </c>
      <c r="B64" s="209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439.510009765625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9" t="n"/>
      <c r="Q64" s="209" t="n"/>
      <c r="R64" s="209" t="n"/>
    </row>
    <row r="65" ht="12.75" customHeight="1" s="210">
      <c r="A65" s="72" t="inlineStr">
        <is>
          <t>일반계좌</t>
        </is>
      </c>
      <c r="B65" s="209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162.3200073242188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9" t="n"/>
      <c r="Q65" s="209" t="n"/>
      <c r="R65" s="209" t="n"/>
    </row>
    <row r="66" ht="12.75" customHeight="1" s="210">
      <c r="A66" s="72" t="inlineStr">
        <is>
          <t>일반계좌</t>
        </is>
      </c>
      <c r="B66" s="209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111.9700012207031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9" t="n"/>
      <c r="Q66" s="209" t="n"/>
      <c r="R66" s="209" t="n"/>
    </row>
    <row r="67" ht="12.75" customHeight="1" s="210">
      <c r="A67" s="72" t="inlineStr">
        <is>
          <t>일반계좌</t>
        </is>
      </c>
      <c r="B67" s="209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144.5399932861328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9" t="n"/>
      <c r="Q67" s="209" t="n"/>
      <c r="R67" s="209" t="n"/>
    </row>
    <row r="68" ht="12.75" customHeight="1" s="210">
      <c r="A68" s="72" t="inlineStr">
        <is>
          <t>일반계좌</t>
        </is>
      </c>
      <c r="B68" s="209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5.079999923706055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9" t="n"/>
      <c r="Q68" s="209" t="n"/>
      <c r="R68" s="209" t="n"/>
    </row>
    <row r="69" ht="12.75" customHeight="1" s="210">
      <c r="A69" s="72" t="inlineStr">
        <is>
          <t>일반계좌</t>
        </is>
      </c>
      <c r="B69" s="209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103.1999969482422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9" t="n"/>
      <c r="Q69" s="209" t="n"/>
      <c r="R69" s="209" t="n"/>
    </row>
    <row r="70" ht="12.75" customHeight="1" s="210">
      <c r="A70" s="72" t="inlineStr">
        <is>
          <t>일반계좌</t>
        </is>
      </c>
      <c r="B70" s="209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5.670000076293945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9" t="n"/>
      <c r="Q70" s="209" t="n"/>
      <c r="R70" s="209" t="n"/>
    </row>
    <row r="71" ht="12.75" customHeight="1" s="210">
      <c r="A71" s="72" t="inlineStr">
        <is>
          <t>일반계좌</t>
        </is>
      </c>
      <c r="B71" s="209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13570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9" t="n"/>
      <c r="Q71" s="209" t="n"/>
      <c r="R71" s="209" t="n"/>
    </row>
    <row r="72" ht="12.75" customHeight="1" s="210">
      <c r="A72" s="72" t="inlineStr">
        <is>
          <t>일반계좌</t>
        </is>
      </c>
      <c r="B72" s="209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27.1200008392334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9" t="n"/>
      <c r="Q72" s="209" t="n"/>
      <c r="R72" s="209" t="n"/>
    </row>
    <row r="73" ht="12.75" customHeight="1" s="210">
      <c r="A73" s="72" t="inlineStr">
        <is>
          <t>일반계좌</t>
        </is>
      </c>
      <c r="B73" s="209" t="n">
        <v>65</v>
      </c>
      <c r="C73" s="217" t="n"/>
      <c r="D73" s="236" t="inlineStr">
        <is>
          <t>현금</t>
        </is>
      </c>
      <c r="E73" s="134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9" t="n"/>
      <c r="Q73" s="209" t="n"/>
      <c r="R73" s="209" t="n"/>
    </row>
    <row r="74" ht="12.75" customHeight="1" s="210">
      <c r="A74" s="72" t="inlineStr">
        <is>
          <t>일반계좌</t>
        </is>
      </c>
      <c r="B74" s="209" t="n">
        <v>66</v>
      </c>
      <c r="C74" s="225" t="n"/>
      <c r="D74" s="97" t="inlineStr">
        <is>
          <t>현금</t>
        </is>
      </c>
      <c r="E74" s="135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9" t="n"/>
      <c r="Q74" s="209" t="n"/>
      <c r="R74" s="209" t="n"/>
    </row>
    <row r="75" ht="12.75" customHeight="1" s="210">
      <c r="A75" s="209" t="inlineStr">
        <is>
          <t>CMA</t>
        </is>
      </c>
      <c r="B75" s="209" t="n">
        <v>67</v>
      </c>
      <c r="C75" s="225" t="n"/>
      <c r="D75" s="106" t="inlineStr">
        <is>
          <t>현금</t>
        </is>
      </c>
      <c r="E75" s="131" t="inlineStr">
        <is>
          <t>CMA RP</t>
        </is>
      </c>
      <c r="F75" s="107" t="n">
        <v>1</v>
      </c>
      <c r="G75" s="234" t="n">
        <v>40325031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10">
      <c r="A76" s="209" t="inlineStr">
        <is>
          <t>IRP</t>
        </is>
      </c>
      <c r="B76" s="209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14745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9" t="n"/>
      <c r="Q76" s="209" t="n"/>
      <c r="R76" s="209" t="n"/>
    </row>
    <row r="77" ht="12.75" customHeight="1" s="210">
      <c r="A77" s="209" t="inlineStr">
        <is>
          <t>IRP</t>
        </is>
      </c>
      <c r="B77" s="209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174730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9" t="n"/>
      <c r="Q77" s="209" t="n"/>
      <c r="R77" s="209" t="n"/>
    </row>
    <row r="78" ht="12.75" customHeight="1" s="210">
      <c r="A78" s="209" t="inlineStr">
        <is>
          <t>IRP</t>
        </is>
      </c>
      <c r="B78" s="209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30060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9" t="n"/>
      <c r="Q78" s="209" t="n"/>
      <c r="R78" s="209" t="n"/>
    </row>
    <row r="79" ht="12.75" customHeight="1" s="210">
      <c r="A79" s="209" t="inlineStr">
        <is>
          <t>IRP</t>
        </is>
      </c>
      <c r="B79" s="209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21385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9" t="n"/>
      <c r="Q79" s="209" t="n"/>
      <c r="R79" s="209" t="n"/>
    </row>
    <row r="80" ht="12.75" customHeight="1" s="210">
      <c r="A80" s="72" t="inlineStr">
        <is>
          <t>은행예금</t>
        </is>
      </c>
      <c r="B80" s="209" t="n">
        <v>72</v>
      </c>
      <c r="C80" s="104" t="n"/>
      <c r="D80" s="236" t="inlineStr">
        <is>
          <t>현금</t>
        </is>
      </c>
      <c r="E80" s="136" t="inlineStr">
        <is>
          <t>새마을 예금</t>
        </is>
      </c>
      <c r="F80" s="110" t="n">
        <v>1</v>
      </c>
      <c r="G80" s="104" t="n">
        <v>13435000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9" t="n"/>
      <c r="Q80" s="209" t="n"/>
      <c r="R80" s="209" t="n"/>
    </row>
    <row r="81">
      <c r="A81" s="115" t="inlineStr">
        <is>
          <t>TOSS</t>
        </is>
      </c>
      <c r="B81" s="209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229.1999969482422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9" t="n"/>
      <c r="Q81" s="209" t="n"/>
      <c r="R81" s="209" t="n"/>
    </row>
    <row r="82" ht="12.75" customHeight="1" s="210">
      <c r="A82" s="115" t="inlineStr">
        <is>
          <t>TOSS</t>
        </is>
      </c>
      <c r="B82" s="209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182.0200042724609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9" t="n"/>
      <c r="Q82" s="209" t="n"/>
      <c r="R82" s="209" t="n"/>
    </row>
    <row r="83" ht="12.75" customHeight="1" s="210">
      <c r="A83" s="115" t="inlineStr">
        <is>
          <t>TOSS</t>
        </is>
      </c>
      <c r="B83" s="209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118.7699966430664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9" t="n"/>
      <c r="Q83" s="209" t="n"/>
      <c r="R83" s="209" t="n"/>
    </row>
    <row r="84" ht="12.75" customHeight="1" s="210">
      <c r="A84" s="209" t="n"/>
      <c r="B84" s="209" t="n"/>
      <c r="C84" s="116" t="n"/>
      <c r="D84" s="116" t="n"/>
      <c r="E84" s="117" t="n"/>
      <c r="F84" s="116" t="n"/>
      <c r="G84" s="116" t="n"/>
      <c r="H84" s="116" t="n"/>
      <c r="I84" s="209" t="n"/>
      <c r="L84" s="209" t="n"/>
      <c r="M84" s="209" t="n"/>
      <c r="N84" s="209" t="n"/>
      <c r="O84" s="126" t="n"/>
      <c r="P84" s="209" t="n"/>
      <c r="Q84" s="209" t="n"/>
      <c r="R84" s="209" t="n"/>
    </row>
    <row r="85" ht="12.75" customHeight="1" s="210">
      <c r="A85" s="209" t="n"/>
      <c r="B85" s="209" t="n"/>
      <c r="C85" s="209" t="n"/>
      <c r="D85" s="209" t="n"/>
      <c r="E85" s="13" t="n"/>
      <c r="F85" s="209" t="n"/>
      <c r="G85" s="209" t="n"/>
      <c r="H85" s="209" t="n"/>
      <c r="I85" s="209" t="n"/>
      <c r="L85" s="209" t="n"/>
      <c r="M85" s="209" t="n"/>
      <c r="N85" s="209" t="n"/>
      <c r="O85" s="209" t="n"/>
      <c r="P85" s="209" t="n"/>
      <c r="Q85" s="209" t="n"/>
      <c r="R85" s="209" t="n"/>
    </row>
    <row r="86" ht="12.75" customHeight="1" s="210">
      <c r="A86" s="209" t="n"/>
      <c r="B86" s="209" t="n"/>
      <c r="C86" s="209" t="n"/>
      <c r="D86" s="209" t="n"/>
      <c r="E86" s="13" t="n"/>
      <c r="F86" s="209" t="n"/>
      <c r="G86" s="209" t="n"/>
      <c r="H86" s="209" t="n"/>
      <c r="I86" s="209" t="n"/>
      <c r="L86" s="209" t="n"/>
      <c r="M86" s="209" t="n"/>
      <c r="N86" s="209" t="n"/>
      <c r="O86" s="209" t="n"/>
      <c r="P86" s="209" t="n"/>
      <c r="Q86" s="209" t="n"/>
      <c r="R86" s="209" t="n"/>
    </row>
    <row r="87" ht="12.75" customHeight="1" s="210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10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10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10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10">
      <c r="A91" s="209" t="n"/>
      <c r="B91" s="209" t="n"/>
      <c r="C91" s="209" t="n"/>
      <c r="D91" s="209" t="n"/>
      <c r="E91" s="209" t="n"/>
      <c r="F91" s="209" t="n"/>
      <c r="G91" s="209" t="n"/>
      <c r="H91" s="209" t="n"/>
      <c r="I91" s="209" t="n"/>
      <c r="J91" s="209" t="n"/>
      <c r="K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10">
      <c r="A92" s="209" t="n"/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09" t="n"/>
      <c r="K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10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10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10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10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10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10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10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10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10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10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10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10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10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10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10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10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10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10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10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10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10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10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10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10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10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10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10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10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10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10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10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10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10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10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10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10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10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10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10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10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10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10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10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10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10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10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10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10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10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10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10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10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10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10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10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10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10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10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10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10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10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10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10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10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10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10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10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10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10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10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10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10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10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10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10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10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10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10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10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10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10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10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10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10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10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10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10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10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10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10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10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10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10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10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10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10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10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10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10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10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10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10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10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10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10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10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10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10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10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10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10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10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10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10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10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10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10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10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10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10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10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10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10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10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10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10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10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10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10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10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10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10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10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10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10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10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10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10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10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10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10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10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10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10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10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10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10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10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10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10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10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10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10" min="1" max="1"/>
    <col width="12" customWidth="1" style="210" min="2" max="2"/>
    <col width="8" customWidth="1" style="210" min="3" max="3"/>
    <col width="12" customWidth="1" style="210" min="4" max="4"/>
    <col width="36" customWidth="1" style="210" min="5" max="5"/>
    <col width="10" customWidth="1" style="210" min="6" max="6"/>
    <col width="14" customWidth="1" style="210" min="7" max="7"/>
    <col width="10" customWidth="1" style="210" min="8" max="8"/>
    <col width="10" customWidth="1" style="210" min="9" max="9"/>
    <col width="8" customWidth="1" style="210" min="12" max="12"/>
    <col width="12" customWidth="1" style="210" min="13" max="13"/>
    <col width="14" customWidth="1" style="210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10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3" t="n">
        <v>18</v>
      </c>
      <c r="B38" s="303">
        <f>IFERROR(INDEX('계좌현황'!A:A,INDEX($L$21:$L$95,MATCH(LARGE($N$21:$N$95,18),$N$21:$N$95,0))),"")</f>
        <v/>
      </c>
      <c r="C38" s="303">
        <f>IFERROR(INDEX('계좌현황'!C:C,INDEX($L$21:$L$95,MATCH(LARGE($N$21:$N$95,18),$N$21:$N$95,0))),"")</f>
        <v/>
      </c>
      <c r="D38" s="303">
        <f>IFERROR(INDEX('계좌현황'!D:D,INDEX($L$21:$L$95,MATCH(LARGE($N$21:$N$95,18),$N$21:$N$95,0))),"")</f>
        <v/>
      </c>
      <c r="E38" s="303">
        <f>IFERROR(INDEX('계좌현황'!E:E,INDEX($L$21:$L$95,MATCH(LARGE($N$21:$N$95,18),$N$21:$N$95,0))),"")</f>
        <v/>
      </c>
      <c r="F38" s="327">
        <f>IFERROR(INDEX('계좌현황'!F:F,INDEX($L$21:$L$95,MATCH(LARGE($N$21:$N$95,18),$N$21:$N$95,0))),"")</f>
        <v/>
      </c>
      <c r="G38" s="328">
        <f>IFERROR(INDEX('계좌현황'!K:K,INDEX($L$21:$L$95,MATCH(LARGE($N$21:$N$95,18),$N$21:$N$95,0))),0)</f>
        <v/>
      </c>
      <c r="H38" s="329">
        <f>IF($B$3=0,0,G38/$B$3)</f>
        <v/>
      </c>
      <c r="I38" s="329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7" t="n">
        <v>19</v>
      </c>
      <c r="B39" s="297">
        <f>IFERROR(INDEX('계좌현황'!A:A,INDEX($L$21:$L$95,MATCH(LARGE($N$21:$N$95,19),$N$21:$N$95,0))),"")</f>
        <v/>
      </c>
      <c r="C39" s="297">
        <f>IFERROR(INDEX('계좌현황'!C:C,INDEX($L$21:$L$95,MATCH(LARGE($N$21:$N$95,19),$N$21:$N$95,0))),"")</f>
        <v/>
      </c>
      <c r="D39" s="297">
        <f>IFERROR(INDEX('계좌현황'!D:D,INDEX($L$21:$L$95,MATCH(LARGE($N$21:$N$95,19),$N$21:$N$95,0))),"")</f>
        <v/>
      </c>
      <c r="E39" s="297">
        <f>IFERROR(INDEX('계좌현황'!E:E,INDEX($L$21:$L$95,MATCH(LARGE($N$21:$N$95,19),$N$21:$N$95,0))),"")</f>
        <v/>
      </c>
      <c r="F39" s="324">
        <f>IFERROR(INDEX('계좌현황'!F:F,INDEX($L$21:$L$95,MATCH(LARGE($N$21:$N$95,19),$N$21:$N$95,0))),"")</f>
        <v/>
      </c>
      <c r="G39" s="325">
        <f>IFERROR(INDEX('계좌현황'!K:K,INDEX($L$21:$L$95,MATCH(LARGE($N$21:$N$95,19),$N$21:$N$95,0))),0)</f>
        <v/>
      </c>
      <c r="H39" s="326">
        <f>IF($B$3=0,0,G39/$B$3)</f>
        <v/>
      </c>
      <c r="I39" s="326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1" t="n">
        <v>20</v>
      </c>
      <c r="B40" s="291">
        <f>IFERROR(INDEX('계좌현황'!A:A,INDEX($L$21:$L$95,MATCH(LARGE($N$21:$N$95,20),$N$21:$N$95,0))),"")</f>
        <v/>
      </c>
      <c r="C40" s="291">
        <f>IFERROR(INDEX('계좌현황'!C:C,INDEX($L$21:$L$95,MATCH(LARGE($N$21:$N$95,20),$N$21:$N$95,0))),"")</f>
        <v/>
      </c>
      <c r="D40" s="291">
        <f>IFERROR(INDEX('계좌현황'!D:D,INDEX($L$21:$L$95,MATCH(LARGE($N$21:$N$95,20),$N$21:$N$95,0))),"")</f>
        <v/>
      </c>
      <c r="E40" s="291">
        <f>IFERROR(INDEX('계좌현황'!E:E,INDEX($L$21:$L$95,MATCH(LARGE($N$21:$N$95,20),$N$21:$N$95,0))),"")</f>
        <v/>
      </c>
      <c r="F40" s="330">
        <f>IFERROR(INDEX('계좌현황'!F:F,INDEX($L$21:$L$95,MATCH(LARGE($N$21:$N$95,20),$N$21:$N$95,0))),"")</f>
        <v/>
      </c>
      <c r="G40" s="331">
        <f>IFERROR(INDEX('계좌현황'!K:K,INDEX($L$21:$L$95,MATCH(LARGE($N$21:$N$95,20),$N$21:$N$95,0))),0)</f>
        <v/>
      </c>
      <c r="H40" s="332">
        <f>IF($B$3=0,0,G40/$B$3)</f>
        <v/>
      </c>
      <c r="I40" s="332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3" t="n">
        <v>22</v>
      </c>
      <c r="B42" s="303">
        <f>IFERROR(INDEX('계좌현황'!A:A,INDEX($L$21:$L$95,MATCH(LARGE($N$21:$N$95,22),$N$21:$N$95,0))),"")</f>
        <v/>
      </c>
      <c r="C42" s="303">
        <f>IFERROR(INDEX('계좌현황'!C:C,INDEX($L$21:$L$95,MATCH(LARGE($N$21:$N$95,22),$N$21:$N$95,0))),"")</f>
        <v/>
      </c>
      <c r="D42" s="303">
        <f>IFERROR(INDEX('계좌현황'!D:D,INDEX($L$21:$L$95,MATCH(LARGE($N$21:$N$95,22),$N$21:$N$95,0))),"")</f>
        <v/>
      </c>
      <c r="E42" s="303">
        <f>IFERROR(INDEX('계좌현황'!E:E,INDEX($L$21:$L$95,MATCH(LARGE($N$21:$N$95,22),$N$21:$N$95,0))),"")</f>
        <v/>
      </c>
      <c r="F42" s="327">
        <f>IFERROR(INDEX('계좌현황'!F:F,INDEX($L$21:$L$95,MATCH(LARGE($N$21:$N$95,22),$N$21:$N$95,0))),"")</f>
        <v/>
      </c>
      <c r="G42" s="328">
        <f>IFERROR(INDEX('계좌현황'!K:K,INDEX($L$21:$L$95,MATCH(LARGE($N$21:$N$95,22),$N$21:$N$95,0))),0)</f>
        <v/>
      </c>
      <c r="H42" s="329">
        <f>IF($B$3=0,0,G42/$B$3)</f>
        <v/>
      </c>
      <c r="I42" s="329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7" t="n">
        <v>25</v>
      </c>
      <c r="B45" s="297">
        <f>IFERROR(INDEX('계좌현황'!A:A,INDEX($L$21:$L$95,MATCH(LARGE($N$21:$N$95,25),$N$21:$N$95,0))),"")</f>
        <v/>
      </c>
      <c r="C45" s="297">
        <f>IFERROR(INDEX('계좌현황'!C:C,INDEX($L$21:$L$95,MATCH(LARGE($N$21:$N$95,25),$N$21:$N$95,0))),"")</f>
        <v/>
      </c>
      <c r="D45" s="297">
        <f>IFERROR(INDEX('계좌현황'!D:D,INDEX($L$21:$L$95,MATCH(LARGE($N$21:$N$95,25),$N$21:$N$95,0))),"")</f>
        <v/>
      </c>
      <c r="E45" s="297">
        <f>IFERROR(INDEX('계좌현황'!E:E,INDEX($L$21:$L$95,MATCH(LARGE($N$21:$N$95,25),$N$21:$N$95,0))),"")</f>
        <v/>
      </c>
      <c r="F45" s="324">
        <f>IFERROR(INDEX('계좌현황'!F:F,INDEX($L$21:$L$95,MATCH(LARGE($N$21:$N$95,25),$N$21:$N$95,0))),"")</f>
        <v/>
      </c>
      <c r="G45" s="325">
        <f>IFERROR(INDEX('계좌현황'!K:K,INDEX($L$21:$L$95,MATCH(LARGE($N$21:$N$95,25),$N$21:$N$95,0))),0)</f>
        <v/>
      </c>
      <c r="H45" s="326">
        <f>IF($B$3=0,0,G45/$B$3)</f>
        <v/>
      </c>
      <c r="I45" s="326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10" min="1" max="1"/>
    <col outlineLevel="1" width="12.59765625" customWidth="1" style="210" min="2" max="5"/>
    <col outlineLevel="1" width="11.1328125" customWidth="1" style="210" min="6" max="6"/>
    <col width="15" customWidth="1" style="210" min="7" max="7"/>
    <col width="16.265625" customWidth="1" style="210" min="8" max="8"/>
    <col width="4.3984375" customWidth="1" style="210" min="14" max="16"/>
    <col outlineLevel="1" width="12.59765625" customWidth="1" style="210" min="21" max="33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10">
      <c r="A2" s="209" t="n"/>
      <c r="B2" s="209" t="n"/>
      <c r="C2" s="209" t="n"/>
      <c r="D2" s="209" t="n"/>
      <c r="E2" s="209" t="n"/>
      <c r="F2" s="209" t="n"/>
      <c r="G2" s="16" t="n"/>
      <c r="H2" s="257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10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10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10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10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10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10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10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10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10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10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10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10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10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10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10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10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10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10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10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10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10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10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10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10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10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10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10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10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10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10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10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10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10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10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10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10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10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10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10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10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10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10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10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10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10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10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10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10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10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10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10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10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10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10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10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10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10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10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10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10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10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10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10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10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10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10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10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10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10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10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10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10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10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10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10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10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10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10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10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10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10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10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10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10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10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10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10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10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10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10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10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10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10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10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10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10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10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10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10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10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10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10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10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10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10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10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10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10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10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10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10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10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10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10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10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10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10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10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10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10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10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10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10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10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10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10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10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10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10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10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10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10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10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10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10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10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10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10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10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10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10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10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10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10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10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10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10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10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10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10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10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10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10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10" min="3" max="5"/>
    <col width="13.1328125" customWidth="1" style="210" min="6" max="6"/>
    <col width="22.59765625" customWidth="1" style="210" min="7" max="7"/>
    <col width="18.3984375" customWidth="1" style="210" min="8" max="9"/>
  </cols>
  <sheetData>
    <row r="1" ht="12.75" customHeight="1" s="210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10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10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10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10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10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10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10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10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10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10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10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10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10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10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10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10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10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10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10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10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10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10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10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10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10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10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10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10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10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10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10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10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10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10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10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10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10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10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10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10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10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10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10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10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10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10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10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10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10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10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10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10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10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10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10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10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10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10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10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10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10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10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10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10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10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10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10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10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10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10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10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10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10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10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10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10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10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10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10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10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10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10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10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10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10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10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10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10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10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10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10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10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10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10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10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10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10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10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10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10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10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10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10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10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10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10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10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10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10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10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10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10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10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10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10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10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10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10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10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10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10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10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10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10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10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10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10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10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10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10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10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10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10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10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10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10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10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10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10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10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10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10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10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10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10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10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10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10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10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10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10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10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10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10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10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10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10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10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10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10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10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10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10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10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10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10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10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10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10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10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10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10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10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10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10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10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10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10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10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10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10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10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10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10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10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10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10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10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10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10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10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10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10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10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10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10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10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10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10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10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10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10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10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10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10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10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10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10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10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10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10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10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10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10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10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10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10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10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10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10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10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10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10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10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10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10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10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10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10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10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10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10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10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10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10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10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10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10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10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10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10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10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10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10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10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10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10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10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10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10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10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10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10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10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10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10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10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10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10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10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10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10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10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10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10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10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10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10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10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10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10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10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10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10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10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10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10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10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10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10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10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10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10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10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10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10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10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10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10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10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10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10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10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10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10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10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10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10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10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10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10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10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10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10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10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10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10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10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10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10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10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10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10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10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10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10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10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10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10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10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10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10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10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10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10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10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10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10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10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10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10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10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10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10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10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10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10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10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10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10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10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10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10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10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10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10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10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10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10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10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10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10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10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10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10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10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10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10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10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10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10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10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10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10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10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10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10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10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10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10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10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10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10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10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10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10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10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10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10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10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10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10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10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10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10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10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10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10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10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10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10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10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10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10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10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10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10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10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10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10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10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10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10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10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10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10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10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10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10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10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10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10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10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10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10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10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10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10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10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10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10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10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10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10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10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10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10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10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10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10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10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10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10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10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10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10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10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10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10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10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10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10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10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10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10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10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10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10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10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10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10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10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10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10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10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10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10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10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10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10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10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10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10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10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10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10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10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10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10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10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10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10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10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10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10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10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10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10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10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10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10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10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10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10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10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10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10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10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10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10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10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10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10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10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10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10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10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10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10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10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10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10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10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10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10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10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10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10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10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10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10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10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10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10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10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10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10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10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10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10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10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10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10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10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10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10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10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10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10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10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10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10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10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10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10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10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10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10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10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10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10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10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10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10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10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10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10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10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10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10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10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10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10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10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10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10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10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10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10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10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10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10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10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10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10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10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10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10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10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10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10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10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10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10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10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10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10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10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10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10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10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10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10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10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10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10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10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10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10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10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10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10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10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10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10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10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10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10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10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10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10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10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10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10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10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10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10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10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10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10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10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10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10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10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10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10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10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10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10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10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10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10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10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10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10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10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10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10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10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10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10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10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10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10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10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10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10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10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10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10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10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10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10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10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10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10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10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10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10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10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10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10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10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10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10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10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10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10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10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10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10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10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10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10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10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10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10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10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10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10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10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10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10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10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10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10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10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10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10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10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10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10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10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10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10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10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10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10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10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10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10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10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10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10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10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10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10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10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10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10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10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10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10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10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10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10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10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10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10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10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10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10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10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10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10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10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10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10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10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10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10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10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10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10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10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10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10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10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10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10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10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10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10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10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10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10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10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10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10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10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10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10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10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10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10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10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10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10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10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10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10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10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10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10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10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10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10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10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10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10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10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10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10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10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10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10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10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10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10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10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10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10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10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10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10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10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10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10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10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10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10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10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10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10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10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10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10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10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10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10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10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10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10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10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10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10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10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10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10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10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10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10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10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10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10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10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10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10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10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10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10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10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10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10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10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10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10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10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10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10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10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10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10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10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10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10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10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10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10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10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10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10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10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10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10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10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10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10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10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10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10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10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10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10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10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10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10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10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10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10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10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10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10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10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10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10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10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10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10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10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10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10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10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10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10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10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10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10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10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10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10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10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10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10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10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10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10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10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10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10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10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10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10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10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10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10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10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10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10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10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10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10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10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10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10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10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10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10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10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10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10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10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10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10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10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10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10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10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10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10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10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10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10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10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10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10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10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10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10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10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10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10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10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10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10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10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10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10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10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10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10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10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10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10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10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10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10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10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10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10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10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10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10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10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10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10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10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10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10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10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10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10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10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10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10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10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10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10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10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10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10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10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10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10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10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10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10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10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10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10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10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10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10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10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10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10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10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10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10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10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10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10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10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10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10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10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10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10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10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10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10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10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10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10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10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10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10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10" min="1" max="1"/>
    <col width="10" customWidth="1" style="210" min="2" max="2"/>
    <col width="14" customWidth="1" style="210" min="3" max="3"/>
    <col width="34" customWidth="1" style="210" min="4" max="4"/>
    <col width="12" customWidth="1" style="210" min="5" max="5"/>
    <col width="12" customWidth="1" style="210" min="6" max="6"/>
    <col width="14" customWidth="1" style="210" min="7" max="7"/>
    <col width="10" customWidth="1" style="210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1,337원/$  | 연간 합계 51,291,070원 · 월평균 4,274,256원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3835758.47</v>
      </c>
      <c r="C7" s="289" t="n">
        <v>216480</v>
      </c>
      <c r="D7" s="289" t="n">
        <v>4052238.47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3955827.200000001</v>
      </c>
      <c r="C8" s="289" t="n">
        <v>216480</v>
      </c>
      <c r="D8" s="289" t="n">
        <v>4172307.200000001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4341630.284</v>
      </c>
      <c r="C9" s="289" t="n">
        <v>251888</v>
      </c>
      <c r="D9" s="289" t="n">
        <v>4593518.284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3965960.481</v>
      </c>
      <c r="C10" s="289" t="n">
        <v>221584</v>
      </c>
      <c r="D10" s="289" t="n">
        <v>4187544.481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4053513.391</v>
      </c>
      <c r="C11" s="289" t="n">
        <v>216480</v>
      </c>
      <c r="D11" s="289" t="n">
        <v>4269993.391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4097308.259999999</v>
      </c>
      <c r="C12" s="289" t="n">
        <v>251972</v>
      </c>
      <c r="D12" s="289" t="n">
        <v>4349280.26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4127474.331</v>
      </c>
      <c r="C13" s="286" t="n">
        <v>0</v>
      </c>
      <c r="D13" s="286" t="n">
        <v>4127474.331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3994723.236</v>
      </c>
      <c r="C14" s="286" t="n">
        <v>0</v>
      </c>
      <c r="D14" s="286" t="n">
        <v>3994723.236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4000430.457</v>
      </c>
      <c r="C15" s="289" t="n">
        <v>71724</v>
      </c>
      <c r="D15" s="289" t="n">
        <v>4072154.457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1153780</v>
      </c>
      <c r="C16" s="289" t="n">
        <v>2771838.448</v>
      </c>
      <c r="D16" s="289" t="n">
        <v>3925618.448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4181966.952000001</v>
      </c>
      <c r="D17" s="295" t="n">
        <v>4181966.952000001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5364250.794</v>
      </c>
      <c r="D18" s="295" t="n">
        <v>5364250.794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0.1023</v>
      </c>
      <c r="F24" s="310" t="n">
        <v>166543740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0.107</v>
      </c>
      <c r="F25" s="310" t="n">
        <v>66660600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0.1792</v>
      </c>
      <c r="F26" s="310" t="n">
        <v>24803995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0.1653</v>
      </c>
      <c r="F27" s="310" t="n">
        <v>24252270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0.1209</v>
      </c>
      <c r="F28" s="310" t="n">
        <v>29340000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2597760</v>
      </c>
      <c r="E29" s="335" t="n">
        <v>0.2812</v>
      </c>
      <c r="F29" s="310" t="n">
        <v>9236480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0.1849</v>
      </c>
      <c r="F30" s="310" t="n">
        <v>12316480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0.09480000000000001</v>
      </c>
      <c r="F31" s="310" t="n">
        <v>19700000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0.0747</v>
      </c>
      <c r="F32" s="310" t="n">
        <v>20590000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0.0299</v>
      </c>
      <c r="F33" s="310" t="n">
        <v>41324115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0.021</v>
      </c>
      <c r="F34" s="310" t="n">
        <v>50611630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0.1327</v>
      </c>
      <c r="F35" s="310" t="n">
        <v>7209600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</v>
      </c>
      <c r="F36" s="310" t="n">
        <v>18214350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0.1098</v>
      </c>
      <c r="F37" s="310" t="n">
        <v>4785500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0.0092</v>
      </c>
      <c r="F38" s="310" t="n">
        <v>30730245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1337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35564</v>
      </c>
      <c r="F53" s="347" t="n"/>
      <c r="G53" s="286" t="n">
        <v>35564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19132.47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216480</v>
      </c>
      <c r="F66" s="349" t="n"/>
      <c r="G66" s="295" t="n">
        <v>216480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3128.58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1377.11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1657.88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2379.86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2433.34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19132.47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5454.96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216480</v>
      </c>
      <c r="F91" s="349" t="n"/>
      <c r="G91" s="295" t="n">
        <v>216480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5481.7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1278.172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2433.34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8246.616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25570.125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216480</v>
      </c>
      <c r="F118" s="349" t="n"/>
      <c r="G118" s="295" t="n">
        <v>216480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19203.331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1337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11966.15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35564</v>
      </c>
      <c r="F132" s="347" t="n"/>
      <c r="G132" s="286" t="n">
        <v>35564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216480</v>
      </c>
      <c r="F144" s="349" t="n"/>
      <c r="G144" s="295" t="n">
        <v>216480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19203.331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3248.91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1657.88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1377.11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2379.86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2433.34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19203.331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5454.96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216480</v>
      </c>
      <c r="F170" s="349" t="n"/>
      <c r="G170" s="295" t="n">
        <v>216480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5481.7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1337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1276.835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11966.15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11417.98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8118.264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216480</v>
      </c>
      <c r="F195" s="349" t="n"/>
      <c r="G195" s="295" t="n">
        <v>216480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19203.331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1337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200736</v>
      </c>
      <c r="F202" s="347" t="n"/>
      <c r="G202" s="286" t="n">
        <v>200736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43409</v>
      </c>
      <c r="F208" s="347" t="n"/>
      <c r="G208" s="286" t="n">
        <v>43409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19203.331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3248.91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1657.88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11611.845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1377.11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2379.86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2433.34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219104</v>
      </c>
      <c r="F233" s="347" t="n"/>
      <c r="G233" s="286" t="n">
        <v>219104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5454.96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19203.331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5481.7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1337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1480.059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5053.86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8567.496000000001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229600</v>
      </c>
      <c r="F260" s="347" t="n"/>
      <c r="G260" s="286" t="n">
        <v>229600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11966.15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19274.192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10829.7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1337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18990.748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32949</v>
      </c>
      <c r="F285" s="349" t="n"/>
      <c r="G285" s="295" t="n">
        <v>32949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216480</v>
      </c>
      <c r="F295" s="349" t="n"/>
      <c r="G295" s="295" t="n">
        <v>216480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3068.415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18919.887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1644.51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1350.37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2232.79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2326.38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5080.599999999999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216480</v>
      </c>
      <c r="F321" s="349" t="n"/>
      <c r="G321" s="295" t="n">
        <v>216480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5414.849999999999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8711.892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18919.887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5007.065000000001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11097.1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187975</v>
      </c>
      <c r="F345" s="349" t="n"/>
      <c r="G345" s="295" t="n">
        <v>187975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216480</v>
      </c>
      <c r="F347" s="349" t="n"/>
      <c r="G347" s="295" t="n">
        <v>216480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2026-10-29T06:03:36Z</dcterms:modified>
  <cp:lastModifiedBy>Hyoyol Park</cp:lastModifiedBy>
</cp:coreProperties>
</file>