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￦1,322</t>
        </is>
      </c>
      <c r="J5" s="73" t="n">
        <v>1321.78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10805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10715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9680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10445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13720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10185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3995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25420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14185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10805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13585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20930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11017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29210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25090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10770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10805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14180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16450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7560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106200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12595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11290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156900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9405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10260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9665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214250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214250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16025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372.2200012207031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56.88999938964844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31.27000045776367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347.7300109863281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19280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175200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86.15000152587891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86.15000152587891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151000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6555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147.4900054931641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188.9700012207031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210.9600067138672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35.27000045776367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524.510009765625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146.5399932861328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39.04999923706055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196.75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52.59999847412109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12.46000003814697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37.29999923706055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418.510009765625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164.4499969482422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102.4499969482422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126.1600036621094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4.760000228881836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100.8000030517578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5.380000114440918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13780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26.35000038146973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14480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169845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29480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20930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233.2100067138672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183.2100067138672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119.8899993896484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IFERROR(INDEX('계좌현황'!A:A,INDEX($L$21:$L$95,MATCH(LARGE($N$21:$N$95,28),$N$21:$N$95,0))),"")</f>
        <v/>
      </c>
      <c r="C48" s="294">
        <f>IFERROR(INDEX('계좌현황'!C:C,INDEX($L$21:$L$95,MATCH(LARGE($N$21:$N$95,28),$N$21:$N$95,0))),"")</f>
        <v/>
      </c>
      <c r="D48" s="294">
        <f>IFERROR(INDEX('계좌현황'!D:D,INDEX($L$21:$L$95,MATCH(LARGE($N$21:$N$95,28),$N$21:$N$95,0))),"")</f>
        <v/>
      </c>
      <c r="E48" s="294">
        <f>IFERROR(INDEX('계좌현황'!E:E,INDEX($L$21:$L$95,MATCH(LARGE($N$21:$N$95,28),$N$21:$N$95,0))),"")</f>
        <v/>
      </c>
      <c r="F48" s="321">
        <f>IFERROR(INDEX('계좌현황'!F:F,INDEX($L$21:$L$95,MATCH(LARGE($N$21:$N$95,28),$N$21:$N$95,0))),"")</f>
        <v/>
      </c>
      <c r="G48" s="322">
        <f>IFERROR(INDEX('계좌현황'!K:K,INDEX($L$21:$L$95,MATCH(LARGE($N$21:$N$95,28),$N$21:$N$95,0))),0)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7" t="n">
        <v>29</v>
      </c>
      <c r="B49" s="297">
        <f>IFERROR(INDEX('계좌현황'!A:A,INDEX($L$21:$L$95,MATCH(LARGE($N$21:$N$95,29),$N$21:$N$95,0))),"")</f>
        <v/>
      </c>
      <c r="C49" s="297">
        <f>IFERROR(INDEX('계좌현황'!C:C,INDEX($L$21:$L$95,MATCH(LARGE($N$21:$N$95,29),$N$21:$N$95,0))),"")</f>
        <v/>
      </c>
      <c r="D49" s="297">
        <f>IFERROR(INDEX('계좌현황'!D:D,INDEX($L$21:$L$95,MATCH(LARGE($N$21:$N$95,29),$N$21:$N$95,0))),"")</f>
        <v/>
      </c>
      <c r="E49" s="297">
        <f>IFERROR(INDEX('계좌현황'!E:E,INDEX($L$21:$L$95,MATCH(LARGE($N$21:$N$95,29),$N$21:$N$95,0))),"")</f>
        <v/>
      </c>
      <c r="F49" s="324">
        <f>IFERROR(INDEX('계좌현황'!F:F,INDEX($L$21:$L$95,MATCH(LARGE($N$21:$N$95,29),$N$21:$N$95,0))),"")</f>
        <v/>
      </c>
      <c r="G49" s="325">
        <f>IFERROR(INDEX('계좌현황'!K:K,INDEX($L$21:$L$95,MATCH(LARGE($N$21:$N$95,29),$N$21:$N$95,0))),0)</f>
        <v/>
      </c>
      <c r="H49" s="326">
        <f>IF($B$3=0,0,G49/$B$3)</f>
        <v/>
      </c>
      <c r="I49" s="326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1,322원/$  | 연간 합계 51,285,670원 · 월평균 4,273,806원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3835528.82</v>
      </c>
      <c r="C7" s="289" t="n">
        <v>216480</v>
      </c>
      <c r="D7" s="289" t="n">
        <v>4052008.82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3955428.2</v>
      </c>
      <c r="C8" s="289" t="n">
        <v>216480</v>
      </c>
      <c r="D8" s="289" t="n">
        <v>4171908.2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4340932.304</v>
      </c>
      <c r="C9" s="289" t="n">
        <v>251888</v>
      </c>
      <c r="D9" s="289" t="n">
        <v>4592820.304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3965595.786</v>
      </c>
      <c r="C10" s="289" t="n">
        <v>221584</v>
      </c>
      <c r="D10" s="289" t="n">
        <v>4187179.786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4053112.245999999</v>
      </c>
      <c r="C11" s="289" t="n">
        <v>216480</v>
      </c>
      <c r="D11" s="289" t="n">
        <v>4269592.245999999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4096648.56</v>
      </c>
      <c r="C12" s="289" t="n">
        <v>251972</v>
      </c>
      <c r="D12" s="289" t="n">
        <v>4348620.56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4127243.886</v>
      </c>
      <c r="C13" s="286" t="n">
        <v>0</v>
      </c>
      <c r="D13" s="286" t="n">
        <v>4127243.886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3994191.816</v>
      </c>
      <c r="C14" s="286" t="n">
        <v>0</v>
      </c>
      <c r="D14" s="286" t="n">
        <v>3994191.816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3999834.041999999</v>
      </c>
      <c r="C15" s="289" t="n">
        <v>71724</v>
      </c>
      <c r="D15" s="289" t="n">
        <v>4071558.041999999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1153765</v>
      </c>
      <c r="C16" s="289" t="n">
        <v>2771503.888</v>
      </c>
      <c r="D16" s="289" t="n">
        <v>3925268.888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4181578.512</v>
      </c>
      <c r="D17" s="295" t="n">
        <v>4181578.512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5363699.363999999</v>
      </c>
      <c r="D18" s="295" t="n">
        <v>5363699.363999999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0.1025</v>
      </c>
      <c r="F24" s="310" t="n">
        <v>166159290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0.109</v>
      </c>
      <c r="F25" s="310" t="n">
        <v>65386100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0.179</v>
      </c>
      <c r="F26" s="310" t="n">
        <v>24827765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0.1672</v>
      </c>
      <c r="F27" s="310" t="n">
        <v>23974020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0.1221</v>
      </c>
      <c r="F28" s="310" t="n">
        <v>29040000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0.3021</v>
      </c>
      <c r="F29" s="310" t="n">
        <v>8600160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0.2019</v>
      </c>
      <c r="F30" s="310" t="n">
        <v>11281600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0.0935</v>
      </c>
      <c r="F31" s="310" t="n">
        <v>19975000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0.0756</v>
      </c>
      <c r="F32" s="310" t="n">
        <v>20370000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0.0301</v>
      </c>
      <c r="F33" s="310" t="n">
        <v>40942015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0.0212</v>
      </c>
      <c r="F34" s="310" t="n">
        <v>50064280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0.1318</v>
      </c>
      <c r="F35" s="310" t="n">
        <v>7257600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0.0303</v>
      </c>
      <c r="F36" s="310" t="n">
        <v>18068050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0.1122</v>
      </c>
      <c r="F37" s="310" t="n">
        <v>4682225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0.009399999999999999</v>
      </c>
      <c r="F38" s="310" t="n">
        <v>30076410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1322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18917.82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3093.48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1361.66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1639.28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2353.16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2406.04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18917.82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5393.76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5420.2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1263.832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2406.04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8154.096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25283.25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18987.886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1322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11831.9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18987.886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3212.46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1639.28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1361.66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2353.16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2406.04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18987.886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5393.76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5420.2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1322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1262.51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11831.9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11289.88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8027.184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18987.886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1322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18987.886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3212.46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1639.28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11481.57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1361.66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2353.16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2406.04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5393.76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18987.886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5420.2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1322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1463.454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4997.16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8471.376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11831.9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19057.952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10708.2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1322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18777.688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3033.99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18707.622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1626.06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1335.22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2207.74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2300.28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5023.599999999999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5354.099999999999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8614.152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18707.622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4950.89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10972.6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2026-10-26T01:04:45Z</dcterms:modified>
  <cp:lastModifiedBy>Hyoyol Park</cp:lastModifiedBy>
</cp:coreProperties>
</file>