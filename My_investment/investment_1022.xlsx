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0.1331818476862279</v>
                </pt>
                <pt idx="1">
                  <v>0.05432287179625428</v>
                </pt>
                <pt idx="2">
                  <v>0.03832125914721755</v>
                </pt>
                <pt idx="3">
                  <v>0.03430420580396088</v>
                </pt>
                <pt idx="4">
                  <v>0.06787191714743974</v>
                </pt>
                <pt idx="5">
                  <v>0.02726588801120997</v>
                </pt>
                <pt idx="6">
                  <v>0.02684971739163955</v>
                </pt>
                <pt idx="7">
                  <v>0.01806203982438311</v>
                </pt>
                <pt idx="8">
                  <v>0.06321859933872404</v>
                </pt>
                <pt idx="9">
                  <v>0.05770407013224214</v>
                </pt>
                <pt idx="10">
                  <v>0.02384543538839553</v>
                </pt>
                <pt idx="11">
                  <v>0.03004012163584243</v>
                </pt>
                <pt idx="12">
                  <v>0.006341735437171565</v>
                </pt>
                <pt idx="13">
                  <v>0.01342449622463499</v>
                </pt>
                <pt idx="14">
                  <v>0.007501790901936048</v>
                </pt>
                <pt idx="15">
                  <v>0.03309623701851102</v>
                </pt>
                <pt idx="16">
                  <v>0.02794840782730544</v>
                </pt>
                <pt idx="17">
                  <v>0.02617948132125075</v>
                </pt>
                <pt idx="18">
                  <v>0.01125221312663504</v>
                </pt>
                <pt idx="19">
                  <v>0.0097045618540342</v>
                </pt>
                <pt idx="20">
                  <v>0.004966123728757652</v>
                </pt>
                <pt idx="21">
                  <v>0.005029831395698665</v>
                </pt>
                <pt idx="22">
                  <v>0.007490534157919603</v>
                </pt>
                <pt idx="23">
                  <v>0.002795861071991427</v>
                </pt>
                <pt idx="24">
                  <v>0.002330877666203013</v>
                </pt>
                <pt idx="25">
                  <v>0.001370006829908408</v>
                </pt>
                <pt idx="26">
                  <v>0.001294216790141158</v>
                </pt>
                <pt idx="27">
                  <v>0.01583797704639338</v>
                </pt>
                <pt idx="28">
                  <v>0.01267038163711471</v>
                </pt>
                <pt idx="29">
                  <v>0.01512648638523232</v>
                </pt>
                <pt idx="30">
                  <v>0.01150814649035857</v>
                </pt>
                <pt idx="31">
                  <v>0.00527883430661944</v>
                </pt>
                <pt idx="32">
                  <v>0.00517083702211384</v>
                </pt>
                <pt idx="33">
                  <v>0.005531974196190717</v>
                </pt>
                <pt idx="34">
                  <v>0.004770053667505204</v>
                </pt>
                <pt idx="35">
                  <v>0.00424816228570521</v>
                </pt>
                <pt idx="36">
                  <v>0.009747301306552738</v>
                </pt>
                <pt idx="37">
                  <v>0.01226273390179215</v>
                </pt>
                <pt idx="38">
                  <v>0.002548575174814426</v>
                </pt>
                <pt idx="39">
                  <v>0</v>
                </pt>
                <pt idx="40">
                  <v>0.01152797986153523</v>
                </pt>
                <pt idx="41">
                  <v>0.001224419607295721</v>
                </pt>
                <pt idx="42">
                  <v>0.002719339377425254</v>
                </pt>
                <pt idx="43">
                  <v>0.0004397325890674464</v>
                </pt>
                <pt idx="44">
                  <v>0.001905298358751056</v>
                </pt>
                <pt idx="45">
                  <v>0.00158407036351945</v>
                </pt>
                <pt idx="46">
                  <v>0.001547868078424015</v>
                </pt>
                <pt idx="47">
                  <v>0.001495346840746182</v>
                </pt>
                <pt idx="48">
                  <v>0.001884972642702845</v>
                </pt>
                <pt idx="49">
                  <v>0.001115114376506832</v>
                </pt>
                <pt idx="50">
                  <v>0.001053896210946585</v>
                </pt>
                <pt idx="51">
                  <v>0.001436484871978419</v>
                </pt>
                <pt idx="52">
                  <v>0.0006520669146675974</v>
                </pt>
                <pt idx="53">
                  <v>0.00112161084247524</v>
                </pt>
                <pt idx="54">
                  <v>0.0006646866253855451</v>
                </pt>
                <pt idx="55">
                  <v>0.0007464353222331523</v>
                </pt>
                <pt idx="56">
                  <v>0.0006077490480804428</v>
                </pt>
                <pt idx="57">
                  <v>0.0003773291202990151</v>
                </pt>
                <pt idx="58">
                  <v>0.0004487760302150221</v>
                </pt>
                <pt idx="59">
                  <v>0.0002813949770884962</v>
                </pt>
                <pt idx="60">
                  <v>0.000354191013865585</v>
                </pt>
                <pt idx="61">
                  <v>0.0001899104595461518</v>
                </pt>
                <pt idx="62">
                  <v>0.0002903796935905818</v>
                </pt>
                <pt idx="63">
                  <v>0.0001431002849452972</v>
                </pt>
                <pt idx="64">
                  <v>7.293994226612801e-05</v>
                </pt>
                <pt idx="65">
                  <v>0</v>
                </pt>
                <pt idx="66">
                  <v>0.05413578430795521</v>
                </pt>
                <pt idx="67">
                  <v>0.0155199958433242</v>
                </pt>
                <pt idx="68">
                  <v>0.01316173146538171</v>
                </pt>
                <pt idx="69">
                  <v>0.01305638659919561</v>
                </pt>
                <pt idx="70">
                  <v>0.01064569814804595</v>
                </pt>
                <pt idx="71">
                  <v>0.01803629765783387</v>
                </pt>
                <pt idx="72">
                  <v>0.0004047299854835776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16" zoomScale="70" zoomScaleNormal="70" workbookViewId="0">
      <selection activeCell="G17" sqref="G17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￦1,322</t>
        </is>
      </c>
      <c r="J5" s="73" t="n">
        <v>1321.97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10795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10705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9660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10305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13705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10165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3982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523</v>
      </c>
      <c r="G16" s="218" t="n">
        <v>27046</v>
      </c>
      <c r="H16" s="231" t="n"/>
      <c r="I16" s="226" t="n">
        <v>25400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14185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10795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13560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20925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11030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29205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25085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10755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10795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14185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16510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7560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105900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12595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11345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153100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9425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10190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9605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214250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214250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16010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372.2200012207031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56.88999938964844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31.27000045776367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347.7300109863281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19150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175200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86.15000152587891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86.15000152587891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147700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6560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84400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147.4900054931641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188.9700012207031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210.9600067138672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35.27000045776367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524.510009765625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146.5399932861328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39.04999923706055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196.75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52.59999847412109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12.46000003814697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37.29999923706055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418.510009765625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164.4499969482422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102.4499969482422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126.1600036621094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4.760000228881836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100.8000030517578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5.380000114440918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13430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26.35000038146973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14460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169820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29475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20920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233.2100067138672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183.2100067138672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119.8899993896484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4" t="n">
        <v>28</v>
      </c>
      <c r="B48" s="294">
        <f>IFERROR(INDEX('계좌현황'!A:A,INDEX($L$21:$L$95,MATCH(LARGE($N$21:$N$95,28),$N$21:$N$95,0))),"")</f>
        <v/>
      </c>
      <c r="C48" s="294">
        <f>IFERROR(INDEX('계좌현황'!C:C,INDEX($L$21:$L$95,MATCH(LARGE($N$21:$N$95,28),$N$21:$N$95,0))),"")</f>
        <v/>
      </c>
      <c r="D48" s="294">
        <f>IFERROR(INDEX('계좌현황'!D:D,INDEX($L$21:$L$95,MATCH(LARGE($N$21:$N$95,28),$N$21:$N$95,0))),"")</f>
        <v/>
      </c>
      <c r="E48" s="294">
        <f>IFERROR(INDEX('계좌현황'!E:E,INDEX($L$21:$L$95,MATCH(LARGE($N$21:$N$95,28),$N$21:$N$95,0))),"")</f>
        <v/>
      </c>
      <c r="F48" s="321">
        <f>IFERROR(INDEX('계좌현황'!F:F,INDEX($L$21:$L$95,MATCH(LARGE($N$21:$N$95,28),$N$21:$N$95,0))),"")</f>
        <v/>
      </c>
      <c r="G48" s="322">
        <f>IFERROR(INDEX('계좌현황'!K:K,INDEX($L$21:$L$95,MATCH(LARGE($N$21:$N$95,28),$N$21:$N$95,0))),0)</f>
        <v/>
      </c>
      <c r="H48" s="323">
        <f>IF($B$3=0,0,G48/$B$3)</f>
        <v/>
      </c>
      <c r="I48" s="323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7" t="n">
        <v>29</v>
      </c>
      <c r="B49" s="297">
        <f>IFERROR(INDEX('계좌현황'!A:A,INDEX($L$21:$L$95,MATCH(LARGE($N$21:$N$95,29),$N$21:$N$95,0))),"")</f>
        <v/>
      </c>
      <c r="C49" s="297">
        <f>IFERROR(INDEX('계좌현황'!C:C,INDEX($L$21:$L$95,MATCH(LARGE($N$21:$N$95,29),$N$21:$N$95,0))),"")</f>
        <v/>
      </c>
      <c r="D49" s="297">
        <f>IFERROR(INDEX('계좌현황'!D:D,INDEX($L$21:$L$95,MATCH(LARGE($N$21:$N$95,29),$N$21:$N$95,0))),"")</f>
        <v/>
      </c>
      <c r="E49" s="297">
        <f>IFERROR(INDEX('계좌현황'!E:E,INDEX($L$21:$L$95,MATCH(LARGE($N$21:$N$95,29),$N$21:$N$95,0))),"")</f>
        <v/>
      </c>
      <c r="F49" s="324">
        <f>IFERROR(INDEX('계좌현황'!F:F,INDEX($L$21:$L$95,MATCH(LARGE($N$21:$N$95,29),$N$21:$N$95,0))),"")</f>
        <v/>
      </c>
      <c r="G49" s="325">
        <f>IFERROR(INDEX('계좌현황'!K:K,INDEX($L$21:$L$95,MATCH(LARGE($N$21:$N$95,29),$N$21:$N$95,0))),0)</f>
        <v/>
      </c>
      <c r="H49" s="326">
        <f>IF($B$3=0,0,G49/$B$3)</f>
        <v/>
      </c>
      <c r="I49" s="326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7" t="n">
        <v>40</v>
      </c>
      <c r="B60" s="297">
        <f>IFERROR(INDEX('계좌현황'!A:A,INDEX($L$21:$L$95,MATCH(LARGE($N$21:$N$95,40),$N$21:$N$95,0))),"")</f>
        <v/>
      </c>
      <c r="C60" s="297">
        <f>IFERROR(INDEX('계좌현황'!C:C,INDEX($L$21:$L$95,MATCH(LARGE($N$21:$N$95,40),$N$21:$N$95,0))),"")</f>
        <v/>
      </c>
      <c r="D60" s="297">
        <f>IFERROR(INDEX('계좌현황'!D:D,INDEX($L$21:$L$95,MATCH(LARGE($N$21:$N$95,40),$N$21:$N$95,0))),"")</f>
        <v/>
      </c>
      <c r="E60" s="297">
        <f>IFERROR(INDEX('계좌현황'!E:E,INDEX($L$21:$L$95,MATCH(LARGE($N$21:$N$95,40),$N$21:$N$95,0))),"")</f>
        <v/>
      </c>
      <c r="F60" s="324">
        <f>IFERROR(INDEX('계좌현황'!F:F,INDEX($L$21:$L$95,MATCH(LARGE($N$21:$N$95,40),$N$21:$N$95,0))),"")</f>
        <v/>
      </c>
      <c r="G60" s="325">
        <f>IFERROR(INDEX('계좌현황'!K:K,INDEX($L$21:$L$95,MATCH(LARGE($N$21:$N$95,40),$N$21:$N$95,0))),0)</f>
        <v/>
      </c>
      <c r="H60" s="326">
        <f>IF($B$3=0,0,G60/$B$3)</f>
        <v/>
      </c>
      <c r="I60" s="326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4" t="n">
        <v>41</v>
      </c>
      <c r="B61" s="294">
        <f>IFERROR(INDEX('계좌현황'!A:A,INDEX($L$21:$L$95,MATCH(LARGE($N$21:$N$95,41),$N$21:$N$95,0))),"")</f>
        <v/>
      </c>
      <c r="C61" s="294">
        <f>IFERROR(INDEX('계좌현황'!C:C,INDEX($L$21:$L$95,MATCH(LARGE($N$21:$N$95,41),$N$21:$N$95,0))),"")</f>
        <v/>
      </c>
      <c r="D61" s="294">
        <f>IFERROR(INDEX('계좌현황'!D:D,INDEX($L$21:$L$95,MATCH(LARGE($N$21:$N$95,41),$N$21:$N$95,0))),"")</f>
        <v/>
      </c>
      <c r="E61" s="294">
        <f>IFERROR(INDEX('계좌현황'!E:E,INDEX($L$21:$L$95,MATCH(LARGE($N$21:$N$95,41),$N$21:$N$95,0))),"")</f>
        <v/>
      </c>
      <c r="F61" s="321">
        <f>IFERROR(INDEX('계좌현황'!F:F,INDEX($L$21:$L$95,MATCH(LARGE($N$21:$N$95,41),$N$21:$N$95,0))),"")</f>
        <v/>
      </c>
      <c r="G61" s="322">
        <f>IFERROR(INDEX('계좌현황'!K:K,INDEX($L$21:$L$95,MATCH(LARGE($N$21:$N$95,41),$N$21:$N$95,0))),0)</f>
        <v/>
      </c>
      <c r="H61" s="323">
        <f>IF($B$3=0,0,G61/$B$3)</f>
        <v/>
      </c>
      <c r="I61" s="323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1,322원/$  | 연간 합계 51,285,670원 · 월평균 4,273,806원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3835528.82</v>
      </c>
      <c r="C7" s="289" t="n">
        <v>216480</v>
      </c>
      <c r="D7" s="289" t="n">
        <v>4052008.82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3955428.2</v>
      </c>
      <c r="C8" s="289" t="n">
        <v>216480</v>
      </c>
      <c r="D8" s="289" t="n">
        <v>4171908.2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4340932.304</v>
      </c>
      <c r="C9" s="289" t="n">
        <v>251888</v>
      </c>
      <c r="D9" s="289" t="n">
        <v>4592820.304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3965595.786</v>
      </c>
      <c r="C10" s="289" t="n">
        <v>221584</v>
      </c>
      <c r="D10" s="289" t="n">
        <v>4187179.786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4053112.245999999</v>
      </c>
      <c r="C11" s="289" t="n">
        <v>216480</v>
      </c>
      <c r="D11" s="289" t="n">
        <v>4269592.245999999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4096648.56</v>
      </c>
      <c r="C12" s="289" t="n">
        <v>251972</v>
      </c>
      <c r="D12" s="289" t="n">
        <v>4348620.56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4127243.886</v>
      </c>
      <c r="C13" s="286" t="n">
        <v>0</v>
      </c>
      <c r="D13" s="286" t="n">
        <v>4127243.886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3994191.816</v>
      </c>
      <c r="C14" s="286" t="n">
        <v>0</v>
      </c>
      <c r="D14" s="286" t="n">
        <v>3994191.816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3999834.041999999</v>
      </c>
      <c r="C15" s="289" t="n">
        <v>71724</v>
      </c>
      <c r="D15" s="289" t="n">
        <v>4071558.041999999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1153765</v>
      </c>
      <c r="C16" s="289" t="n">
        <v>2771503.888</v>
      </c>
      <c r="D16" s="289" t="n">
        <v>3925268.888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4181578.512</v>
      </c>
      <c r="D17" s="295" t="n">
        <v>4181578.512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5363699.363999999</v>
      </c>
      <c r="D18" s="295" t="n">
        <v>5363699.363999999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0.1026</v>
      </c>
      <c r="F24" s="310" t="n">
        <v>166005510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0.109</v>
      </c>
      <c r="F25" s="310" t="n">
        <v>65392850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0.1815</v>
      </c>
      <c r="F26" s="310" t="n">
        <v>24494985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0.1675</v>
      </c>
      <c r="F27" s="310" t="n">
        <v>23940630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0.1224</v>
      </c>
      <c r="F28" s="310" t="n">
        <v>28980000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0.3018</v>
      </c>
      <c r="F29" s="310" t="n">
        <v>8606720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0.2021</v>
      </c>
      <c r="F30" s="310" t="n">
        <v>11271040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0.09380000000000001</v>
      </c>
      <c r="F31" s="310" t="n">
        <v>19910000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0.0757</v>
      </c>
      <c r="F32" s="310" t="n">
        <v>20330000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0.0302</v>
      </c>
      <c r="F33" s="310" t="n">
        <v>40903805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0.0212</v>
      </c>
      <c r="F34" s="310" t="n">
        <v>50009545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0.1318</v>
      </c>
      <c r="F35" s="310" t="n">
        <v>7257600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0.0303</v>
      </c>
      <c r="F36" s="310" t="n">
        <v>18034800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0.1121</v>
      </c>
      <c r="F37" s="310" t="n">
        <v>4687750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0.009399999999999999</v>
      </c>
      <c r="F38" s="310" t="n">
        <v>30067345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1322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35564</v>
      </c>
      <c r="F53" s="347" t="n"/>
      <c r="G53" s="286" t="n">
        <v>35564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18917.82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3093.48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1361.66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1639.28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2353.16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2406.04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18917.82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5393.76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5420.2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1263.832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2406.04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8154.096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25283.25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18987.886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1322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11831.9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35564</v>
      </c>
      <c r="F132" s="347" t="n"/>
      <c r="G132" s="286" t="n">
        <v>35564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18987.886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3212.46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1639.28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1361.66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2353.16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2406.04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18987.886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5393.76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5420.2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1322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1262.51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11831.9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11289.88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8027.184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18987.886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1322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43409</v>
      </c>
      <c r="F208" s="347" t="n"/>
      <c r="G208" s="286" t="n">
        <v>43409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18987.886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3212.46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1639.28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11481.57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1361.66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2353.16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2406.04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5393.76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18987.886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5420.2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1322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1463.454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4997.16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8471.376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11831.9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19057.952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10708.2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1322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18777.688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32949</v>
      </c>
      <c r="F285" s="349" t="n"/>
      <c r="G285" s="295" t="n">
        <v>32949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3033.99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18707.622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1626.06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1335.22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2207.74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2300.28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5023.599999999999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5354.099999999999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8614.152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18707.622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4950.89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10972.6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2026-10-26T06:06:53Z</dcterms:modified>
  <cp:lastModifiedBy>Hyoyol Park</cp:lastModifiedBy>
</cp:coreProperties>
</file>