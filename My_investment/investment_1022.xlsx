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￦1,324</t>
        </is>
      </c>
      <c r="J5" s="73" t="n">
        <v>1323.83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10785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10715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9680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10180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13795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10195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25785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14340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10785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13580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21105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11115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29650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25315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10940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10785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14340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17085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7570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105300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12790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11370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153700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9590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10240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9660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223000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223000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16510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391.62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57.16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30.76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343.91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18930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174000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88.03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88.03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146600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6765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146.9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188.28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216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35.3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532.6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146.93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39.13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198.84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53.82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12.79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37.91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424.37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159.6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98.44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126.06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4.69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102.69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5.27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13520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25.94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14590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172415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29815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21115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232.01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184.54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120.29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7" t="n">
        <v>21</v>
      </c>
      <c r="B41" s="297">
        <f>IFERROR(INDEX('계좌현황'!A:A,INDEX($L$21:$L$95,MATCH(LARGE($N$21:$N$95,21),$N$21:$N$95,0))),"")</f>
        <v/>
      </c>
      <c r="C41" s="297">
        <f>IFERROR(INDEX('계좌현황'!C:C,INDEX($L$21:$L$95,MATCH(LARGE($N$21:$N$95,21),$N$21:$N$95,0))),"")</f>
        <v/>
      </c>
      <c r="D41" s="297">
        <f>IFERROR(INDEX('계좌현황'!D:D,INDEX($L$21:$L$95,MATCH(LARGE($N$21:$N$95,21),$N$21:$N$95,0))),"")</f>
        <v/>
      </c>
      <c r="E41" s="297">
        <f>IFERROR(INDEX('계좌현황'!E:E,INDEX($L$21:$L$95,MATCH(LARGE($N$21:$N$95,21),$N$21:$N$95,0))),"")</f>
        <v/>
      </c>
      <c r="F41" s="324">
        <f>IFERROR(INDEX('계좌현황'!F:F,INDEX($L$21:$L$95,MATCH(LARGE($N$21:$N$95,21),$N$21:$N$95,0))),"")</f>
        <v/>
      </c>
      <c r="G41" s="325">
        <f>IFERROR(INDEX('계좌현황'!K:K,INDEX($L$21:$L$95,MATCH(LARGE($N$21:$N$95,21),$N$21:$N$95,0))),0)</f>
        <v/>
      </c>
      <c r="H41" s="326">
        <f>IF($B$3=0,0,G41/$B$3)</f>
        <v/>
      </c>
      <c r="I41" s="326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IFERROR(INDEX('계좌현황'!A:A,INDEX($L$21:$L$95,MATCH(LARGE($N$21:$N$95,28),$N$21:$N$95,0))),"")</f>
        <v/>
      </c>
      <c r="C48" s="294">
        <f>IFERROR(INDEX('계좌현황'!C:C,INDEX($L$21:$L$95,MATCH(LARGE($N$21:$N$95,28),$N$21:$N$95,0))),"")</f>
        <v/>
      </c>
      <c r="D48" s="294">
        <f>IFERROR(INDEX('계좌현황'!D:D,INDEX($L$21:$L$95,MATCH(LARGE($N$21:$N$95,28),$N$21:$N$95,0))),"")</f>
        <v/>
      </c>
      <c r="E48" s="294">
        <f>IFERROR(INDEX('계좌현황'!E:E,INDEX($L$21:$L$95,MATCH(LARGE($N$21:$N$95,28),$N$21:$N$95,0))),"")</f>
        <v/>
      </c>
      <c r="F48" s="321">
        <f>IFERROR(INDEX('계좌현황'!F:F,INDEX($L$21:$L$95,MATCH(LARGE($N$21:$N$95,28),$N$21:$N$95,0))),"")</f>
        <v/>
      </c>
      <c r="G48" s="322">
        <f>IFERROR(INDEX('계좌현황'!K:K,INDEX($L$21:$L$95,MATCH(LARGE($N$21:$N$95,28),$N$21:$N$95,0))),0)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7" t="n">
        <v>29</v>
      </c>
      <c r="B49" s="297">
        <f>IFERROR(INDEX('계좌현황'!A:A,INDEX($L$21:$L$95,MATCH(LARGE($N$21:$N$95,29),$N$21:$N$95,0))),"")</f>
        <v/>
      </c>
      <c r="C49" s="297">
        <f>IFERROR(INDEX('계좌현황'!C:C,INDEX($L$21:$L$95,MATCH(LARGE($N$21:$N$95,29),$N$21:$N$95,0))),"")</f>
        <v/>
      </c>
      <c r="D49" s="297">
        <f>IFERROR(INDEX('계좌현황'!D:D,INDEX($L$21:$L$95,MATCH(LARGE($N$21:$N$95,29),$N$21:$N$95,0))),"")</f>
        <v/>
      </c>
      <c r="E49" s="297">
        <f>IFERROR(INDEX('계좌현황'!E:E,INDEX($L$21:$L$95,MATCH(LARGE($N$21:$N$95,29),$N$21:$N$95,0))),"")</f>
        <v/>
      </c>
      <c r="F49" s="324">
        <f>IFERROR(INDEX('계좌현황'!F:F,INDEX($L$21:$L$95,MATCH(LARGE($N$21:$N$95,29),$N$21:$N$95,0))),"")</f>
        <v/>
      </c>
      <c r="G49" s="325">
        <f>IFERROR(INDEX('계좌현황'!K:K,INDEX($L$21:$L$95,MATCH(LARGE($N$21:$N$95,29),$N$21:$N$95,0))),0)</f>
        <v/>
      </c>
      <c r="H49" s="326">
        <f>IF($B$3=0,0,G49/$B$3)</f>
        <v/>
      </c>
      <c r="I49" s="326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7" t="n">
        <v>40</v>
      </c>
      <c r="B60" s="297">
        <f>IFERROR(INDEX('계좌현황'!A:A,INDEX($L$21:$L$95,MATCH(LARGE($N$21:$N$95,40),$N$21:$N$95,0))),"")</f>
        <v/>
      </c>
      <c r="C60" s="297">
        <f>IFERROR(INDEX('계좌현황'!C:C,INDEX($L$21:$L$95,MATCH(LARGE($N$21:$N$95,40),$N$21:$N$95,0))),"")</f>
        <v/>
      </c>
      <c r="D60" s="297">
        <f>IFERROR(INDEX('계좌현황'!D:D,INDEX($L$21:$L$95,MATCH(LARGE($N$21:$N$95,40),$N$21:$N$95,0))),"")</f>
        <v/>
      </c>
      <c r="E60" s="297">
        <f>IFERROR(INDEX('계좌현황'!E:E,INDEX($L$21:$L$95,MATCH(LARGE($N$21:$N$95,40),$N$21:$N$95,0))),"")</f>
        <v/>
      </c>
      <c r="F60" s="324">
        <f>IFERROR(INDEX('계좌현황'!F:F,INDEX($L$21:$L$95,MATCH(LARGE($N$21:$N$95,40),$N$21:$N$95,0))),"")</f>
        <v/>
      </c>
      <c r="G60" s="325">
        <f>IFERROR(INDEX('계좌현황'!K:K,INDEX($L$21:$L$95,MATCH(LARGE($N$21:$N$95,40),$N$21:$N$95,0))),0)</f>
        <v/>
      </c>
      <c r="H60" s="326">
        <f>IF($B$3=0,0,G60/$B$3)</f>
        <v/>
      </c>
      <c r="I60" s="326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1,324원/$  | 연간 합계 51,286,390원 · 월평균 4,273,866원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3835559.44</v>
      </c>
      <c r="C7" s="289" t="n">
        <v>216480</v>
      </c>
      <c r="D7" s="289" t="n">
        <v>4052039.44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3955481.4</v>
      </c>
      <c r="C8" s="289" t="n">
        <v>216480</v>
      </c>
      <c r="D8" s="289" t="n">
        <v>4171961.4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4341025.368</v>
      </c>
      <c r="C9" s="289" t="n">
        <v>251888</v>
      </c>
      <c r="D9" s="289" t="n">
        <v>4592913.368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3965644.412</v>
      </c>
      <c r="C10" s="289" t="n">
        <v>221584</v>
      </c>
      <c r="D10" s="289" t="n">
        <v>4187228.412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4053165.732</v>
      </c>
      <c r="C11" s="289" t="n">
        <v>216480</v>
      </c>
      <c r="D11" s="289" t="n">
        <v>4269645.732000001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4096736.52</v>
      </c>
      <c r="C12" s="289" t="n">
        <v>251972</v>
      </c>
      <c r="D12" s="289" t="n">
        <v>4348708.52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4127274.612</v>
      </c>
      <c r="C13" s="286" t="n">
        <v>0</v>
      </c>
      <c r="D13" s="286" t="n">
        <v>4127274.612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3994262.672</v>
      </c>
      <c r="C14" s="286" t="n">
        <v>0</v>
      </c>
      <c r="D14" s="286" t="n">
        <v>3994262.672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3999913.564</v>
      </c>
      <c r="C15" s="289" t="n">
        <v>71724</v>
      </c>
      <c r="D15" s="289" t="n">
        <v>4071637.564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1153767</v>
      </c>
      <c r="C16" s="289" t="n">
        <v>2771548.496</v>
      </c>
      <c r="D16" s="289" t="n">
        <v>3925315.496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4181630.304</v>
      </c>
      <c r="D17" s="295" t="n">
        <v>4181630.304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5363772.888</v>
      </c>
      <c r="D18" s="295" t="n">
        <v>5363772.888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0.1027</v>
      </c>
      <c r="F24" s="310" t="n">
        <v>165851730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0.1078</v>
      </c>
      <c r="F25" s="310" t="n">
        <v>66107400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0.1837</v>
      </c>
      <c r="F26" s="310" t="n">
        <v>24197860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0.1646</v>
      </c>
      <c r="F27" s="310" t="n">
        <v>24352440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0.1221</v>
      </c>
      <c r="F28" s="310" t="n">
        <v>29040000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0.2927</v>
      </c>
      <c r="F29" s="310" t="n">
        <v>8875680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0.1959</v>
      </c>
      <c r="F30" s="310" t="n">
        <v>11623040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0.09359999999999999</v>
      </c>
      <c r="F31" s="310" t="n">
        <v>19950000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0.0755</v>
      </c>
      <c r="F32" s="310" t="n">
        <v>20390000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0.0301</v>
      </c>
      <c r="F33" s="310" t="n">
        <v>40942015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0.0211</v>
      </c>
      <c r="F34" s="310" t="n">
        <v>50337955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0.1316</v>
      </c>
      <c r="F35" s="310" t="n">
        <v>7267200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0.0303</v>
      </c>
      <c r="F36" s="310" t="n">
        <v>18061400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0.1112</v>
      </c>
      <c r="F37" s="310" t="n">
        <v>4723875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30331645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1324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18946.44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3098.16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1363.72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1641.76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2356.72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2409.68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18946.44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5401.92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5428.4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1265.744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2409.68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8166.432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25321.5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19016.612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1324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11849.8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19016.612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3217.32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1641.76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1363.72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2356.72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2409.68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19016.612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5401.92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5428.4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1324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1264.42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11849.8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11306.96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8039.328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19016.612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1324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19016.612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3217.32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1641.76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11498.94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1363.72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2356.72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2409.68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5401.92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19016.612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5428.4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1324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1465.668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5004.719999999999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8484.192000000001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11849.8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19086.784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10724.4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1324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18806.096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3038.58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18735.924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1628.52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1337.24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2211.08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2303.76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5031.2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5362.2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8627.183999999999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18735.924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4958.38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10989.2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2026-10-27T01:05:08Z</dcterms:modified>
  <cp:lastModifiedBy>Hyoyol Park</cp:lastModifiedBy>
</cp:coreProperties>
</file>