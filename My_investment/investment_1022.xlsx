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￦1,324</t>
        </is>
      </c>
      <c r="J5" s="73" t="n">
        <v>1323.68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10790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10700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9675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10190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13765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10195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3987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25575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14250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10790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13570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21035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11080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29400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25220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10830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10790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14240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16870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7580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105900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12760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11345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154000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9555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10235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9640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220500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220500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16355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391.6199951171875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57.15999984741211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30.76000022888184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343.9100036621094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18810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168800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88.02999877929688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88.02999877929688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146700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6705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146.8999938964844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188.2799987792969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216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35.29999923706055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532.5999755859375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146.9299926757812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39.13000106811523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198.8399963378906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53.81999969482422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12.78999996185303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37.90999984741211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424.3699951171875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159.6000061035156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98.44000244140625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126.0599975585938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4.690000057220459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102.6900024414062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5.269999980926514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13550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25.94000053405762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14535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170985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29600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21035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232.0099945068359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184.5399932861328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120.2900009155273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7" t="n">
        <v>21</v>
      </c>
      <c r="B41" s="297">
        <f>IFERROR(INDEX('계좌현황'!A:A,INDEX($L$21:$L$95,MATCH(LARGE($N$21:$N$95,21),$N$21:$N$95,0))),"")</f>
        <v/>
      </c>
      <c r="C41" s="297">
        <f>IFERROR(INDEX('계좌현황'!C:C,INDEX($L$21:$L$95,MATCH(LARGE($N$21:$N$95,21),$N$21:$N$95,0))),"")</f>
        <v/>
      </c>
      <c r="D41" s="297">
        <f>IFERROR(INDEX('계좌현황'!D:D,INDEX($L$21:$L$95,MATCH(LARGE($N$21:$N$95,21),$N$21:$N$95,0))),"")</f>
        <v/>
      </c>
      <c r="E41" s="297">
        <f>IFERROR(INDEX('계좌현황'!E:E,INDEX($L$21:$L$95,MATCH(LARGE($N$21:$N$95,21),$N$21:$N$95,0))),"")</f>
        <v/>
      </c>
      <c r="F41" s="324">
        <f>IFERROR(INDEX('계좌현황'!F:F,INDEX($L$21:$L$95,MATCH(LARGE($N$21:$N$95,21),$N$21:$N$95,0))),"")</f>
        <v/>
      </c>
      <c r="G41" s="325">
        <f>IFERROR(INDEX('계좌현황'!K:K,INDEX($L$21:$L$95,MATCH(LARGE($N$21:$N$95,21),$N$21:$N$95,0))),0)</f>
        <v/>
      </c>
      <c r="H41" s="326">
        <f>IF($B$3=0,0,G41/$B$3)</f>
        <v/>
      </c>
      <c r="I41" s="326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7" t="n">
        <v>29</v>
      </c>
      <c r="B49" s="297">
        <f>IFERROR(INDEX('계좌현황'!A:A,INDEX($L$21:$L$95,MATCH(LARGE($N$21:$N$95,29),$N$21:$N$95,0))),"")</f>
        <v/>
      </c>
      <c r="C49" s="297">
        <f>IFERROR(INDEX('계좌현황'!C:C,INDEX($L$21:$L$95,MATCH(LARGE($N$21:$N$95,29),$N$21:$N$95,0))),"")</f>
        <v/>
      </c>
      <c r="D49" s="297">
        <f>IFERROR(INDEX('계좌현황'!D:D,INDEX($L$21:$L$95,MATCH(LARGE($N$21:$N$95,29),$N$21:$N$95,0))),"")</f>
        <v/>
      </c>
      <c r="E49" s="297">
        <f>IFERROR(INDEX('계좌현황'!E:E,INDEX($L$21:$L$95,MATCH(LARGE($N$21:$N$95,29),$N$21:$N$95,0))),"")</f>
        <v/>
      </c>
      <c r="F49" s="324">
        <f>IFERROR(INDEX('계좌현황'!F:F,INDEX($L$21:$L$95,MATCH(LARGE($N$21:$N$95,29),$N$21:$N$95,0))),"")</f>
        <v/>
      </c>
      <c r="G49" s="325">
        <f>IFERROR(INDEX('계좌현황'!K:K,INDEX($L$21:$L$95,MATCH(LARGE($N$21:$N$95,29),$N$21:$N$95,0))),0)</f>
        <v/>
      </c>
      <c r="H49" s="326">
        <f>IF($B$3=0,0,G49/$B$3)</f>
        <v/>
      </c>
      <c r="I49" s="326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7" t="n">
        <v>40</v>
      </c>
      <c r="B60" s="297">
        <f>IFERROR(INDEX('계좌현황'!A:A,INDEX($L$21:$L$95,MATCH(LARGE($N$21:$N$95,40),$N$21:$N$95,0))),"")</f>
        <v/>
      </c>
      <c r="C60" s="297">
        <f>IFERROR(INDEX('계좌현황'!C:C,INDEX($L$21:$L$95,MATCH(LARGE($N$21:$N$95,40),$N$21:$N$95,0))),"")</f>
        <v/>
      </c>
      <c r="D60" s="297">
        <f>IFERROR(INDEX('계좌현황'!D:D,INDEX($L$21:$L$95,MATCH(LARGE($N$21:$N$95,40),$N$21:$N$95,0))),"")</f>
        <v/>
      </c>
      <c r="E60" s="297">
        <f>IFERROR(INDEX('계좌현황'!E:E,INDEX($L$21:$L$95,MATCH(LARGE($N$21:$N$95,40),$N$21:$N$95,0))),"")</f>
        <v/>
      </c>
      <c r="F60" s="324">
        <f>IFERROR(INDEX('계좌현황'!F:F,INDEX($L$21:$L$95,MATCH(LARGE($N$21:$N$95,40),$N$21:$N$95,0))),"")</f>
        <v/>
      </c>
      <c r="G60" s="325">
        <f>IFERROR(INDEX('계좌현황'!K:K,INDEX($L$21:$L$95,MATCH(LARGE($N$21:$N$95,40),$N$21:$N$95,0))),0)</f>
        <v/>
      </c>
      <c r="H60" s="326">
        <f>IF($B$3=0,0,G60/$B$3)</f>
        <v/>
      </c>
      <c r="I60" s="326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1,324원/$  | 연간 합계 51,286,390원 · 월평균 4,273,866원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3835559.44</v>
      </c>
      <c r="C7" s="289" t="n">
        <v>216480</v>
      </c>
      <c r="D7" s="289" t="n">
        <v>4052039.44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3955481.4</v>
      </c>
      <c r="C8" s="289" t="n">
        <v>216480</v>
      </c>
      <c r="D8" s="289" t="n">
        <v>4171961.4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4341025.368</v>
      </c>
      <c r="C9" s="289" t="n">
        <v>251888</v>
      </c>
      <c r="D9" s="289" t="n">
        <v>4592913.368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3965644.412</v>
      </c>
      <c r="C10" s="289" t="n">
        <v>221584</v>
      </c>
      <c r="D10" s="289" t="n">
        <v>4187228.412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4053165.732</v>
      </c>
      <c r="C11" s="289" t="n">
        <v>216480</v>
      </c>
      <c r="D11" s="289" t="n">
        <v>4269645.732000001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4096736.52</v>
      </c>
      <c r="C12" s="289" t="n">
        <v>251972</v>
      </c>
      <c r="D12" s="289" t="n">
        <v>4348708.52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4127274.612</v>
      </c>
      <c r="C13" s="286" t="n">
        <v>0</v>
      </c>
      <c r="D13" s="286" t="n">
        <v>4127274.612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3994262.672</v>
      </c>
      <c r="C14" s="286" t="n">
        <v>0</v>
      </c>
      <c r="D14" s="286" t="n">
        <v>3994262.672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3999913.564</v>
      </c>
      <c r="C15" s="289" t="n">
        <v>71724</v>
      </c>
      <c r="D15" s="289" t="n">
        <v>4071637.564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1153767</v>
      </c>
      <c r="C16" s="289" t="n">
        <v>2771548.496</v>
      </c>
      <c r="D16" s="289" t="n">
        <v>3925315.496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4181630.304</v>
      </c>
      <c r="D17" s="295" t="n">
        <v>4181630.304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5363772.888</v>
      </c>
      <c r="D18" s="295" t="n">
        <v>5363772.888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0.1027</v>
      </c>
      <c r="F24" s="310" t="n">
        <v>165928620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0.1085</v>
      </c>
      <c r="F25" s="310" t="n">
        <v>65679000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0.1835</v>
      </c>
      <c r="F26" s="310" t="n">
        <v>24221630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0.1663</v>
      </c>
      <c r="F27" s="310" t="n">
        <v>24107580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0.1222</v>
      </c>
      <c r="F28" s="310" t="n">
        <v>29025000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0.2953</v>
      </c>
      <c r="F29" s="310" t="n">
        <v>8796960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0.1978</v>
      </c>
      <c r="F30" s="310" t="n">
        <v>11513920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0.09369999999999999</v>
      </c>
      <c r="F31" s="310" t="n">
        <v>19935000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0.0755</v>
      </c>
      <c r="F32" s="310" t="n">
        <v>20390000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0.0302</v>
      </c>
      <c r="F33" s="310" t="n">
        <v>40884700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0.0211</v>
      </c>
      <c r="F34" s="310" t="n">
        <v>50228485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0.1315</v>
      </c>
      <c r="F35" s="310" t="n">
        <v>7276800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18048100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0.1116</v>
      </c>
      <c r="F37" s="310" t="n">
        <v>4709000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30227295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1324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18946.44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3098.16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1363.72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1641.76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2356.72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2409.68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18946.44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5401.92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5428.4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1265.744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2409.68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8166.432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25321.5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19016.612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1324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11849.8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19016.612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3217.32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1641.76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1363.72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2356.72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2409.68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19016.612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5401.92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5428.4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1324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1264.42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11849.8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11306.96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8039.328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19016.612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1324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19016.612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3217.32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1641.76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11498.94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1363.72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2356.72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2409.68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5401.92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19016.612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5428.4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1324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1465.668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5004.719999999999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8484.192000000001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11849.8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19086.784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10724.4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1324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18806.096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3038.58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18735.924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1628.52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1337.24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2211.08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2303.76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5031.2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5362.2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8627.183999999999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18735.924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4958.38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10989.2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2026-10-27T06:04:15Z</dcterms:modified>
  <cp:lastModifiedBy>Hyoyol Park</cp:lastModifiedBy>
</cp:coreProperties>
</file>