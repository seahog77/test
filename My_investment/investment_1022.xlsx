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0.1331818476862279</v>
                </pt>
                <pt idx="1">
                  <v>0.05432287179625428</v>
                </pt>
                <pt idx="2">
                  <v>0.03832125914721755</v>
                </pt>
                <pt idx="3">
                  <v>0.03430420580396088</v>
                </pt>
                <pt idx="4">
                  <v>0.06787191714743974</v>
                </pt>
                <pt idx="5">
                  <v>0.02726588801120997</v>
                </pt>
                <pt idx="6">
                  <v>0.02684971739163955</v>
                </pt>
                <pt idx="7">
                  <v>0.01806203982438311</v>
                </pt>
                <pt idx="8">
                  <v>0.06321859933872404</v>
                </pt>
                <pt idx="9">
                  <v>0.05770407013224214</v>
                </pt>
                <pt idx="10">
                  <v>0.02384543538839553</v>
                </pt>
                <pt idx="11">
                  <v>0.03004012163584243</v>
                </pt>
                <pt idx="12">
                  <v>0.006341735437171565</v>
                </pt>
                <pt idx="13">
                  <v>0.01342449622463499</v>
                </pt>
                <pt idx="14">
                  <v>0.007501790901936048</v>
                </pt>
                <pt idx="15">
                  <v>0.03309623701851102</v>
                </pt>
                <pt idx="16">
                  <v>0.02794840782730544</v>
                </pt>
                <pt idx="17">
                  <v>0.02617948132125075</v>
                </pt>
                <pt idx="18">
                  <v>0.01125221312663504</v>
                </pt>
                <pt idx="19">
                  <v>0.0097045618540342</v>
                </pt>
                <pt idx="20">
                  <v>0.004966123728757652</v>
                </pt>
                <pt idx="21">
                  <v>0.005029831395698665</v>
                </pt>
                <pt idx="22">
                  <v>0.007490534157919603</v>
                </pt>
                <pt idx="23">
                  <v>0.002795861071991427</v>
                </pt>
                <pt idx="24">
                  <v>0.002330877666203013</v>
                </pt>
                <pt idx="25">
                  <v>0.001370006829908408</v>
                </pt>
                <pt idx="26">
                  <v>0.001294216790141158</v>
                </pt>
                <pt idx="27">
                  <v>0.01583797704639338</v>
                </pt>
                <pt idx="28">
                  <v>0.01267038163711471</v>
                </pt>
                <pt idx="29">
                  <v>0.01512648638523232</v>
                </pt>
                <pt idx="30">
                  <v>0.01150814649035857</v>
                </pt>
                <pt idx="31">
                  <v>0.00527883430661944</v>
                </pt>
                <pt idx="32">
                  <v>0.00517083702211384</v>
                </pt>
                <pt idx="33">
                  <v>0.005531974196190717</v>
                </pt>
                <pt idx="34">
                  <v>0.004770053667505204</v>
                </pt>
                <pt idx="35">
                  <v>0.00424816228570521</v>
                </pt>
                <pt idx="36">
                  <v>0.009747301306552738</v>
                </pt>
                <pt idx="37">
                  <v>0.01226273390179215</v>
                </pt>
                <pt idx="38">
                  <v>0.002548575174814426</v>
                </pt>
                <pt idx="39">
                  <v>0</v>
                </pt>
                <pt idx="40">
                  <v>0.01152797986153523</v>
                </pt>
                <pt idx="41">
                  <v>0.001224419607295721</v>
                </pt>
                <pt idx="42">
                  <v>0.002719339377425254</v>
                </pt>
                <pt idx="43">
                  <v>0.0004397325890674464</v>
                </pt>
                <pt idx="44">
                  <v>0.001905298358751056</v>
                </pt>
                <pt idx="45">
                  <v>0.00158407036351945</v>
                </pt>
                <pt idx="46">
                  <v>0.001547868078424015</v>
                </pt>
                <pt idx="47">
                  <v>0.001495346840746182</v>
                </pt>
                <pt idx="48">
                  <v>0.001884972642702845</v>
                </pt>
                <pt idx="49">
                  <v>0.001115114376506832</v>
                </pt>
                <pt idx="50">
                  <v>0.001053896210946585</v>
                </pt>
                <pt idx="51">
                  <v>0.001436484871978419</v>
                </pt>
                <pt idx="52">
                  <v>0.0006520669146675974</v>
                </pt>
                <pt idx="53">
                  <v>0.00112161084247524</v>
                </pt>
                <pt idx="54">
                  <v>0.0006646866253855451</v>
                </pt>
                <pt idx="55">
                  <v>0.0007464353222331523</v>
                </pt>
                <pt idx="56">
                  <v>0.0006077490480804428</v>
                </pt>
                <pt idx="57">
                  <v>0.0003773291202990151</v>
                </pt>
                <pt idx="58">
                  <v>0.0004487760302150221</v>
                </pt>
                <pt idx="59">
                  <v>0.0002813949770884962</v>
                </pt>
                <pt idx="60">
                  <v>0.000354191013865585</v>
                </pt>
                <pt idx="61">
                  <v>0.0001899104595461518</v>
                </pt>
                <pt idx="62">
                  <v>0.0002903796935905818</v>
                </pt>
                <pt idx="63">
                  <v>0.0001431002849452972</v>
                </pt>
                <pt idx="64">
                  <v>7.293994226612801e-05</v>
                </pt>
                <pt idx="65">
                  <v>0</v>
                </pt>
                <pt idx="66">
                  <v>0.05413578430795521</v>
                </pt>
                <pt idx="67">
                  <v>0.0155199958433242</v>
                </pt>
                <pt idx="68">
                  <v>0.01316173146538171</v>
                </pt>
                <pt idx="69">
                  <v>0.01305638659919561</v>
                </pt>
                <pt idx="70">
                  <v>0.01064569814804595</v>
                </pt>
                <pt idx="71">
                  <v>0.01803629765783387</v>
                </pt>
                <pt idx="72">
                  <v>0.0004047299854835776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16" zoomScale="70" zoomScaleNormal="70" workbookViewId="0">
      <selection activeCell="G17" sqref="G17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￦1,332</t>
        </is>
      </c>
      <c r="J5" s="73" t="n">
        <v>1332.48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10800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10722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9675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10432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13905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10320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3995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523</v>
      </c>
      <c r="G16" s="218" t="n">
        <v>27046</v>
      </c>
      <c r="H16" s="231" t="n"/>
      <c r="I16" s="226" t="n">
        <v>26160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14565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10800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13570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21295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11220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30070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25540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11120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10800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14570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17550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7600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108100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13220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11585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158100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9895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10350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9680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235000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235000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17090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407.46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56.82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32.95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347.1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19050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173900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90.29000000000001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90.29000000000001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152300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6995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148.58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183.83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217.94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35.12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531.33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146.83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38.67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198.73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58.31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12.29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37.56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436.87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161.09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109.42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130.53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5.01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103.04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5.7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13760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27.33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14725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174960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30290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21305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228.23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179.91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119.32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7" t="n">
        <v>19</v>
      </c>
      <c r="B39" s="297">
        <f>IFERROR(INDEX('계좌현황'!A:A,INDEX($L$21:$L$95,MATCH(LARGE($N$21:$N$95,19),$N$21:$N$95,0))),"")</f>
        <v/>
      </c>
      <c r="C39" s="297">
        <f>IFERROR(INDEX('계좌현황'!C:C,INDEX($L$21:$L$95,MATCH(LARGE($N$21:$N$95,19),$N$21:$N$95,0))),"")</f>
        <v/>
      </c>
      <c r="D39" s="297">
        <f>IFERROR(INDEX('계좌현황'!D:D,INDEX($L$21:$L$95,MATCH(LARGE($N$21:$N$95,19),$N$21:$N$95,0))),"")</f>
        <v/>
      </c>
      <c r="E39" s="297">
        <f>IFERROR(INDEX('계좌현황'!E:E,INDEX($L$21:$L$95,MATCH(LARGE($N$21:$N$95,19),$N$21:$N$95,0))),"")</f>
        <v/>
      </c>
      <c r="F39" s="324">
        <f>IFERROR(INDEX('계좌현황'!F:F,INDEX($L$21:$L$95,MATCH(LARGE($N$21:$N$95,19),$N$21:$N$95,0))),"")</f>
        <v/>
      </c>
      <c r="G39" s="325">
        <f>IFERROR(INDEX('계좌현황'!K:K,INDEX($L$21:$L$95,MATCH(LARGE($N$21:$N$95,19),$N$21:$N$95,0))),0)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1" t="n">
        <v>20</v>
      </c>
      <c r="B40" s="291">
        <f>IFERROR(INDEX('계좌현황'!A:A,INDEX($L$21:$L$95,MATCH(LARGE($N$21:$N$95,20),$N$21:$N$95,0))),"")</f>
        <v/>
      </c>
      <c r="C40" s="291">
        <f>IFERROR(INDEX('계좌현황'!C:C,INDEX($L$21:$L$95,MATCH(LARGE($N$21:$N$95,20),$N$21:$N$95,0))),"")</f>
        <v/>
      </c>
      <c r="D40" s="291">
        <f>IFERROR(INDEX('계좌현황'!D:D,INDEX($L$21:$L$95,MATCH(LARGE($N$21:$N$95,20),$N$21:$N$95,0))),"")</f>
        <v/>
      </c>
      <c r="E40" s="291">
        <f>IFERROR(INDEX('계좌현황'!E:E,INDEX($L$21:$L$95,MATCH(LARGE($N$21:$N$95,20),$N$21:$N$95,0))),"")</f>
        <v/>
      </c>
      <c r="F40" s="330">
        <f>IFERROR(INDEX('계좌현황'!F:F,INDEX($L$21:$L$95,MATCH(LARGE($N$21:$N$95,20),$N$21:$N$95,0))),"")</f>
        <v/>
      </c>
      <c r="G40" s="331">
        <f>IFERROR(INDEX('계좌현황'!K:K,INDEX($L$21:$L$95,MATCH(LARGE($N$21:$N$95,20),$N$21:$N$95,0))),0)</f>
        <v/>
      </c>
      <c r="H40" s="332">
        <f>IF($B$3=0,0,G40/$B$3)</f>
        <v/>
      </c>
      <c r="I40" s="332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3" t="n">
        <v>22</v>
      </c>
      <c r="B42" s="303">
        <f>IFERROR(INDEX('계좌현황'!A:A,INDEX($L$21:$L$95,MATCH(LARGE($N$21:$N$95,22),$N$21:$N$95,0))),"")</f>
        <v/>
      </c>
      <c r="C42" s="303">
        <f>IFERROR(INDEX('계좌현황'!C:C,INDEX($L$21:$L$95,MATCH(LARGE($N$21:$N$95,22),$N$21:$N$95,0))),"")</f>
        <v/>
      </c>
      <c r="D42" s="303">
        <f>IFERROR(INDEX('계좌현황'!D:D,INDEX($L$21:$L$95,MATCH(LARGE($N$21:$N$95,22),$N$21:$N$95,0))),"")</f>
        <v/>
      </c>
      <c r="E42" s="303">
        <f>IFERROR(INDEX('계좌현황'!E:E,INDEX($L$21:$L$95,MATCH(LARGE($N$21:$N$95,22),$N$21:$N$95,0))),"")</f>
        <v/>
      </c>
      <c r="F42" s="327">
        <f>IFERROR(INDEX('계좌현황'!F:F,INDEX($L$21:$L$95,MATCH(LARGE($N$21:$N$95,22),$N$21:$N$95,0))),"")</f>
        <v/>
      </c>
      <c r="G42" s="328">
        <f>IFERROR(INDEX('계좌현황'!K:K,INDEX($L$21:$L$95,MATCH(LARGE($N$21:$N$95,22),$N$21:$N$95,0))),0)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1,332원/$  | 연간 합계 51,289,270원 · 월평균 4,274,106원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3835681.92</v>
      </c>
      <c r="C7" s="289" t="n">
        <v>216480</v>
      </c>
      <c r="D7" s="289" t="n">
        <v>4052161.92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3955694.2</v>
      </c>
      <c r="C8" s="289" t="n">
        <v>216480</v>
      </c>
      <c r="D8" s="289" t="n">
        <v>4172174.2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4341397.624</v>
      </c>
      <c r="C9" s="289" t="n">
        <v>251888</v>
      </c>
      <c r="D9" s="289" t="n">
        <v>4593285.624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3965838.916</v>
      </c>
      <c r="C10" s="289" t="n">
        <v>221584</v>
      </c>
      <c r="D10" s="289" t="n">
        <v>4187422.916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4053379.676</v>
      </c>
      <c r="C11" s="289" t="n">
        <v>216480</v>
      </c>
      <c r="D11" s="289" t="n">
        <v>4269859.675999999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4097088.36</v>
      </c>
      <c r="C12" s="289" t="n">
        <v>251972</v>
      </c>
      <c r="D12" s="289" t="n">
        <v>4349060.359999999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4127397.516</v>
      </c>
      <c r="C13" s="286" t="n">
        <v>0</v>
      </c>
      <c r="D13" s="286" t="n">
        <v>4127397.516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3994546.095999999</v>
      </c>
      <c r="C14" s="286" t="n">
        <v>0</v>
      </c>
      <c r="D14" s="286" t="n">
        <v>3994546.095999999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4000231.652</v>
      </c>
      <c r="C15" s="289" t="n">
        <v>71724</v>
      </c>
      <c r="D15" s="289" t="n">
        <v>4071955.652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1153775</v>
      </c>
      <c r="C16" s="289" t="n">
        <v>2771726.928</v>
      </c>
      <c r="D16" s="289" t="n">
        <v>3925501.928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4181837.472</v>
      </c>
      <c r="D17" s="295" t="n">
        <v>4181837.472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5364066.983999999</v>
      </c>
      <c r="D18" s="295" t="n">
        <v>5364066.983999999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0.1026</v>
      </c>
      <c r="F24" s="310" t="n">
        <v>166082400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0.1062</v>
      </c>
      <c r="F25" s="310" t="n">
        <v>67151400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0.1793</v>
      </c>
      <c r="F26" s="310" t="n">
        <v>24796864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0.162</v>
      </c>
      <c r="F27" s="310" t="n">
        <v>24753120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0.1222</v>
      </c>
      <c r="F28" s="310" t="n">
        <v>29025000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0.2831</v>
      </c>
      <c r="F29" s="310" t="n">
        <v>9177440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0.1893</v>
      </c>
      <c r="F30" s="310" t="n">
        <v>12031360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0.0935</v>
      </c>
      <c r="F31" s="310" t="n">
        <v>19975000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0.0746</v>
      </c>
      <c r="F32" s="310" t="n">
        <v>20640000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0.0301</v>
      </c>
      <c r="F33" s="310" t="n">
        <v>40968762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0.0209</v>
      </c>
      <c r="F34" s="310" t="n">
        <v>50739345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0.1311</v>
      </c>
      <c r="F35" s="310" t="n">
        <v>7296000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0.0303</v>
      </c>
      <c r="F36" s="310" t="n">
        <v>18048100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0.1102</v>
      </c>
      <c r="F37" s="310" t="n">
        <v>4768500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0.0092</v>
      </c>
      <c r="F38" s="310" t="n">
        <v>30604675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1332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35564</v>
      </c>
      <c r="F53" s="347" t="n"/>
      <c r="G53" s="286" t="n">
        <v>35564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19060.92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3116.88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1371.96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1651.68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2370.96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2424.24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19060.92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5434.56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5461.2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1273.392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2424.24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8215.776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25474.5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19131.516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1332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11921.4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35564</v>
      </c>
      <c r="F132" s="347" t="n"/>
      <c r="G132" s="286" t="n">
        <v>35564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19131.516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3236.76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1651.68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1371.96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2370.96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2424.24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19131.516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5434.56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5461.2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1332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1272.06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11921.4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11375.28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8087.904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19131.516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1332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43409</v>
      </c>
      <c r="F208" s="347" t="n"/>
      <c r="G208" s="286" t="n">
        <v>43409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19131.516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3236.76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1651.68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11568.42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1371.96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2370.96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2424.24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5434.56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19131.516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5461.2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1332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1474.524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5034.96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8535.456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11921.4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19202.112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10789.2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1332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18919.728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32949</v>
      </c>
      <c r="F285" s="349" t="n"/>
      <c r="G285" s="295" t="n">
        <v>32949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3056.94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18849.132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1638.36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1345.32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2224.44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2317.68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5061.599999999999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5394.599999999999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8679.312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18849.132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4988.34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11055.6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2026-10-28T01:02:55Z</dcterms:modified>
  <cp:lastModifiedBy>Hyoyol Park</cp:lastModifiedBy>
</cp:coreProperties>
</file>