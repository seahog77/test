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21" borderId="12" applyAlignment="1" pivotButton="0" quotePrefix="0" xfId="0">
      <alignment horizontal="center"/>
    </xf>
    <xf numFmtId="0" fontId="14" fillId="21" borderId="12" applyAlignment="1" pivotButton="0" quotePrefix="0" xfId="0">
      <alignment horizontal="center"/>
    </xf>
    <xf numFmtId="0" fontId="13" fillId="21" borderId="12" applyAlignment="1" pivotButton="0" quotePrefix="0" xfId="0">
      <alignment horizontal="center"/>
    </xf>
    <xf numFmtId="0" fontId="1" fillId="22" borderId="12" applyAlignment="1" pivotButton="0" quotePrefix="0" xfId="0">
      <alignment horizontal="center" vertical="center"/>
    </xf>
    <xf numFmtId="0" fontId="7" fillId="23" borderId="12" applyAlignment="1" pivotButton="0" quotePrefix="0" xfId="0">
      <alignment horizontal="center"/>
    </xf>
    <xf numFmtId="0" fontId="1" fillId="23" borderId="12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0.1210429824037553</v>
                </pt>
                <pt idx="1">
                  <v>0.04990775248990115</v>
                </pt>
                <pt idx="2">
                  <v>0.03491997569079382</v>
                </pt>
                <pt idx="3">
                  <v>0.0340922856380515</v>
                </pt>
                <pt idx="4">
                  <v>0.0629323543663457</v>
                </pt>
                <pt idx="5">
                  <v>0.02609847239783648</v>
                </pt>
                <pt idx="6">
                  <v>0.02489054871041908</v>
                </pt>
                <pt idx="7">
                  <v>0.01751871855922907</v>
                </pt>
                <pt idx="8">
                  <v>0.06034030264876506</v>
                </pt>
                <pt idx="9">
                  <v>0.05244463015784036</v>
                </pt>
                <pt idx="10">
                  <v>0.02158279000679427</v>
                </pt>
                <pt idx="11">
                  <v>0.02831186444191049</v>
                </pt>
                <pt idx="12">
                  <v>0.006022994234823283</v>
                </pt>
                <pt idx="13">
                  <v>0.01311439087054257</v>
                </pt>
                <pt idx="14">
                  <v>0.007064767408973949</v>
                </pt>
                <pt idx="15">
                  <v>0.03259197731140757</v>
                </pt>
                <pt idx="16">
                  <v>0.02540104898397003</v>
                </pt>
                <pt idx="17">
                  <v>0.02498754864289351</v>
                </pt>
                <pt idx="18">
                  <v>0.01162391675088913</v>
                </pt>
                <pt idx="19">
                  <v>0.009142152126344514</v>
                </pt>
                <pt idx="20">
                  <v>0.004787282201970603</v>
                </pt>
                <pt idx="21">
                  <v>0.005495448815905446</v>
                </pt>
                <pt idx="22">
                  <v>0.007432836398029271</v>
                </pt>
                <pt idx="23">
                  <v>0.002764681094261696</v>
                </pt>
                <pt idx="24">
                  <v>0.002140977629075812</v>
                </pt>
                <pt idx="25">
                  <v>0.001226835623937568</v>
                </pt>
                <pt idx="26">
                  <v>0.001225548392129259</v>
                </pt>
                <pt idx="27">
                  <v>0.01915901181987037</v>
                </pt>
                <pt idx="28">
                  <v>0.0153272094558963</v>
                </pt>
                <pt idx="29">
                  <v>0.01803832706543312</v>
                </pt>
                <pt idx="30">
                  <v>0.01060395666867155</v>
                </pt>
                <pt idx="31">
                  <v>0.004846856703159922</v>
                </pt>
                <pt idx="32">
                  <v>0.006755492256002358</v>
                </pt>
                <pt idx="33">
                  <v>0.004989701320728351</v>
                </pt>
                <pt idx="34">
                  <v>0.004455408219165015</v>
                </pt>
                <pt idx="35">
                  <v>0.003443680621582687</v>
                </pt>
                <pt idx="36">
                  <v>0.00983357040986358</v>
                </pt>
                <pt idx="37">
                  <v>0.0123712659995058</v>
                </pt>
                <pt idx="38">
                  <v>0.002535907668614462</v>
                </pt>
                <pt idx="39">
                  <v>0</v>
                </pt>
                <pt idx="40">
                  <v>0.01366893765431147</v>
                </pt>
                <pt idx="41">
                  <v>0.001060469148557025</v>
                </pt>
                <pt idx="42">
                  <v>0.002339711578779393</v>
                </pt>
                <pt idx="43">
                  <v>2.927445760828848e-05</v>
                </pt>
                <pt idx="44">
                  <v>0.001710188324018856</v>
                </pt>
                <pt idx="45">
                  <v>0.001380251551518886</v>
                </pt>
                <pt idx="46">
                  <v>0.001482611054156211</v>
                </pt>
                <pt idx="47">
                  <v>0.001311098670322471</v>
                </pt>
                <pt idx="48">
                  <v>0.001643593608776416</v>
                </pt>
                <pt idx="49">
                  <v>0.001091592060090411</v>
                </pt>
                <pt idx="50">
                  <v>0.0009560919860585032</v>
                </pt>
                <pt idx="51">
                  <v>0.001271422455973002</v>
                </pt>
                <pt idx="52">
                  <v>0.0008504152172731785</v>
                </pt>
                <pt idx="53">
                  <v>0.0009412051864099395</v>
                </pt>
                <pt idx="54">
                  <v>0.000593988488428904</v>
                </pt>
                <pt idx="55">
                  <v>0.0007445898594931605</v>
                </pt>
                <pt idx="56">
                  <v>0.0006575629077487872</v>
                </pt>
                <pt idx="57">
                  <v>0.0004862816581539855</v>
                </pt>
                <pt idx="58">
                  <v>0.0004606009770596955</v>
                </pt>
                <pt idx="59">
                  <v>0.000353521345206278</v>
                </pt>
                <pt idx="60">
                  <v>0.0003091248694272977</v>
                </pt>
                <pt idx="61">
                  <v>0.0002795822406763046</v>
                </pt>
                <pt idx="62">
                  <v>0.0002664752861938984</v>
                </pt>
                <pt idx="63">
                  <v>0.0001895844848990099</v>
                </pt>
                <pt idx="64">
                  <v>6.629182806541614e-05</v>
                </pt>
                <pt idx="65">
                  <v>0</v>
                </pt>
                <pt idx="66">
                  <v>0.101609543743478</v>
                </pt>
                <pt idx="67">
                  <v>0.01481263396505649</v>
                </pt>
                <pt idx="68">
                  <v>0.0128651742515795</v>
                </pt>
                <pt idx="69">
                  <v>0.01259544733242907</v>
                </pt>
                <pt idx="70">
                  <v>0.01003323377017752</v>
                </pt>
                <pt idx="71">
                  <v>0.01151187877856882</v>
                </pt>
                <pt idx="72">
                  <v>0.0003394101787249207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zoomScale="70" zoomScaleNormal="70" workbookViewId="0">
      <selection activeCell="I58" sqref="I58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13.15" customHeight="1" s="204">
      <c r="A2" s="203" t="n"/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1" t="n"/>
      <c r="N2" s="2" t="n"/>
      <c r="O2" s="203" t="n"/>
      <c r="P2" s="203" t="n"/>
      <c r="Q2" s="203" t="n"/>
      <c r="R2" s="203" t="n"/>
    </row>
    <row r="3" ht="22.5" customHeight="1" s="204">
      <c r="A3" s="203" t="n"/>
      <c r="B3" s="203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3" t="n"/>
      <c r="P3" s="203" t="n"/>
      <c r="Q3" s="203" t="n"/>
      <c r="R3" s="203" t="n"/>
    </row>
    <row r="4" ht="12.75" customHeight="1" s="204">
      <c r="A4" s="203" t="n"/>
      <c r="B4" s="203" t="n"/>
      <c r="C4" s="203" t="n"/>
      <c r="D4" s="203" t="n"/>
      <c r="E4" s="203" t="n"/>
      <c r="F4" s="203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</row>
    <row r="5" ht="12.75" customHeight="1" s="204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inlineStr">
        <is>
          <t>$1 = ￦1,339</t>
        </is>
      </c>
      <c r="J5" s="73" t="n">
        <v>1339.08</v>
      </c>
      <c r="K5" s="203" t="n"/>
      <c r="L5" s="203" t="n"/>
      <c r="M5" s="203" t="n"/>
      <c r="N5" s="203" t="n"/>
      <c r="O5" s="203" t="n"/>
      <c r="P5" s="203" t="n"/>
      <c r="Q5" s="203" t="n"/>
      <c r="R5" s="203" t="n"/>
    </row>
    <row r="6" ht="13.15" customHeight="1" s="204">
      <c r="A6" s="203" t="n"/>
      <c r="B6" s="203" t="n"/>
      <c r="C6" s="200" t="inlineStr">
        <is>
          <t>국가</t>
        </is>
      </c>
      <c r="D6" s="200" t="inlineStr">
        <is>
          <t>종목코드
(티커)</t>
        </is>
      </c>
      <c r="E6" s="200" t="inlineStr">
        <is>
          <t>종목명</t>
        </is>
      </c>
      <c r="F6" s="200" t="inlineStr">
        <is>
          <t>수량</t>
        </is>
      </c>
      <c r="G6" s="200" t="inlineStr">
        <is>
          <t>평단가</t>
        </is>
      </c>
      <c r="H6" s="201" t="n"/>
      <c r="I6" s="200" t="inlineStr">
        <is>
          <t>현재가</t>
        </is>
      </c>
      <c r="J6" s="201" t="n"/>
      <c r="K6" s="200" t="inlineStr">
        <is>
          <t>평가액
[원화]</t>
        </is>
      </c>
      <c r="L6" s="200" t="inlineStr">
        <is>
          <t>투자비중</t>
        </is>
      </c>
      <c r="M6" s="200" t="inlineStr">
        <is>
          <t>누적수익
[원화]</t>
        </is>
      </c>
      <c r="N6" s="200" t="inlineStr">
        <is>
          <t>총수익률
[평가+배당]</t>
        </is>
      </c>
      <c r="O6" s="203" t="inlineStr">
        <is>
          <t>종목</t>
        </is>
      </c>
      <c r="P6" s="203" t="n"/>
      <c r="Q6" s="203" t="n"/>
      <c r="R6" s="203" t="n"/>
    </row>
    <row r="7" ht="13.15" customHeight="1" s="204">
      <c r="A7" s="203" t="n"/>
      <c r="B7" s="203" t="n"/>
      <c r="C7" s="202" t="n"/>
      <c r="D7" s="202" t="n"/>
      <c r="E7" s="202" t="n"/>
      <c r="F7" s="202" t="n"/>
      <c r="G7" s="200" t="inlineStr">
        <is>
          <t>원화</t>
        </is>
      </c>
      <c r="H7" s="200" t="inlineStr">
        <is>
          <t>달러</t>
        </is>
      </c>
      <c r="I7" s="200" t="inlineStr">
        <is>
          <t>원화</t>
        </is>
      </c>
      <c r="J7" s="200" t="inlineStr">
        <is>
          <t>달러</t>
        </is>
      </c>
      <c r="K7" s="202" t="n"/>
      <c r="L7" s="202" t="n"/>
      <c r="M7" s="202" t="n"/>
      <c r="N7" s="202" t="n"/>
      <c r="P7" s="203" t="n"/>
      <c r="Q7" s="203" t="n"/>
      <c r="R7" s="203" t="n"/>
    </row>
    <row r="8">
      <c r="A8" s="203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3" t="n"/>
      <c r="P8" s="203" t="n"/>
      <c r="Q8" s="203" t="n"/>
      <c r="R8" s="203" t="n"/>
    </row>
    <row r="9" ht="12.75" customHeight="1" s="204">
      <c r="A9" s="203" t="inlineStr">
        <is>
          <t>DC</t>
        </is>
      </c>
      <c r="B9" s="203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10300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3" t="n"/>
      <c r="Q9" s="203" t="n"/>
      <c r="R9" s="203" t="n"/>
    </row>
    <row r="10" ht="12.75" customHeight="1" s="204">
      <c r="A10" s="203" t="inlineStr">
        <is>
          <t>DC</t>
        </is>
      </c>
      <c r="B10" s="203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10435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3" t="n"/>
      <c r="Q10" s="203" t="n"/>
      <c r="R10" s="203" t="n"/>
    </row>
    <row r="11" ht="12.75" customHeight="1" s="204">
      <c r="A11" s="203" t="inlineStr">
        <is>
          <t>DC</t>
        </is>
      </c>
      <c r="B11" s="203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9270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3" t="n"/>
      <c r="Q11" s="203" t="n"/>
      <c r="R11" s="203" t="n"/>
    </row>
    <row r="12" ht="12.75" customHeight="1" s="204">
      <c r="A12" s="203" t="inlineStr">
        <is>
          <t>DC</t>
        </is>
      </c>
      <c r="B12" s="203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10805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3" t="n"/>
      <c r="Q12" s="203" t="n"/>
      <c r="R12" s="203" t="n"/>
    </row>
    <row r="13" ht="12.75" customHeight="1" s="204">
      <c r="A13" s="203" t="inlineStr">
        <is>
          <t>DC</t>
        </is>
      </c>
      <c r="B13" s="203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14180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3" t="n"/>
      <c r="Q13" s="203" t="n"/>
      <c r="R13" s="203" t="n"/>
    </row>
    <row r="14" ht="12.75" customHeight="1" s="204">
      <c r="A14" s="203" t="inlineStr">
        <is>
          <t>DC</t>
        </is>
      </c>
      <c r="B14" s="203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10315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3" t="n"/>
      <c r="Q14" s="203" t="n"/>
      <c r="R14" s="203" t="n"/>
    </row>
    <row r="15" ht="12.75" customHeight="1" s="204">
      <c r="A15" s="203" t="inlineStr">
        <is>
          <t>DC</t>
        </is>
      </c>
      <c r="B15" s="203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4017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3" t="n"/>
      <c r="Q15" s="203" t="n"/>
      <c r="R15" s="203" t="n"/>
    </row>
    <row r="16" ht="12.75" customHeight="1" s="204">
      <c r="A16" s="203" t="inlineStr">
        <is>
          <t>DC</t>
        </is>
      </c>
      <c r="B16" s="203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519</v>
      </c>
      <c r="G16" s="218" t="n">
        <v>27054</v>
      </c>
      <c r="H16" s="231" t="n"/>
      <c r="I16" s="226" t="n">
        <v>27085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3" t="n"/>
      <c r="Q16" s="203" t="n"/>
      <c r="R16" s="203" t="n"/>
    </row>
    <row r="17" ht="12.75" customHeight="1" s="204">
      <c r="A17" s="203" t="inlineStr">
        <is>
          <t>개인연금1</t>
        </is>
      </c>
      <c r="B17" s="203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15010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3" t="n"/>
      <c r="Q17" s="203" t="n"/>
      <c r="R17" s="203" t="n"/>
    </row>
    <row r="18" ht="12.75" customHeight="1" s="204">
      <c r="A18" s="203" t="inlineStr">
        <is>
          <t>개인연금1</t>
        </is>
      </c>
      <c r="B18" s="203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10300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3" t="n"/>
      <c r="Q18" s="203" t="n"/>
      <c r="R18" s="203" t="n"/>
    </row>
    <row r="19" ht="12.75" customHeight="1" s="204">
      <c r="A19" s="203" t="inlineStr">
        <is>
          <t>개인연금1</t>
        </is>
      </c>
      <c r="B19" s="203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13010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3" t="n"/>
      <c r="Q19" s="203" t="n"/>
      <c r="R19" s="203" t="n"/>
    </row>
    <row r="20" ht="12.75" customHeight="1" s="204">
      <c r="A20" s="203" t="inlineStr">
        <is>
          <t>개인연금1</t>
        </is>
      </c>
      <c r="B20" s="203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21655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3" t="n"/>
      <c r="Q20" s="203" t="n"/>
      <c r="R20" s="203" t="n"/>
    </row>
    <row r="21" ht="12.75" customHeight="1" s="204">
      <c r="A21" s="203" t="inlineStr">
        <is>
          <t>개인연금1</t>
        </is>
      </c>
      <c r="B21" s="203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11400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3" t="n"/>
      <c r="Q21" s="203" t="n"/>
      <c r="R21" s="203" t="n"/>
    </row>
    <row r="22" ht="12.75" customHeight="1" s="204">
      <c r="A22" s="72" t="inlineStr">
        <is>
          <t>개인연금2</t>
        </is>
      </c>
      <c r="B22" s="203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31145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3" t="n"/>
      <c r="Q22" s="203" t="n"/>
      <c r="R22" s="203" t="n"/>
    </row>
    <row r="23" ht="12.75" customHeight="1" s="204">
      <c r="A23" s="72" t="inlineStr">
        <is>
          <t>개인연금2</t>
        </is>
      </c>
      <c r="B23" s="203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25970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3" t="n"/>
      <c r="Q23" s="203" t="n"/>
      <c r="R23" s="203" t="n"/>
    </row>
    <row r="24" ht="12.75" customHeight="1" s="204">
      <c r="A24" s="203" t="inlineStr">
        <is>
          <t>ISA</t>
        </is>
      </c>
      <c r="B24" s="203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11820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3" t="n"/>
      <c r="Q24" s="203" t="n"/>
      <c r="R24" s="203" t="n"/>
    </row>
    <row r="25" ht="12.75" customHeight="1" s="204">
      <c r="A25" s="203" t="inlineStr">
        <is>
          <t>ISA</t>
        </is>
      </c>
      <c r="B25" s="203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10300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3" t="n"/>
      <c r="Q25" s="203" t="n"/>
      <c r="R25" s="203" t="n"/>
    </row>
    <row r="26" ht="12.75" customHeight="1" s="204">
      <c r="A26" s="203" t="inlineStr">
        <is>
          <t>ISA</t>
        </is>
      </c>
      <c r="B26" s="203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15010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3" t="n"/>
      <c r="Q26" s="203" t="n"/>
      <c r="R26" s="203" t="n"/>
    </row>
    <row r="27" ht="12.75" customHeight="1" s="204">
      <c r="A27" s="203" t="inlineStr">
        <is>
          <t>ISA</t>
        </is>
      </c>
      <c r="B27" s="203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505</v>
      </c>
      <c r="G27" s="218" t="n">
        <v>16714</v>
      </c>
      <c r="H27" s="231" t="n"/>
      <c r="I27" s="226" t="n">
        <v>17480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3" t="n"/>
      <c r="Q27" s="203" t="n"/>
      <c r="R27" s="203" t="n"/>
    </row>
    <row r="28" ht="12.75" customHeight="1" s="204">
      <c r="A28" s="203" t="inlineStr">
        <is>
          <t>ISA</t>
        </is>
      </c>
      <c r="B28" s="203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7420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3" t="n"/>
      <c r="Q28" s="203" t="n"/>
      <c r="R28" s="203" t="n"/>
    </row>
    <row r="29" ht="12.75" customHeight="1" s="204">
      <c r="A29" s="203" t="inlineStr">
        <is>
          <t>ISA</t>
        </is>
      </c>
      <c r="B29" s="203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108950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3" t="n"/>
      <c r="Q29" s="203" t="n"/>
      <c r="R29" s="203" t="n"/>
    </row>
    <row r="30" ht="12.75" customHeight="1" s="204">
      <c r="A30" s="203" t="inlineStr">
        <is>
          <t>ISA</t>
        </is>
      </c>
      <c r="B30" s="203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13785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3" t="n"/>
      <c r="Q30" s="203" t="n"/>
      <c r="R30" s="203" t="n"/>
    </row>
    <row r="31" ht="12.75" customHeight="1" s="204">
      <c r="A31" s="203" t="inlineStr">
        <is>
          <t>ISA</t>
        </is>
      </c>
      <c r="B31" s="203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11945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3" t="n"/>
      <c r="Q31" s="203" t="n"/>
      <c r="R31" s="203" t="n"/>
    </row>
    <row r="32" ht="12.75" customHeight="1" s="204">
      <c r="A32" s="203" t="inlineStr">
        <is>
          <t>ISA</t>
        </is>
      </c>
      <c r="B32" s="203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162000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3" t="n"/>
      <c r="Q32" s="203" t="n"/>
      <c r="R32" s="203" t="n"/>
    </row>
    <row r="33" ht="12.75" customHeight="1" s="204">
      <c r="A33" s="203" t="inlineStr">
        <is>
          <t>ISA</t>
        </is>
      </c>
      <c r="B33" s="203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11055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3" t="n"/>
      <c r="Q33" s="203" t="n"/>
      <c r="R33" s="203" t="n"/>
    </row>
    <row r="34" ht="12.75" customHeight="1" s="204">
      <c r="A34" s="203" t="inlineStr">
        <is>
          <t>ISA</t>
        </is>
      </c>
      <c r="B34" s="203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9725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3" t="n"/>
      <c r="Q34" s="203" t="n"/>
      <c r="R34" s="203" t="n"/>
    </row>
    <row r="35" ht="12.75" customHeight="1" s="204">
      <c r="A35" s="203" t="inlineStr">
        <is>
          <t>ISA</t>
        </is>
      </c>
      <c r="B35" s="203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9675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3" t="n"/>
      <c r="Q35" s="203" t="n"/>
      <c r="R35" s="203" t="n"/>
    </row>
    <row r="36" ht="12.75" customHeight="1" s="204">
      <c r="A36" s="203" t="inlineStr">
        <is>
          <t>일반계좌</t>
        </is>
      </c>
      <c r="B36" s="203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234000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3" t="n"/>
      <c r="Q36" s="203" t="n"/>
      <c r="R36" s="203" t="n"/>
    </row>
    <row r="37" ht="12.75" customHeight="1" s="204">
      <c r="A37" s="203" t="inlineStr">
        <is>
          <t>일반계좌</t>
        </is>
      </c>
      <c r="B37" s="203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234000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3" t="n"/>
      <c r="Q37" s="203" t="n"/>
      <c r="R37" s="203" t="n"/>
    </row>
    <row r="38" ht="12.75" customHeight="1" s="204">
      <c r="A38" s="72" t="inlineStr">
        <is>
          <t>일반계좌</t>
        </is>
      </c>
      <c r="B38" s="203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17565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3" t="n"/>
      <c r="Q38" s="203" t="n"/>
      <c r="R38" s="203" t="n"/>
    </row>
    <row r="39">
      <c r="A39" s="72" t="inlineStr">
        <is>
          <t>일반계좌</t>
        </is>
      </c>
      <c r="B39" s="203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375.2300109863281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3" t="n"/>
      <c r="Q39" s="203" t="n"/>
      <c r="R39" s="203" t="n"/>
    </row>
    <row r="40">
      <c r="A40" s="72" t="inlineStr">
        <is>
          <t>일반계좌</t>
        </is>
      </c>
      <c r="B40" s="203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54.9900016784668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3" t="n"/>
      <c r="Q40" s="203" t="n"/>
      <c r="R40" s="203" t="n"/>
    </row>
    <row r="41">
      <c r="A41" s="72" t="inlineStr">
        <is>
          <t>일반계좌</t>
        </is>
      </c>
      <c r="B41" s="203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34.72999954223633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3" t="n"/>
      <c r="Q41" s="203" t="n"/>
      <c r="R41" s="203" t="n"/>
    </row>
    <row r="42">
      <c r="A42" s="72" t="inlineStr">
        <is>
          <t>일반계좌</t>
        </is>
      </c>
      <c r="B42" s="203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341.2699890136719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3" t="n"/>
      <c r="Q42" s="203" t="n"/>
      <c r="R42" s="203" t="n"/>
    </row>
    <row r="43">
      <c r="A43" s="72" t="inlineStr">
        <is>
          <t>일반계좌</t>
        </is>
      </c>
      <c r="B43" s="203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19750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3" t="n"/>
      <c r="Q43" s="203" t="n"/>
      <c r="R43" s="203" t="n"/>
    </row>
    <row r="44">
      <c r="A44" s="72" t="inlineStr">
        <is>
          <t>일반계좌</t>
        </is>
      </c>
      <c r="B44" s="203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164650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3" t="n"/>
      <c r="Q44" s="203" t="n"/>
      <c r="R44" s="203" t="n"/>
    </row>
    <row r="45">
      <c r="A45" s="72" t="inlineStr">
        <is>
          <t>일반계좌</t>
        </is>
      </c>
      <c r="B45" s="203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96.44000244140625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3" t="n"/>
      <c r="Q45" s="203" t="n"/>
      <c r="R45" s="203" t="n"/>
    </row>
    <row r="46">
      <c r="A46" s="72" t="inlineStr">
        <is>
          <t>일반계좌2</t>
        </is>
      </c>
      <c r="B46" s="203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96.44000244140625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3" t="n"/>
      <c r="Q46" s="203" t="n"/>
      <c r="R46" s="203" t="n"/>
    </row>
    <row r="47">
      <c r="A47" s="72" t="inlineStr">
        <is>
          <t>일반계좌</t>
        </is>
      </c>
      <c r="B47" s="203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160300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3" t="n"/>
      <c r="Q47" s="203" t="n"/>
      <c r="R47" s="203" t="n"/>
    </row>
    <row r="48">
      <c r="A48" s="72" t="inlineStr">
        <is>
          <t>일반계좌</t>
        </is>
      </c>
      <c r="B48" s="203" t="n">
        <v>40</v>
      </c>
      <c r="C48" s="225" t="n"/>
      <c r="D48" s="106" t="inlineStr">
        <is>
          <t>현금</t>
        </is>
      </c>
      <c r="E48" s="209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3" t="n"/>
      <c r="Q48" s="203" t="n"/>
      <c r="R48" s="203" t="n"/>
    </row>
    <row r="49">
      <c r="A49" s="72" t="inlineStr">
        <is>
          <t>일반계좌</t>
        </is>
      </c>
      <c r="B49" s="203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1284</v>
      </c>
      <c r="G49" s="218" t="n">
        <v>8297</v>
      </c>
      <c r="H49" s="231" t="n"/>
      <c r="I49" s="226" t="n">
        <v>7205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3" t="n"/>
      <c r="Q49" s="203" t="n"/>
      <c r="R49" s="203" t="n"/>
    </row>
    <row r="50" ht="12.75" customHeight="1" s="204">
      <c r="A50" s="72" t="inlineStr">
        <is>
          <t>일반계좌</t>
        </is>
      </c>
      <c r="B50" s="203" t="n">
        <v>42</v>
      </c>
      <c r="C50" s="225" t="n"/>
      <c r="D50" s="106" t="inlineStr">
        <is>
          <t>현금</t>
        </is>
      </c>
      <c r="E50" s="208" t="inlineStr">
        <is>
          <t>예수금(직투달러)</t>
        </is>
      </c>
      <c r="F50" s="107" t="n">
        <v>1</v>
      </c>
      <c r="G50" s="234" t="n">
        <v>869148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3" t="n"/>
      <c r="Q50" s="203" t="n"/>
      <c r="R50" s="203" t="n"/>
    </row>
    <row r="51" ht="12.75" customHeight="1" s="204">
      <c r="A51" s="72" t="inlineStr">
        <is>
          <t>일반계좌</t>
        </is>
      </c>
      <c r="B51" s="203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77500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3" t="n"/>
      <c r="Q51" s="203" t="n"/>
      <c r="R51" s="203" t="n"/>
    </row>
    <row r="52" ht="12.75" customHeight="1" s="204">
      <c r="A52" s="72" t="inlineStr">
        <is>
          <t>일반계좌</t>
        </is>
      </c>
      <c r="B52" s="203" t="n">
        <v>44</v>
      </c>
      <c r="C52" s="225" t="n"/>
      <c r="D52" s="106" t="inlineStr">
        <is>
          <t>현금</t>
        </is>
      </c>
      <c r="E52" s="207" t="inlineStr">
        <is>
          <t>현금성자산(삼성증권)</t>
        </is>
      </c>
      <c r="F52" s="107" t="n">
        <v>1</v>
      </c>
      <c r="G52" s="234" t="n">
        <v>23993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3" t="n"/>
      <c r="Q52" s="203" t="n"/>
      <c r="R52" s="203" t="n"/>
    </row>
    <row r="53">
      <c r="A53" s="72" t="inlineStr">
        <is>
          <t>일반계좌</t>
        </is>
      </c>
      <c r="B53" s="203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156.5399932861328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3" t="n"/>
      <c r="Q53" s="203" t="n"/>
      <c r="R53" s="203" t="n"/>
    </row>
    <row r="54">
      <c r="A54" s="72" t="inlineStr">
        <is>
          <t>일반계좌</t>
        </is>
      </c>
      <c r="B54" s="203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179.4299926757812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3" t="n"/>
      <c r="Q54" s="203" t="n"/>
      <c r="R54" s="203" t="n"/>
    </row>
    <row r="55">
      <c r="A55" s="72" t="inlineStr">
        <is>
          <t>일반계좌</t>
        </is>
      </c>
      <c r="B55" s="203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228.5200042724609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3" t="n"/>
      <c r="Q55" s="203" t="n"/>
      <c r="R55" s="203" t="n"/>
    </row>
    <row r="56">
      <c r="A56" s="72" t="inlineStr">
        <is>
          <t>일반계좌</t>
        </is>
      </c>
      <c r="B56" s="203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33.36999893188477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3" t="n"/>
      <c r="Q56" s="203" t="n"/>
      <c r="R56" s="203" t="n"/>
    </row>
    <row r="57">
      <c r="A57" s="72" t="inlineStr">
        <is>
          <t>일반계좌</t>
        </is>
      </c>
      <c r="B57" s="203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543.4500122070312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3" t="n"/>
      <c r="Q57" s="203" t="n"/>
      <c r="R57" s="203" t="n"/>
    </row>
    <row r="58">
      <c r="A58" s="72" t="inlineStr">
        <is>
          <t>일반계좌</t>
        </is>
      </c>
      <c r="B58" s="203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153.7299957275391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3" t="n"/>
      <c r="Q58" s="203" t="n"/>
      <c r="R58" s="203" t="n"/>
    </row>
    <row r="59">
      <c r="A59" s="72" t="inlineStr">
        <is>
          <t>일반계좌</t>
        </is>
      </c>
      <c r="B59" s="203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38.06000137329102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3" t="n"/>
      <c r="Q59" s="203" t="n"/>
      <c r="R59" s="203" t="n"/>
    </row>
    <row r="60">
      <c r="A60" s="72" t="inlineStr">
        <is>
          <t>일반계좌</t>
        </is>
      </c>
      <c r="B60" s="203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208.6699981689453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3" t="n"/>
      <c r="Q60" s="203" t="n"/>
      <c r="R60" s="203" t="n"/>
    </row>
    <row r="61">
      <c r="A61" s="72" t="inlineStr">
        <is>
          <t>일반계좌</t>
        </is>
      </c>
      <c r="B61" s="203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64.22000122070312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3" t="n"/>
      <c r="Q61" s="203" t="n"/>
      <c r="R61" s="203" t="n"/>
    </row>
    <row r="62">
      <c r="A62" s="72" t="inlineStr">
        <is>
          <t>일반계좌</t>
        </is>
      </c>
      <c r="B62" s="203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12.01000022888184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3" t="n"/>
      <c r="Q62" s="203" t="n"/>
      <c r="R62" s="203" t="n"/>
    </row>
    <row r="63">
      <c r="A63" s="72" t="inlineStr">
        <is>
          <t>일반계좌</t>
        </is>
      </c>
      <c r="B63" s="203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35.33000183105469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3" t="n"/>
      <c r="Q63" s="203" t="n"/>
      <c r="R63" s="203" t="n"/>
    </row>
    <row r="64" ht="12.75" customHeight="1" s="204">
      <c r="A64" s="72" t="inlineStr">
        <is>
          <t>일반계좌</t>
        </is>
      </c>
      <c r="B64" s="203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445.1199951171875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3" t="n"/>
      <c r="Q64" s="203" t="n"/>
      <c r="R64" s="203" t="n"/>
    </row>
    <row r="65" ht="12.75" customHeight="1" s="204">
      <c r="A65" s="72" t="inlineStr">
        <is>
          <t>일반계좌</t>
        </is>
      </c>
      <c r="B65" s="203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181.7899932861328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3" t="n"/>
      <c r="Q65" s="203" t="n"/>
      <c r="R65" s="203" t="n"/>
    </row>
    <row r="66" ht="12.75" customHeight="1" s="204">
      <c r="A66" s="72" t="inlineStr">
        <is>
          <t>일반계좌</t>
        </is>
      </c>
      <c r="B66" s="203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134.2799987792969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3" t="n"/>
      <c r="Q66" s="203" t="n"/>
      <c r="R66" s="203" t="n"/>
    </row>
    <row r="67" ht="12.75" customHeight="1" s="204">
      <c r="A67" s="72" t="inlineStr">
        <is>
          <t>일반계좌</t>
        </is>
      </c>
      <c r="B67" s="203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143.1999969482422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3" t="n"/>
      <c r="Q67" s="203" t="n"/>
      <c r="R67" s="203" t="n"/>
    </row>
    <row r="68" ht="12.75" customHeight="1" s="204">
      <c r="A68" s="72" t="inlineStr">
        <is>
          <t>일반계좌</t>
        </is>
      </c>
      <c r="B68" s="203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4.949999809265137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3" t="n"/>
      <c r="Q68" s="203" t="n"/>
      <c r="R68" s="203" t="n"/>
    </row>
    <row r="69" ht="12.75" customHeight="1" s="204">
      <c r="A69" s="72" t="inlineStr">
        <is>
          <t>일반계좌</t>
        </is>
      </c>
      <c r="B69" s="203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92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3" t="n"/>
      <c r="Q69" s="203" t="n"/>
      <c r="R69" s="203" t="n"/>
    </row>
    <row r="70" ht="12.75" customHeight="1" s="204">
      <c r="A70" s="72" t="inlineStr">
        <is>
          <t>일반계좌</t>
        </is>
      </c>
      <c r="B70" s="203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6.489999771118164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3" t="n"/>
      <c r="Q70" s="203" t="n"/>
      <c r="R70" s="203" t="n"/>
    </row>
    <row r="71" ht="12.75" customHeight="1" s="204">
      <c r="A71" s="72" t="inlineStr">
        <is>
          <t>일반계좌</t>
        </is>
      </c>
      <c r="B71" s="203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14200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3" t="n"/>
      <c r="Q71" s="203" t="n"/>
      <c r="R71" s="203" t="n"/>
    </row>
    <row r="72" ht="12.75" customHeight="1" s="204">
      <c r="A72" s="72" t="inlineStr">
        <is>
          <t>일반계좌</t>
        </is>
      </c>
      <c r="B72" s="203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31.78000068664551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3" t="n"/>
      <c r="Q72" s="203" t="n"/>
      <c r="R72" s="203" t="n"/>
    </row>
    <row r="73" ht="12.75" customHeight="1" s="204">
      <c r="A73" s="72" t="inlineStr">
        <is>
          <t>일반계좌</t>
        </is>
      </c>
      <c r="B73" s="203" t="n">
        <v>65</v>
      </c>
      <c r="C73" s="217" t="n"/>
      <c r="D73" s="236" t="inlineStr">
        <is>
          <t>현금</t>
        </is>
      </c>
      <c r="E73" s="210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3" t="n"/>
      <c r="Q73" s="203" t="n"/>
      <c r="R73" s="203" t="n"/>
    </row>
    <row r="74" ht="12.75" customHeight="1" s="204">
      <c r="A74" s="72" t="inlineStr">
        <is>
          <t>일반계좌</t>
        </is>
      </c>
      <c r="B74" s="203" t="n">
        <v>66</v>
      </c>
      <c r="C74" s="225" t="n"/>
      <c r="D74" s="97" t="inlineStr">
        <is>
          <t>현금</t>
        </is>
      </c>
      <c r="E74" s="211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3" t="n"/>
      <c r="Q74" s="203" t="n"/>
      <c r="R74" s="203" t="n"/>
    </row>
    <row r="75" ht="12.75" customHeight="1" s="204">
      <c r="A75" s="203" t="inlineStr">
        <is>
          <t>CMA</t>
        </is>
      </c>
      <c r="B75" s="203" t="n">
        <v>67</v>
      </c>
      <c r="C75" s="225" t="n"/>
      <c r="D75" s="106" t="inlineStr">
        <is>
          <t>현금</t>
        </is>
      </c>
      <c r="E75" s="207" t="inlineStr">
        <is>
          <t>CMA RP</t>
        </is>
      </c>
      <c r="F75" s="107" t="n">
        <v>1</v>
      </c>
      <c r="G75" s="234" t="n">
        <v>83277983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3" t="n"/>
      <c r="Q75" s="203" t="n"/>
      <c r="R75" s="203" t="n"/>
    </row>
    <row r="76" ht="12.75" customHeight="1" s="204">
      <c r="A76" s="203" t="inlineStr">
        <is>
          <t>IRP</t>
        </is>
      </c>
      <c r="B76" s="203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15010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3" t="n"/>
      <c r="Q76" s="203" t="n"/>
      <c r="R76" s="203" t="n"/>
    </row>
    <row r="77" ht="12.75" customHeight="1" s="204">
      <c r="A77" s="203" t="inlineStr">
        <is>
          <t>IRP</t>
        </is>
      </c>
      <c r="B77" s="203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181070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3" t="n"/>
      <c r="Q77" s="203" t="n"/>
      <c r="R77" s="203" t="n"/>
    </row>
    <row r="78" ht="12.75" customHeight="1" s="204">
      <c r="A78" s="203" t="inlineStr">
        <is>
          <t>IRP</t>
        </is>
      </c>
      <c r="B78" s="203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31745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3" t="n"/>
      <c r="Q78" s="203" t="n"/>
      <c r="R78" s="203" t="n"/>
    </row>
    <row r="79" ht="12.75" customHeight="1" s="204">
      <c r="A79" s="203" t="inlineStr">
        <is>
          <t>IRP</t>
        </is>
      </c>
      <c r="B79" s="203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21660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3" t="n"/>
      <c r="Q79" s="203" t="n"/>
      <c r="R79" s="203" t="n"/>
    </row>
    <row r="80" ht="12.75" customHeight="1" s="204">
      <c r="A80" s="72" t="inlineStr">
        <is>
          <t>은행예금</t>
        </is>
      </c>
      <c r="B80" s="203" t="n">
        <v>72</v>
      </c>
      <c r="C80" s="104" t="n"/>
      <c r="D80" s="236" t="inlineStr">
        <is>
          <t>현금</t>
        </is>
      </c>
      <c r="E80" s="212" t="inlineStr">
        <is>
          <t>새마을 예금</t>
        </is>
      </c>
      <c r="F80" s="110" t="n">
        <v>1</v>
      </c>
      <c r="G80" s="104" t="n">
        <v>9435000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3" t="n"/>
      <c r="Q80" s="203" t="n"/>
      <c r="R80" s="203" t="n"/>
    </row>
    <row r="81">
      <c r="A81" s="115" t="inlineStr">
        <is>
          <t>TOSS</t>
        </is>
      </c>
      <c r="B81" s="203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217.7299957275391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3" t="n"/>
      <c r="Q81" s="203" t="n"/>
      <c r="R81" s="203" t="n"/>
    </row>
    <row r="82" ht="12.75" customHeight="1" s="204">
      <c r="A82" s="115" t="inlineStr">
        <is>
          <t>TOSS</t>
        </is>
      </c>
      <c r="B82" s="203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174.0800018310547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3" t="n"/>
      <c r="Q82" s="203" t="n"/>
      <c r="R82" s="203" t="n"/>
    </row>
    <row r="83" ht="12.75" customHeight="1" s="204">
      <c r="A83" s="115" t="inlineStr">
        <is>
          <t>TOSS</t>
        </is>
      </c>
      <c r="B83" s="203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112.2799987792969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3" t="n"/>
      <c r="Q83" s="203" t="n"/>
      <c r="R83" s="203" t="n"/>
    </row>
    <row r="84" ht="12.75" customHeight="1" s="204">
      <c r="A84" s="203" t="n"/>
      <c r="B84" s="203" t="n"/>
      <c r="C84" s="116" t="n"/>
      <c r="D84" s="116" t="n"/>
      <c r="E84" s="117" t="n"/>
      <c r="F84" s="116" t="n"/>
      <c r="G84" s="116" t="n"/>
      <c r="H84" s="116" t="n"/>
      <c r="I84" s="203" t="n"/>
      <c r="L84" s="203" t="n"/>
      <c r="M84" s="203" t="n"/>
      <c r="N84" s="203" t="n"/>
      <c r="O84" s="126" t="n"/>
      <c r="P84" s="203" t="n"/>
      <c r="Q84" s="203" t="n"/>
      <c r="R84" s="203" t="n"/>
    </row>
    <row r="85" ht="12.75" customHeight="1" s="204">
      <c r="A85" s="203" t="n"/>
      <c r="B85" s="203" t="n"/>
      <c r="C85" s="203" t="n"/>
      <c r="D85" s="203" t="n"/>
      <c r="E85" s="13" t="n"/>
      <c r="F85" s="203" t="n"/>
      <c r="G85" s="203" t="n"/>
      <c r="H85" s="203" t="n"/>
      <c r="I85" s="203" t="n"/>
      <c r="L85" s="203" t="n"/>
      <c r="M85" s="203" t="n"/>
      <c r="N85" s="203" t="n"/>
      <c r="O85" s="203" t="n"/>
      <c r="P85" s="203" t="n"/>
      <c r="Q85" s="203" t="n"/>
      <c r="R85" s="203" t="n"/>
    </row>
    <row r="86" ht="12.75" customHeight="1" s="204">
      <c r="A86" s="203" t="n"/>
      <c r="B86" s="203" t="n"/>
      <c r="C86" s="203" t="n"/>
      <c r="D86" s="203" t="n"/>
      <c r="E86" s="13" t="n"/>
      <c r="F86" s="203" t="n"/>
      <c r="G86" s="203" t="n"/>
      <c r="H86" s="203" t="n"/>
      <c r="I86" s="203" t="n"/>
      <c r="L86" s="203" t="n"/>
      <c r="M86" s="203" t="n"/>
      <c r="N86" s="203" t="n"/>
      <c r="O86" s="203" t="n"/>
      <c r="P86" s="203" t="n"/>
      <c r="Q86" s="203" t="n"/>
      <c r="R86" s="203" t="n"/>
    </row>
    <row r="87" ht="12.75" customHeight="1" s="204">
      <c r="A87" s="203" t="n"/>
      <c r="B87" s="203" t="n"/>
      <c r="C87" s="203" t="n"/>
      <c r="D87" s="203" t="n"/>
      <c r="E87" s="13" t="n"/>
      <c r="F87" s="203" t="n"/>
      <c r="G87" s="203" t="n"/>
      <c r="H87" s="203" t="n"/>
      <c r="I87" s="203" t="n"/>
      <c r="L87" s="203" t="n"/>
      <c r="M87" s="203" t="n"/>
      <c r="N87" s="203" t="n"/>
      <c r="O87" s="203" t="n"/>
      <c r="P87" s="203" t="n"/>
      <c r="Q87" s="203" t="n"/>
      <c r="R87" s="203" t="n"/>
    </row>
    <row r="88" ht="12.75" customHeight="1" s="204">
      <c r="A88" s="203" t="n"/>
      <c r="B88" s="203" t="n"/>
      <c r="C88" s="203" t="n"/>
      <c r="D88" s="203" t="n"/>
      <c r="E88" s="13" t="n"/>
      <c r="F88" s="203" t="n"/>
      <c r="G88" s="203" t="n"/>
      <c r="H88" s="203" t="n"/>
      <c r="I88" s="203" t="n"/>
      <c r="L88" s="203" t="n"/>
      <c r="M88" s="203" t="n"/>
      <c r="N88" s="203" t="n"/>
      <c r="O88" s="203" t="n"/>
      <c r="P88" s="203" t="n"/>
      <c r="Q88" s="203" t="n"/>
      <c r="R88" s="203" t="n"/>
    </row>
    <row r="89" ht="12.75" customHeight="1" s="204">
      <c r="A89" s="203" t="n"/>
      <c r="B89" s="203" t="n"/>
      <c r="C89" s="203" t="n"/>
      <c r="D89" s="203" t="n"/>
      <c r="E89" s="13" t="n"/>
      <c r="F89" s="203" t="n"/>
      <c r="G89" s="203" t="n"/>
      <c r="H89" s="203" t="n"/>
      <c r="I89" s="203" t="n"/>
      <c r="L89" s="203" t="n"/>
      <c r="M89" s="203" t="n"/>
      <c r="N89" s="203" t="n"/>
      <c r="O89" s="203" t="n"/>
      <c r="P89" s="203" t="n"/>
      <c r="Q89" s="203" t="n"/>
      <c r="R89" s="203" t="n"/>
    </row>
    <row r="90" ht="12.75" customHeight="1" s="204">
      <c r="A90" s="203" t="n"/>
      <c r="B90" s="203" t="n"/>
      <c r="C90" s="203" t="n"/>
      <c r="D90" s="203" t="n"/>
      <c r="E90" s="13" t="n"/>
      <c r="F90" s="203" t="n"/>
      <c r="G90" s="203" t="n"/>
      <c r="H90" s="203" t="n"/>
      <c r="I90" s="203" t="n"/>
      <c r="L90" s="203" t="n"/>
      <c r="M90" s="203" t="n"/>
      <c r="N90" s="203" t="n"/>
      <c r="O90" s="203" t="n"/>
      <c r="P90" s="203" t="n"/>
      <c r="Q90" s="203" t="n"/>
      <c r="R90" s="203" t="n"/>
    </row>
    <row r="91" ht="12.75" customHeight="1" s="204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</row>
    <row r="92" ht="12.75" customHeight="1" s="204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</row>
    <row r="93" ht="12.75" customHeight="1" s="204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</row>
    <row r="94" ht="12.75" customHeight="1" s="20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</row>
    <row r="95" ht="12.75" customHeight="1" s="204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</row>
    <row r="96" ht="12.75" customHeight="1" s="204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</row>
    <row r="97" ht="12.75" customHeight="1" s="204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</row>
    <row r="98" ht="12.75" customHeight="1" s="204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</row>
    <row r="99" ht="12.75" customHeight="1" s="204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</row>
    <row r="100" ht="12.75" customHeight="1" s="204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</row>
    <row r="101" ht="12.75" customHeight="1" s="204">
      <c r="A101" s="203" t="n"/>
      <c r="B101" s="203" t="n"/>
      <c r="C101" s="203" t="n"/>
      <c r="D101" s="203" t="n"/>
      <c r="E101" s="203" t="n"/>
      <c r="F101" s="203" t="n"/>
      <c r="G101" s="203" t="n"/>
      <c r="H101" s="203" t="n"/>
      <c r="I101" s="203" t="n"/>
      <c r="J101" s="203" t="n"/>
      <c r="K101" s="203" t="n"/>
      <c r="L101" s="203" t="n"/>
      <c r="M101" s="203" t="n"/>
      <c r="N101" s="203" t="n"/>
      <c r="O101" s="203" t="n"/>
      <c r="P101" s="203" t="n"/>
      <c r="Q101" s="203" t="n"/>
      <c r="R101" s="203" t="n"/>
    </row>
    <row r="102" ht="12.75" customHeight="1" s="204">
      <c r="A102" s="203" t="n"/>
      <c r="B102" s="203" t="n"/>
      <c r="C102" s="203" t="n"/>
      <c r="D102" s="203" t="n"/>
      <c r="E102" s="203" t="n"/>
      <c r="F102" s="203" t="n"/>
      <c r="G102" s="203" t="n"/>
      <c r="H102" s="203" t="n"/>
      <c r="I102" s="203" t="n"/>
      <c r="J102" s="203" t="n"/>
      <c r="K102" s="203" t="n"/>
      <c r="L102" s="203" t="n"/>
      <c r="M102" s="203" t="n"/>
      <c r="N102" s="203" t="n"/>
      <c r="O102" s="203" t="n"/>
      <c r="P102" s="203" t="n"/>
      <c r="Q102" s="203" t="n"/>
      <c r="R102" s="203" t="n"/>
    </row>
    <row r="103" ht="12.75" customHeight="1" s="204">
      <c r="A103" s="203" t="n"/>
      <c r="B103" s="203" t="n"/>
      <c r="C103" s="203" t="n"/>
      <c r="D103" s="203" t="n"/>
      <c r="E103" s="203" t="n"/>
      <c r="F103" s="203" t="n"/>
      <c r="G103" s="203" t="n"/>
      <c r="H103" s="203" t="n"/>
      <c r="I103" s="203" t="n"/>
      <c r="J103" s="203" t="n"/>
      <c r="K103" s="203" t="n"/>
      <c r="L103" s="203" t="n"/>
      <c r="M103" s="203" t="n"/>
      <c r="N103" s="203" t="n"/>
      <c r="O103" s="203" t="n"/>
      <c r="P103" s="203" t="n"/>
      <c r="Q103" s="203" t="n"/>
      <c r="R103" s="203" t="n"/>
    </row>
    <row r="104" ht="12.75" customHeight="1" s="204">
      <c r="A104" s="203" t="n"/>
      <c r="B104" s="203" t="n"/>
      <c r="C104" s="203" t="n"/>
      <c r="D104" s="203" t="n"/>
      <c r="E104" s="203" t="n"/>
      <c r="F104" s="203" t="n"/>
      <c r="G104" s="203" t="n"/>
      <c r="H104" s="203" t="n"/>
      <c r="I104" s="203" t="n"/>
      <c r="J104" s="203" t="n"/>
      <c r="K104" s="203" t="n"/>
      <c r="L104" s="203" t="n"/>
      <c r="M104" s="203" t="n"/>
      <c r="N104" s="203" t="n"/>
      <c r="O104" s="203" t="n"/>
      <c r="P104" s="203" t="n"/>
      <c r="Q104" s="203" t="n"/>
      <c r="R104" s="203" t="n"/>
    </row>
    <row r="105" ht="12.75" customHeight="1" s="204">
      <c r="A105" s="203" t="n"/>
      <c r="B105" s="203" t="n"/>
      <c r="C105" s="203" t="n"/>
      <c r="D105" s="203" t="n"/>
      <c r="E105" s="203" t="n"/>
      <c r="F105" s="203" t="n"/>
      <c r="G105" s="203" t="n"/>
      <c r="H105" s="203" t="n"/>
      <c r="I105" s="203" t="n"/>
      <c r="J105" s="203" t="n"/>
      <c r="K105" s="203" t="n"/>
      <c r="L105" s="203" t="n"/>
      <c r="M105" s="203" t="n"/>
      <c r="N105" s="203" t="n"/>
      <c r="O105" s="203" t="n"/>
      <c r="P105" s="203" t="n"/>
      <c r="Q105" s="203" t="n"/>
      <c r="R105" s="203" t="n"/>
    </row>
    <row r="106" ht="12.75" customHeight="1" s="204">
      <c r="A106" s="203" t="n"/>
      <c r="B106" s="203" t="n"/>
      <c r="C106" s="203" t="n"/>
      <c r="D106" s="203" t="n"/>
      <c r="E106" s="203" t="n"/>
      <c r="F106" s="203" t="n"/>
      <c r="G106" s="203" t="n"/>
      <c r="H106" s="203" t="n"/>
      <c r="I106" s="203" t="n"/>
      <c r="J106" s="203" t="n"/>
      <c r="K106" s="203" t="n"/>
      <c r="L106" s="203" t="n"/>
      <c r="M106" s="203" t="n"/>
      <c r="N106" s="203" t="n"/>
      <c r="O106" s="203" t="n"/>
      <c r="P106" s="203" t="n"/>
      <c r="Q106" s="203" t="n"/>
      <c r="R106" s="203" t="n"/>
    </row>
    <row r="107" ht="12.75" customHeight="1" s="204">
      <c r="A107" s="203" t="n"/>
      <c r="B107" s="203" t="n"/>
      <c r="C107" s="203" t="n"/>
      <c r="D107" s="203" t="n"/>
      <c r="E107" s="203" t="n"/>
      <c r="F107" s="203" t="n"/>
      <c r="G107" s="203" t="n"/>
      <c r="H107" s="203" t="n"/>
      <c r="I107" s="203" t="n"/>
      <c r="J107" s="203" t="n"/>
      <c r="K107" s="203" t="n"/>
      <c r="L107" s="203" t="n"/>
      <c r="M107" s="203" t="n"/>
      <c r="N107" s="203" t="n"/>
      <c r="O107" s="203" t="n"/>
      <c r="P107" s="203" t="n"/>
      <c r="Q107" s="203" t="n"/>
      <c r="R107" s="203" t="n"/>
    </row>
    <row r="108" ht="12.75" customHeight="1" s="204">
      <c r="A108" s="203" t="n"/>
      <c r="B108" s="203" t="n"/>
      <c r="C108" s="203" t="n"/>
      <c r="D108" s="203" t="n"/>
      <c r="E108" s="203" t="n"/>
      <c r="F108" s="203" t="n"/>
      <c r="G108" s="203" t="n"/>
      <c r="H108" s="203" t="n"/>
      <c r="I108" s="203" t="n"/>
      <c r="J108" s="203" t="n"/>
      <c r="K108" s="203" t="n"/>
      <c r="L108" s="203" t="n"/>
      <c r="M108" s="203" t="n"/>
      <c r="N108" s="203" t="n"/>
      <c r="O108" s="203" t="n"/>
      <c r="P108" s="203" t="n"/>
      <c r="Q108" s="203" t="n"/>
      <c r="R108" s="203" t="n"/>
    </row>
    <row r="109" ht="12.75" customHeight="1" s="204">
      <c r="A109" s="203" t="n"/>
      <c r="B109" s="203" t="n"/>
      <c r="C109" s="203" t="n"/>
      <c r="D109" s="203" t="n"/>
      <c r="E109" s="203" t="n"/>
      <c r="F109" s="203" t="n"/>
      <c r="G109" s="203" t="n"/>
      <c r="H109" s="203" t="n"/>
      <c r="I109" s="203" t="n"/>
      <c r="J109" s="203" t="n"/>
      <c r="K109" s="203" t="n"/>
      <c r="L109" s="203" t="n"/>
      <c r="M109" s="203" t="n"/>
      <c r="N109" s="203" t="n"/>
      <c r="O109" s="203" t="n"/>
      <c r="P109" s="203" t="n"/>
      <c r="Q109" s="203" t="n"/>
      <c r="R109" s="203" t="n"/>
    </row>
    <row r="110" ht="12.75" customHeight="1" s="204">
      <c r="A110" s="203" t="n"/>
      <c r="B110" s="203" t="n"/>
      <c r="C110" s="203" t="n"/>
      <c r="D110" s="203" t="n"/>
      <c r="E110" s="203" t="n"/>
      <c r="F110" s="203" t="n"/>
      <c r="G110" s="203" t="n"/>
      <c r="H110" s="203" t="n"/>
      <c r="I110" s="203" t="n"/>
      <c r="J110" s="203" t="n"/>
      <c r="K110" s="203" t="n"/>
      <c r="L110" s="203" t="n"/>
      <c r="M110" s="203" t="n"/>
      <c r="N110" s="203" t="n"/>
      <c r="O110" s="203" t="n"/>
      <c r="P110" s="203" t="n"/>
      <c r="Q110" s="203" t="n"/>
      <c r="R110" s="203" t="n"/>
    </row>
    <row r="111" ht="12.75" customHeight="1" s="204">
      <c r="A111" s="203" t="n"/>
      <c r="B111" s="203" t="n"/>
      <c r="C111" s="203" t="n"/>
      <c r="D111" s="203" t="n"/>
      <c r="E111" s="203" t="n"/>
      <c r="F111" s="203" t="n"/>
      <c r="G111" s="203" t="n"/>
      <c r="H111" s="203" t="n"/>
      <c r="I111" s="203" t="n"/>
      <c r="J111" s="203" t="n"/>
      <c r="K111" s="203" t="n"/>
      <c r="L111" s="203" t="n"/>
      <c r="M111" s="203" t="n"/>
      <c r="N111" s="203" t="n"/>
      <c r="O111" s="203" t="n"/>
      <c r="P111" s="203" t="n"/>
      <c r="Q111" s="203" t="n"/>
      <c r="R111" s="203" t="n"/>
    </row>
    <row r="112" ht="12.75" customHeight="1" s="204">
      <c r="A112" s="203" t="n"/>
      <c r="B112" s="203" t="n"/>
      <c r="C112" s="203" t="n"/>
      <c r="D112" s="203" t="n"/>
      <c r="E112" s="203" t="n"/>
      <c r="F112" s="203" t="n"/>
      <c r="G112" s="203" t="n"/>
      <c r="H112" s="203" t="n"/>
      <c r="I112" s="203" t="n"/>
      <c r="J112" s="203" t="n"/>
      <c r="K112" s="203" t="n"/>
      <c r="L112" s="203" t="n"/>
      <c r="M112" s="203" t="n"/>
      <c r="N112" s="203" t="n"/>
      <c r="O112" s="203" t="n"/>
      <c r="P112" s="203" t="n"/>
      <c r="Q112" s="203" t="n"/>
      <c r="R112" s="203" t="n"/>
    </row>
    <row r="113" ht="12.75" customHeight="1" s="204">
      <c r="A113" s="203" t="n"/>
      <c r="B113" s="203" t="n"/>
      <c r="C113" s="203" t="n"/>
      <c r="D113" s="203" t="n"/>
      <c r="E113" s="203" t="n"/>
      <c r="F113" s="203" t="n"/>
      <c r="G113" s="203" t="n"/>
      <c r="H113" s="203" t="n"/>
      <c r="I113" s="203" t="n"/>
      <c r="J113" s="203" t="n"/>
      <c r="K113" s="203" t="n"/>
      <c r="L113" s="203" t="n"/>
      <c r="M113" s="203" t="n"/>
      <c r="N113" s="203" t="n"/>
      <c r="O113" s="203" t="n"/>
      <c r="P113" s="203" t="n"/>
      <c r="Q113" s="203" t="n"/>
      <c r="R113" s="203" t="n"/>
    </row>
    <row r="114" ht="12.75" customHeight="1" s="204">
      <c r="A114" s="203" t="n"/>
      <c r="B114" s="203" t="n"/>
      <c r="C114" s="203" t="n"/>
      <c r="D114" s="203" t="n"/>
      <c r="E114" s="203" t="n"/>
      <c r="F114" s="203" t="n"/>
      <c r="G114" s="203" t="n"/>
      <c r="H114" s="203" t="n"/>
      <c r="I114" s="203" t="n"/>
      <c r="J114" s="203" t="n"/>
      <c r="K114" s="203" t="n"/>
      <c r="L114" s="203" t="n"/>
      <c r="M114" s="203" t="n"/>
      <c r="N114" s="203" t="n"/>
      <c r="O114" s="203" t="n"/>
      <c r="P114" s="203" t="n"/>
      <c r="Q114" s="203" t="n"/>
      <c r="R114" s="203" t="n"/>
    </row>
    <row r="115" ht="12.75" customHeight="1" s="204">
      <c r="A115" s="203" t="n"/>
      <c r="B115" s="203" t="n"/>
      <c r="C115" s="203" t="n"/>
      <c r="D115" s="203" t="n"/>
      <c r="E115" s="203" t="n"/>
      <c r="F115" s="203" t="n"/>
      <c r="G115" s="203" t="n"/>
      <c r="H115" s="203" t="n"/>
      <c r="I115" s="203" t="n"/>
      <c r="J115" s="203" t="n"/>
      <c r="K115" s="203" t="n"/>
      <c r="L115" s="203" t="n"/>
      <c r="M115" s="203" t="n"/>
      <c r="N115" s="203" t="n"/>
      <c r="O115" s="203" t="n"/>
      <c r="P115" s="203" t="n"/>
      <c r="Q115" s="203" t="n"/>
      <c r="R115" s="203" t="n"/>
    </row>
    <row r="116" ht="12.75" customHeight="1" s="204">
      <c r="A116" s="203" t="n"/>
      <c r="B116" s="203" t="n"/>
      <c r="C116" s="203" t="n"/>
      <c r="D116" s="203" t="n"/>
      <c r="E116" s="203" t="n"/>
      <c r="F116" s="203" t="n"/>
      <c r="G116" s="203" t="n"/>
      <c r="H116" s="203" t="n"/>
      <c r="I116" s="203" t="n"/>
      <c r="J116" s="203" t="n"/>
      <c r="K116" s="203" t="n"/>
      <c r="L116" s="203" t="n"/>
      <c r="M116" s="203" t="n"/>
      <c r="N116" s="203" t="n"/>
      <c r="O116" s="203" t="n"/>
      <c r="P116" s="203" t="n"/>
      <c r="Q116" s="203" t="n"/>
      <c r="R116" s="203" t="n"/>
    </row>
    <row r="117" ht="12.75" customHeight="1" s="204">
      <c r="A117" s="203" t="n"/>
      <c r="B117" s="203" t="n"/>
      <c r="C117" s="203" t="n"/>
      <c r="D117" s="203" t="n"/>
      <c r="E117" s="203" t="n"/>
      <c r="F117" s="203" t="n"/>
      <c r="G117" s="203" t="n"/>
      <c r="H117" s="203" t="n"/>
      <c r="I117" s="203" t="n"/>
      <c r="J117" s="203" t="n"/>
      <c r="K117" s="203" t="n"/>
      <c r="L117" s="203" t="n"/>
      <c r="M117" s="203" t="n"/>
      <c r="N117" s="203" t="n"/>
      <c r="O117" s="203" t="n"/>
      <c r="P117" s="203" t="n"/>
      <c r="Q117" s="203" t="n"/>
      <c r="R117" s="203" t="n"/>
    </row>
    <row r="118" ht="12.75" customHeight="1" s="204">
      <c r="A118" s="203" t="n"/>
      <c r="B118" s="203" t="n"/>
      <c r="C118" s="203" t="n"/>
      <c r="D118" s="203" t="n"/>
      <c r="E118" s="203" t="n"/>
      <c r="F118" s="203" t="n"/>
      <c r="G118" s="203" t="n"/>
      <c r="H118" s="203" t="n"/>
      <c r="I118" s="203" t="n"/>
      <c r="J118" s="203" t="n"/>
      <c r="K118" s="203" t="n"/>
      <c r="L118" s="203" t="n"/>
      <c r="M118" s="203" t="n"/>
      <c r="N118" s="203" t="n"/>
      <c r="O118" s="203" t="n"/>
      <c r="P118" s="203" t="n"/>
      <c r="Q118" s="203" t="n"/>
      <c r="R118" s="203" t="n"/>
    </row>
    <row r="119" ht="12.75" customHeight="1" s="204">
      <c r="A119" s="203" t="n"/>
      <c r="B119" s="203" t="n"/>
      <c r="C119" s="203" t="n"/>
      <c r="D119" s="203" t="n"/>
      <c r="E119" s="203" t="n"/>
      <c r="F119" s="203" t="n"/>
      <c r="G119" s="203" t="n"/>
      <c r="H119" s="203" t="n"/>
      <c r="I119" s="203" t="n"/>
      <c r="J119" s="203" t="n"/>
      <c r="K119" s="203" t="n"/>
      <c r="L119" s="203" t="n"/>
      <c r="M119" s="203" t="n"/>
      <c r="N119" s="203" t="n"/>
      <c r="O119" s="203" t="n"/>
      <c r="P119" s="203" t="n"/>
      <c r="Q119" s="203" t="n"/>
      <c r="R119" s="203" t="n"/>
    </row>
    <row r="120" ht="12.75" customHeight="1" s="204">
      <c r="A120" s="203" t="n"/>
      <c r="B120" s="203" t="n"/>
      <c r="C120" s="203" t="n"/>
      <c r="D120" s="203" t="n"/>
      <c r="E120" s="203" t="n"/>
      <c r="F120" s="203" t="n"/>
      <c r="G120" s="203" t="n"/>
      <c r="H120" s="203" t="n"/>
      <c r="I120" s="203" t="n"/>
      <c r="J120" s="203" t="n"/>
      <c r="K120" s="203" t="n"/>
      <c r="L120" s="203" t="n"/>
      <c r="M120" s="203" t="n"/>
      <c r="N120" s="203" t="n"/>
      <c r="O120" s="203" t="n"/>
      <c r="P120" s="203" t="n"/>
      <c r="Q120" s="203" t="n"/>
      <c r="R120" s="203" t="n"/>
    </row>
    <row r="121" ht="12.75" customHeight="1" s="204">
      <c r="A121" s="203" t="n"/>
      <c r="B121" s="203" t="n"/>
      <c r="C121" s="203" t="n"/>
      <c r="D121" s="203" t="n"/>
      <c r="E121" s="203" t="n"/>
      <c r="F121" s="203" t="n"/>
      <c r="G121" s="203" t="n"/>
      <c r="H121" s="203" t="n"/>
      <c r="I121" s="203" t="n"/>
      <c r="J121" s="203" t="n"/>
      <c r="K121" s="203" t="n"/>
      <c r="L121" s="203" t="n"/>
      <c r="M121" s="203" t="n"/>
      <c r="N121" s="203" t="n"/>
      <c r="O121" s="203" t="n"/>
      <c r="P121" s="203" t="n"/>
      <c r="Q121" s="203" t="n"/>
      <c r="R121" s="203" t="n"/>
    </row>
    <row r="122" ht="12.75" customHeight="1" s="204">
      <c r="A122" s="203" t="n"/>
      <c r="B122" s="203" t="n"/>
      <c r="C122" s="203" t="n"/>
      <c r="D122" s="203" t="n"/>
      <c r="E122" s="203" t="n"/>
      <c r="F122" s="203" t="n"/>
      <c r="G122" s="203" t="n"/>
      <c r="H122" s="203" t="n"/>
      <c r="I122" s="203" t="n"/>
      <c r="J122" s="203" t="n"/>
      <c r="K122" s="203" t="n"/>
      <c r="L122" s="203" t="n"/>
      <c r="M122" s="203" t="n"/>
      <c r="N122" s="203" t="n"/>
      <c r="O122" s="203" t="n"/>
      <c r="P122" s="203" t="n"/>
      <c r="Q122" s="203" t="n"/>
      <c r="R122" s="203" t="n"/>
    </row>
    <row r="123" ht="12.75" customHeight="1" s="204">
      <c r="A123" s="203" t="n"/>
      <c r="B123" s="203" t="n"/>
      <c r="C123" s="203" t="n"/>
      <c r="D123" s="203" t="n"/>
      <c r="E123" s="203" t="n"/>
      <c r="F123" s="203" t="n"/>
      <c r="G123" s="203" t="n"/>
      <c r="H123" s="203" t="n"/>
      <c r="I123" s="203" t="n"/>
      <c r="J123" s="203" t="n"/>
      <c r="K123" s="203" t="n"/>
      <c r="L123" s="203" t="n"/>
      <c r="M123" s="203" t="n"/>
      <c r="N123" s="203" t="n"/>
      <c r="O123" s="203" t="n"/>
      <c r="P123" s="203" t="n"/>
      <c r="Q123" s="203" t="n"/>
      <c r="R123" s="203" t="n"/>
    </row>
    <row r="124" ht="12.75" customHeight="1" s="204">
      <c r="A124" s="203" t="n"/>
      <c r="B124" s="203" t="n"/>
      <c r="C124" s="203" t="n"/>
      <c r="D124" s="203" t="n"/>
      <c r="E124" s="203" t="n"/>
      <c r="F124" s="203" t="n"/>
      <c r="G124" s="203" t="n"/>
      <c r="H124" s="203" t="n"/>
      <c r="I124" s="203" t="n"/>
      <c r="J124" s="203" t="n"/>
      <c r="K124" s="203" t="n"/>
      <c r="L124" s="203" t="n"/>
      <c r="M124" s="203" t="n"/>
      <c r="N124" s="203" t="n"/>
      <c r="O124" s="203" t="n"/>
      <c r="P124" s="203" t="n"/>
      <c r="Q124" s="203" t="n"/>
      <c r="R124" s="203" t="n"/>
    </row>
    <row r="125" ht="12.75" customHeight="1" s="204">
      <c r="A125" s="203" t="n"/>
      <c r="B125" s="203" t="n"/>
      <c r="C125" s="203" t="n"/>
      <c r="D125" s="203" t="n"/>
      <c r="E125" s="203" t="n"/>
      <c r="F125" s="203" t="n"/>
      <c r="G125" s="203" t="n"/>
      <c r="H125" s="203" t="n"/>
      <c r="I125" s="203" t="n"/>
      <c r="J125" s="203" t="n"/>
      <c r="K125" s="203" t="n"/>
      <c r="L125" s="203" t="n"/>
      <c r="M125" s="203" t="n"/>
      <c r="N125" s="203" t="n"/>
      <c r="O125" s="203" t="n"/>
      <c r="P125" s="203" t="n"/>
      <c r="Q125" s="203" t="n"/>
      <c r="R125" s="203" t="n"/>
    </row>
    <row r="126" ht="12.75" customHeight="1" s="204">
      <c r="A126" s="203" t="n"/>
      <c r="B126" s="203" t="n"/>
      <c r="C126" s="203" t="n"/>
      <c r="D126" s="203" t="n"/>
      <c r="E126" s="203" t="n"/>
      <c r="F126" s="203" t="n"/>
      <c r="G126" s="203" t="n"/>
      <c r="H126" s="203" t="n"/>
      <c r="I126" s="203" t="n"/>
      <c r="J126" s="203" t="n"/>
      <c r="K126" s="203" t="n"/>
      <c r="L126" s="203" t="n"/>
      <c r="M126" s="203" t="n"/>
      <c r="N126" s="203" t="n"/>
      <c r="O126" s="203" t="n"/>
      <c r="P126" s="203" t="n"/>
      <c r="Q126" s="203" t="n"/>
      <c r="R126" s="203" t="n"/>
    </row>
    <row r="127" ht="12.75" customHeight="1" s="204">
      <c r="A127" s="203" t="n"/>
      <c r="B127" s="203" t="n"/>
      <c r="C127" s="203" t="n"/>
      <c r="D127" s="203" t="n"/>
      <c r="E127" s="203" t="n"/>
      <c r="F127" s="203" t="n"/>
      <c r="G127" s="203" t="n"/>
      <c r="H127" s="203" t="n"/>
      <c r="I127" s="203" t="n"/>
      <c r="J127" s="203" t="n"/>
      <c r="K127" s="203" t="n"/>
      <c r="L127" s="203" t="n"/>
      <c r="M127" s="203" t="n"/>
      <c r="N127" s="203" t="n"/>
      <c r="O127" s="203" t="n"/>
      <c r="P127" s="203" t="n"/>
      <c r="Q127" s="203" t="n"/>
      <c r="R127" s="203" t="n"/>
    </row>
    <row r="128" ht="12.75" customHeight="1" s="204">
      <c r="A128" s="203" t="n"/>
      <c r="B128" s="203" t="n"/>
      <c r="C128" s="203" t="n"/>
      <c r="D128" s="203" t="n"/>
      <c r="E128" s="203" t="n"/>
      <c r="F128" s="203" t="n"/>
      <c r="G128" s="203" t="n"/>
      <c r="H128" s="203" t="n"/>
      <c r="I128" s="203" t="n"/>
      <c r="J128" s="203" t="n"/>
      <c r="K128" s="203" t="n"/>
      <c r="L128" s="203" t="n"/>
      <c r="M128" s="203" t="n"/>
      <c r="N128" s="203" t="n"/>
      <c r="O128" s="203" t="n"/>
      <c r="P128" s="203" t="n"/>
      <c r="Q128" s="203" t="n"/>
      <c r="R128" s="203" t="n"/>
    </row>
    <row r="129" ht="12.75" customHeight="1" s="204">
      <c r="A129" s="203" t="n"/>
      <c r="B129" s="203" t="n"/>
      <c r="C129" s="203" t="n"/>
      <c r="D129" s="203" t="n"/>
      <c r="E129" s="203" t="n"/>
      <c r="F129" s="203" t="n"/>
      <c r="G129" s="203" t="n"/>
      <c r="H129" s="203" t="n"/>
      <c r="I129" s="203" t="n"/>
      <c r="J129" s="203" t="n"/>
      <c r="K129" s="203" t="n"/>
      <c r="L129" s="203" t="n"/>
      <c r="M129" s="203" t="n"/>
      <c r="N129" s="203" t="n"/>
      <c r="O129" s="203" t="n"/>
      <c r="P129" s="203" t="n"/>
      <c r="Q129" s="203" t="n"/>
      <c r="R129" s="203" t="n"/>
    </row>
    <row r="130" ht="12.75" customHeight="1" s="204">
      <c r="A130" s="203" t="n"/>
      <c r="B130" s="203" t="n"/>
      <c r="C130" s="203" t="n"/>
      <c r="D130" s="203" t="n"/>
      <c r="E130" s="203" t="n"/>
      <c r="F130" s="203" t="n"/>
      <c r="G130" s="203" t="n"/>
      <c r="H130" s="203" t="n"/>
      <c r="I130" s="203" t="n"/>
      <c r="J130" s="203" t="n"/>
      <c r="K130" s="203" t="n"/>
      <c r="L130" s="203" t="n"/>
      <c r="M130" s="203" t="n"/>
      <c r="N130" s="203" t="n"/>
      <c r="O130" s="203" t="n"/>
      <c r="P130" s="203" t="n"/>
      <c r="Q130" s="203" t="n"/>
      <c r="R130" s="203" t="n"/>
    </row>
    <row r="131" ht="12.75" customHeight="1" s="204">
      <c r="A131" s="203" t="n"/>
      <c r="B131" s="203" t="n"/>
      <c r="C131" s="203" t="n"/>
      <c r="D131" s="203" t="n"/>
      <c r="E131" s="203" t="n"/>
      <c r="F131" s="203" t="n"/>
      <c r="G131" s="203" t="n"/>
      <c r="H131" s="203" t="n"/>
      <c r="I131" s="203" t="n"/>
      <c r="J131" s="203" t="n"/>
      <c r="K131" s="203" t="n"/>
      <c r="L131" s="203" t="n"/>
      <c r="M131" s="203" t="n"/>
      <c r="N131" s="203" t="n"/>
      <c r="O131" s="203" t="n"/>
      <c r="P131" s="203" t="n"/>
      <c r="Q131" s="203" t="n"/>
      <c r="R131" s="203" t="n"/>
    </row>
    <row r="132" ht="12.75" customHeight="1" s="204">
      <c r="A132" s="203" t="n"/>
      <c r="B132" s="203" t="n"/>
      <c r="C132" s="203" t="n"/>
      <c r="D132" s="203" t="n"/>
      <c r="E132" s="203" t="n"/>
      <c r="F132" s="203" t="n"/>
      <c r="G132" s="203" t="n"/>
      <c r="H132" s="203" t="n"/>
      <c r="I132" s="203" t="n"/>
      <c r="J132" s="203" t="n"/>
      <c r="K132" s="203" t="n"/>
      <c r="L132" s="203" t="n"/>
      <c r="M132" s="203" t="n"/>
      <c r="N132" s="203" t="n"/>
      <c r="O132" s="203" t="n"/>
      <c r="P132" s="203" t="n"/>
      <c r="Q132" s="203" t="n"/>
      <c r="R132" s="203" t="n"/>
    </row>
    <row r="133" ht="12.75" customHeight="1" s="204">
      <c r="A133" s="203" t="n"/>
      <c r="B133" s="203" t="n"/>
      <c r="C133" s="203" t="n"/>
      <c r="D133" s="203" t="n"/>
      <c r="E133" s="203" t="n"/>
      <c r="F133" s="203" t="n"/>
      <c r="G133" s="203" t="n"/>
      <c r="H133" s="203" t="n"/>
      <c r="I133" s="203" t="n"/>
      <c r="J133" s="203" t="n"/>
      <c r="K133" s="203" t="n"/>
      <c r="L133" s="203" t="n"/>
      <c r="M133" s="203" t="n"/>
      <c r="N133" s="203" t="n"/>
      <c r="O133" s="203" t="n"/>
      <c r="P133" s="203" t="n"/>
      <c r="Q133" s="203" t="n"/>
      <c r="R133" s="203" t="n"/>
    </row>
    <row r="134" ht="12.75" customHeight="1" s="204">
      <c r="A134" s="203" t="n"/>
      <c r="B134" s="203" t="n"/>
      <c r="C134" s="203" t="n"/>
      <c r="D134" s="203" t="n"/>
      <c r="E134" s="203" t="n"/>
      <c r="F134" s="203" t="n"/>
      <c r="G134" s="203" t="n"/>
      <c r="H134" s="203" t="n"/>
      <c r="I134" s="203" t="n"/>
      <c r="J134" s="203" t="n"/>
      <c r="K134" s="203" t="n"/>
      <c r="L134" s="203" t="n"/>
      <c r="M134" s="203" t="n"/>
      <c r="N134" s="203" t="n"/>
      <c r="O134" s="203" t="n"/>
      <c r="P134" s="203" t="n"/>
      <c r="Q134" s="203" t="n"/>
      <c r="R134" s="203" t="n"/>
    </row>
    <row r="135" ht="12.75" customHeight="1" s="204">
      <c r="A135" s="203" t="n"/>
      <c r="B135" s="203" t="n"/>
      <c r="C135" s="203" t="n"/>
      <c r="D135" s="203" t="n"/>
      <c r="E135" s="203" t="n"/>
      <c r="F135" s="203" t="n"/>
      <c r="G135" s="203" t="n"/>
      <c r="H135" s="203" t="n"/>
      <c r="I135" s="203" t="n"/>
      <c r="J135" s="203" t="n"/>
      <c r="K135" s="203" t="n"/>
      <c r="L135" s="203" t="n"/>
      <c r="M135" s="203" t="n"/>
      <c r="N135" s="203" t="n"/>
      <c r="O135" s="203" t="n"/>
      <c r="P135" s="203" t="n"/>
      <c r="Q135" s="203" t="n"/>
      <c r="R135" s="203" t="n"/>
    </row>
    <row r="136" ht="12.75" customHeight="1" s="204">
      <c r="A136" s="203" t="n"/>
      <c r="B136" s="203" t="n"/>
      <c r="C136" s="203" t="n"/>
      <c r="D136" s="203" t="n"/>
      <c r="E136" s="203" t="n"/>
      <c r="F136" s="203" t="n"/>
      <c r="G136" s="203" t="n"/>
      <c r="H136" s="203" t="n"/>
      <c r="I136" s="203" t="n"/>
      <c r="J136" s="203" t="n"/>
      <c r="K136" s="203" t="n"/>
      <c r="L136" s="203" t="n"/>
      <c r="M136" s="203" t="n"/>
      <c r="N136" s="203" t="n"/>
      <c r="O136" s="203" t="n"/>
      <c r="P136" s="203" t="n"/>
      <c r="Q136" s="203" t="n"/>
      <c r="R136" s="203" t="n"/>
    </row>
    <row r="137" ht="12.75" customHeight="1" s="204">
      <c r="A137" s="203" t="n"/>
      <c r="B137" s="203" t="n"/>
      <c r="C137" s="203" t="n"/>
      <c r="D137" s="203" t="n"/>
      <c r="E137" s="203" t="n"/>
      <c r="F137" s="203" t="n"/>
      <c r="G137" s="203" t="n"/>
      <c r="H137" s="203" t="n"/>
      <c r="I137" s="203" t="n"/>
      <c r="J137" s="203" t="n"/>
      <c r="K137" s="203" t="n"/>
      <c r="L137" s="203" t="n"/>
      <c r="M137" s="203" t="n"/>
      <c r="N137" s="203" t="n"/>
      <c r="O137" s="203" t="n"/>
      <c r="P137" s="203" t="n"/>
      <c r="Q137" s="203" t="n"/>
      <c r="R137" s="203" t="n"/>
    </row>
    <row r="138" ht="12.75" customHeight="1" s="204">
      <c r="A138" s="203" t="n"/>
      <c r="B138" s="203" t="n"/>
      <c r="C138" s="203" t="n"/>
      <c r="D138" s="203" t="n"/>
      <c r="E138" s="203" t="n"/>
      <c r="F138" s="203" t="n"/>
      <c r="G138" s="203" t="n"/>
      <c r="H138" s="203" t="n"/>
      <c r="I138" s="203" t="n"/>
      <c r="J138" s="203" t="n"/>
      <c r="K138" s="203" t="n"/>
      <c r="L138" s="203" t="n"/>
      <c r="M138" s="203" t="n"/>
      <c r="N138" s="203" t="n"/>
      <c r="O138" s="203" t="n"/>
      <c r="P138" s="203" t="n"/>
      <c r="Q138" s="203" t="n"/>
      <c r="R138" s="203" t="n"/>
    </row>
    <row r="139" ht="12.75" customHeight="1" s="204">
      <c r="A139" s="203" t="n"/>
      <c r="B139" s="203" t="n"/>
      <c r="C139" s="203" t="n"/>
      <c r="D139" s="203" t="n"/>
      <c r="E139" s="203" t="n"/>
      <c r="F139" s="203" t="n"/>
      <c r="G139" s="203" t="n"/>
      <c r="H139" s="203" t="n"/>
      <c r="I139" s="203" t="n"/>
      <c r="J139" s="203" t="n"/>
      <c r="K139" s="203" t="n"/>
      <c r="L139" s="203" t="n"/>
      <c r="M139" s="203" t="n"/>
      <c r="N139" s="203" t="n"/>
      <c r="O139" s="203" t="n"/>
      <c r="P139" s="203" t="n"/>
      <c r="Q139" s="203" t="n"/>
      <c r="R139" s="203" t="n"/>
    </row>
    <row r="140" ht="12.75" customHeight="1" s="204">
      <c r="A140" s="203" t="n"/>
      <c r="B140" s="203" t="n"/>
      <c r="C140" s="203" t="n"/>
      <c r="D140" s="203" t="n"/>
      <c r="E140" s="203" t="n"/>
      <c r="F140" s="203" t="n"/>
      <c r="G140" s="203" t="n"/>
      <c r="H140" s="203" t="n"/>
      <c r="I140" s="203" t="n"/>
      <c r="J140" s="203" t="n"/>
      <c r="K140" s="203" t="n"/>
      <c r="L140" s="203" t="n"/>
      <c r="M140" s="203" t="n"/>
      <c r="N140" s="203" t="n"/>
      <c r="O140" s="203" t="n"/>
      <c r="P140" s="203" t="n"/>
      <c r="Q140" s="203" t="n"/>
      <c r="R140" s="203" t="n"/>
    </row>
    <row r="141" ht="12.75" customHeight="1" s="204">
      <c r="A141" s="203" t="n"/>
      <c r="B141" s="203" t="n"/>
      <c r="C141" s="203" t="n"/>
      <c r="D141" s="203" t="n"/>
      <c r="E141" s="203" t="n"/>
      <c r="F141" s="203" t="n"/>
      <c r="G141" s="203" t="n"/>
      <c r="H141" s="203" t="n"/>
      <c r="I141" s="203" t="n"/>
      <c r="J141" s="203" t="n"/>
      <c r="K141" s="203" t="n"/>
      <c r="L141" s="203" t="n"/>
      <c r="M141" s="203" t="n"/>
      <c r="N141" s="203" t="n"/>
      <c r="O141" s="203" t="n"/>
      <c r="P141" s="203" t="n"/>
      <c r="Q141" s="203" t="n"/>
      <c r="R141" s="203" t="n"/>
    </row>
    <row r="142" ht="12.75" customHeight="1" s="204">
      <c r="A142" s="203" t="n"/>
      <c r="B142" s="203" t="n"/>
      <c r="C142" s="203" t="n"/>
      <c r="D142" s="203" t="n"/>
      <c r="E142" s="203" t="n"/>
      <c r="F142" s="203" t="n"/>
      <c r="G142" s="203" t="n"/>
      <c r="H142" s="203" t="n"/>
      <c r="I142" s="203" t="n"/>
      <c r="J142" s="203" t="n"/>
      <c r="K142" s="203" t="n"/>
      <c r="L142" s="203" t="n"/>
      <c r="M142" s="203" t="n"/>
      <c r="N142" s="203" t="n"/>
      <c r="O142" s="203" t="n"/>
      <c r="P142" s="203" t="n"/>
      <c r="Q142" s="203" t="n"/>
      <c r="R142" s="203" t="n"/>
    </row>
    <row r="143" ht="12.75" customHeight="1" s="204">
      <c r="A143" s="203" t="n"/>
      <c r="B143" s="203" t="n"/>
      <c r="C143" s="203" t="n"/>
      <c r="D143" s="203" t="n"/>
      <c r="E143" s="203" t="n"/>
      <c r="F143" s="203" t="n"/>
      <c r="G143" s="203" t="n"/>
      <c r="H143" s="203" t="n"/>
      <c r="I143" s="203" t="n"/>
      <c r="J143" s="203" t="n"/>
      <c r="K143" s="203" t="n"/>
      <c r="L143" s="203" t="n"/>
      <c r="M143" s="203" t="n"/>
      <c r="N143" s="203" t="n"/>
      <c r="O143" s="203" t="n"/>
      <c r="P143" s="203" t="n"/>
      <c r="Q143" s="203" t="n"/>
      <c r="R143" s="203" t="n"/>
    </row>
    <row r="144" ht="12.75" customHeight="1" s="204">
      <c r="A144" s="203" t="n"/>
      <c r="B144" s="203" t="n"/>
      <c r="C144" s="203" t="n"/>
      <c r="D144" s="203" t="n"/>
      <c r="E144" s="203" t="n"/>
      <c r="F144" s="203" t="n"/>
      <c r="G144" s="203" t="n"/>
      <c r="H144" s="203" t="n"/>
      <c r="I144" s="203" t="n"/>
      <c r="J144" s="203" t="n"/>
      <c r="K144" s="203" t="n"/>
      <c r="L144" s="203" t="n"/>
      <c r="M144" s="203" t="n"/>
      <c r="N144" s="203" t="n"/>
      <c r="O144" s="203" t="n"/>
      <c r="P144" s="203" t="n"/>
      <c r="Q144" s="203" t="n"/>
      <c r="R144" s="203" t="n"/>
    </row>
    <row r="145" ht="12.75" customHeight="1" s="204">
      <c r="A145" s="203" t="n"/>
      <c r="B145" s="203" t="n"/>
      <c r="C145" s="203" t="n"/>
      <c r="D145" s="203" t="n"/>
      <c r="E145" s="203" t="n"/>
      <c r="F145" s="203" t="n"/>
      <c r="G145" s="203" t="n"/>
      <c r="H145" s="203" t="n"/>
      <c r="I145" s="203" t="n"/>
      <c r="J145" s="203" t="n"/>
      <c r="K145" s="203" t="n"/>
      <c r="L145" s="203" t="n"/>
      <c r="M145" s="203" t="n"/>
      <c r="N145" s="203" t="n"/>
      <c r="O145" s="203" t="n"/>
      <c r="P145" s="203" t="n"/>
      <c r="Q145" s="203" t="n"/>
      <c r="R145" s="203" t="n"/>
    </row>
    <row r="146" ht="12.75" customHeight="1" s="204">
      <c r="A146" s="203" t="n"/>
      <c r="B146" s="203" t="n"/>
      <c r="C146" s="203" t="n"/>
      <c r="D146" s="203" t="n"/>
      <c r="E146" s="203" t="n"/>
      <c r="F146" s="203" t="n"/>
      <c r="G146" s="203" t="n"/>
      <c r="H146" s="203" t="n"/>
      <c r="I146" s="203" t="n"/>
      <c r="J146" s="203" t="n"/>
      <c r="K146" s="203" t="n"/>
      <c r="L146" s="203" t="n"/>
      <c r="M146" s="203" t="n"/>
      <c r="N146" s="203" t="n"/>
      <c r="O146" s="203" t="n"/>
      <c r="P146" s="203" t="n"/>
      <c r="Q146" s="203" t="n"/>
      <c r="R146" s="203" t="n"/>
    </row>
    <row r="147" ht="12.75" customHeight="1" s="204">
      <c r="A147" s="203" t="n"/>
      <c r="B147" s="203" t="n"/>
      <c r="C147" s="203" t="n"/>
      <c r="D147" s="203" t="n"/>
      <c r="E147" s="203" t="n"/>
      <c r="F147" s="203" t="n"/>
      <c r="G147" s="203" t="n"/>
      <c r="H147" s="203" t="n"/>
      <c r="I147" s="203" t="n"/>
      <c r="J147" s="203" t="n"/>
      <c r="K147" s="203" t="n"/>
      <c r="L147" s="203" t="n"/>
      <c r="M147" s="203" t="n"/>
      <c r="N147" s="203" t="n"/>
      <c r="O147" s="203" t="n"/>
      <c r="P147" s="203" t="n"/>
      <c r="Q147" s="203" t="n"/>
      <c r="R147" s="203" t="n"/>
    </row>
    <row r="148" ht="12.75" customHeight="1" s="204">
      <c r="A148" s="203" t="n"/>
      <c r="B148" s="203" t="n"/>
      <c r="C148" s="203" t="n"/>
      <c r="D148" s="203" t="n"/>
      <c r="E148" s="203" t="n"/>
      <c r="F148" s="203" t="n"/>
      <c r="G148" s="203" t="n"/>
      <c r="H148" s="203" t="n"/>
      <c r="I148" s="203" t="n"/>
      <c r="J148" s="203" t="n"/>
      <c r="K148" s="203" t="n"/>
      <c r="L148" s="203" t="n"/>
      <c r="M148" s="203" t="n"/>
      <c r="N148" s="203" t="n"/>
      <c r="O148" s="203" t="n"/>
      <c r="P148" s="203" t="n"/>
      <c r="Q148" s="203" t="n"/>
      <c r="R148" s="203" t="n"/>
    </row>
    <row r="149" ht="12.75" customHeight="1" s="204">
      <c r="A149" s="203" t="n"/>
      <c r="B149" s="203" t="n"/>
      <c r="C149" s="203" t="n"/>
      <c r="D149" s="203" t="n"/>
      <c r="E149" s="203" t="n"/>
      <c r="F149" s="203" t="n"/>
      <c r="G149" s="203" t="n"/>
      <c r="H149" s="203" t="n"/>
      <c r="I149" s="203" t="n"/>
      <c r="J149" s="203" t="n"/>
      <c r="K149" s="203" t="n"/>
      <c r="L149" s="203" t="n"/>
      <c r="M149" s="203" t="n"/>
      <c r="N149" s="203" t="n"/>
      <c r="O149" s="203" t="n"/>
      <c r="P149" s="203" t="n"/>
      <c r="Q149" s="203" t="n"/>
      <c r="R149" s="203" t="n"/>
    </row>
    <row r="150" ht="12.75" customHeight="1" s="204">
      <c r="A150" s="203" t="n"/>
      <c r="B150" s="203" t="n"/>
      <c r="C150" s="203" t="n"/>
      <c r="D150" s="203" t="n"/>
      <c r="E150" s="203" t="n"/>
      <c r="F150" s="203" t="n"/>
      <c r="G150" s="203" t="n"/>
      <c r="H150" s="203" t="n"/>
      <c r="I150" s="203" t="n"/>
      <c r="J150" s="203" t="n"/>
      <c r="K150" s="203" t="n"/>
      <c r="L150" s="203" t="n"/>
      <c r="M150" s="203" t="n"/>
      <c r="N150" s="203" t="n"/>
      <c r="O150" s="203" t="n"/>
      <c r="P150" s="203" t="n"/>
      <c r="Q150" s="203" t="n"/>
      <c r="R150" s="203" t="n"/>
    </row>
    <row r="151" ht="12.75" customHeight="1" s="204">
      <c r="A151" s="203" t="n"/>
      <c r="B151" s="203" t="n"/>
      <c r="C151" s="203" t="n"/>
      <c r="D151" s="203" t="n"/>
      <c r="E151" s="203" t="n"/>
      <c r="F151" s="203" t="n"/>
      <c r="G151" s="203" t="n"/>
      <c r="H151" s="203" t="n"/>
      <c r="I151" s="203" t="n"/>
      <c r="J151" s="203" t="n"/>
      <c r="K151" s="203" t="n"/>
      <c r="L151" s="203" t="n"/>
      <c r="M151" s="203" t="n"/>
      <c r="N151" s="203" t="n"/>
      <c r="O151" s="203" t="n"/>
      <c r="P151" s="203" t="n"/>
      <c r="Q151" s="203" t="n"/>
      <c r="R151" s="203" t="n"/>
    </row>
    <row r="152" ht="12.75" customHeight="1" s="204">
      <c r="A152" s="203" t="n"/>
      <c r="B152" s="203" t="n"/>
      <c r="C152" s="203" t="n"/>
      <c r="D152" s="203" t="n"/>
      <c r="E152" s="203" t="n"/>
      <c r="F152" s="203" t="n"/>
      <c r="G152" s="203" t="n"/>
      <c r="H152" s="203" t="n"/>
      <c r="I152" s="203" t="n"/>
      <c r="J152" s="203" t="n"/>
      <c r="K152" s="203" t="n"/>
      <c r="L152" s="203" t="n"/>
      <c r="M152" s="203" t="n"/>
      <c r="N152" s="203" t="n"/>
      <c r="O152" s="203" t="n"/>
      <c r="P152" s="203" t="n"/>
      <c r="Q152" s="203" t="n"/>
      <c r="R152" s="203" t="n"/>
    </row>
    <row r="153" ht="12.75" customHeight="1" s="204">
      <c r="A153" s="203" t="n"/>
      <c r="B153" s="203" t="n"/>
      <c r="C153" s="203" t="n"/>
      <c r="D153" s="203" t="n"/>
      <c r="E153" s="203" t="n"/>
      <c r="F153" s="203" t="n"/>
      <c r="G153" s="203" t="n"/>
      <c r="H153" s="203" t="n"/>
      <c r="I153" s="203" t="n"/>
      <c r="J153" s="203" t="n"/>
      <c r="K153" s="203" t="n"/>
      <c r="L153" s="203" t="n"/>
      <c r="M153" s="203" t="n"/>
      <c r="N153" s="203" t="n"/>
      <c r="O153" s="203" t="n"/>
      <c r="P153" s="203" t="n"/>
      <c r="Q153" s="203" t="n"/>
      <c r="R153" s="203" t="n"/>
    </row>
    <row r="154" ht="12.75" customHeight="1" s="204">
      <c r="A154" s="203" t="n"/>
      <c r="B154" s="203" t="n"/>
      <c r="C154" s="203" t="n"/>
      <c r="D154" s="203" t="n"/>
      <c r="E154" s="203" t="n"/>
      <c r="F154" s="203" t="n"/>
      <c r="G154" s="203" t="n"/>
      <c r="H154" s="203" t="n"/>
      <c r="I154" s="203" t="n"/>
      <c r="J154" s="203" t="n"/>
      <c r="K154" s="203" t="n"/>
      <c r="L154" s="203" t="n"/>
      <c r="M154" s="203" t="n"/>
      <c r="N154" s="203" t="n"/>
      <c r="O154" s="203" t="n"/>
      <c r="P154" s="203" t="n"/>
      <c r="Q154" s="203" t="n"/>
      <c r="R154" s="203" t="n"/>
    </row>
    <row r="155" ht="12.75" customHeight="1" s="204">
      <c r="A155" s="203" t="n"/>
      <c r="B155" s="203" t="n"/>
      <c r="C155" s="203" t="n"/>
      <c r="D155" s="203" t="n"/>
      <c r="E155" s="203" t="n"/>
      <c r="F155" s="203" t="n"/>
      <c r="G155" s="203" t="n"/>
      <c r="H155" s="203" t="n"/>
      <c r="I155" s="203" t="n"/>
      <c r="J155" s="203" t="n"/>
      <c r="K155" s="203" t="n"/>
      <c r="L155" s="203" t="n"/>
      <c r="M155" s="203" t="n"/>
      <c r="N155" s="203" t="n"/>
      <c r="O155" s="203" t="n"/>
      <c r="P155" s="203" t="n"/>
      <c r="Q155" s="203" t="n"/>
      <c r="R155" s="203" t="n"/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</row>
    <row r="933" ht="12.75" customHeight="1" s="204">
      <c r="A933" s="203" t="n"/>
      <c r="B933" s="203" t="n"/>
      <c r="C933" s="203" t="n"/>
      <c r="D933" s="203" t="n"/>
      <c r="E933" s="203" t="n"/>
      <c r="F933" s="203" t="n"/>
      <c r="G933" s="203" t="n"/>
      <c r="H933" s="203" t="n"/>
      <c r="I933" s="203" t="n"/>
      <c r="J933" s="203" t="n"/>
      <c r="K933" s="203" t="n"/>
      <c r="L933" s="203" t="n"/>
      <c r="M933" s="203" t="n"/>
      <c r="N933" s="203" t="n"/>
      <c r="O933" s="203" t="n"/>
      <c r="P933" s="203" t="n"/>
      <c r="Q933" s="203" t="n"/>
      <c r="R933" s="203" t="n"/>
    </row>
    <row r="934" ht="12.75" customHeight="1" s="204">
      <c r="A934" s="203" t="n"/>
      <c r="B934" s="203" t="n"/>
      <c r="C934" s="203" t="n"/>
      <c r="D934" s="203" t="n"/>
      <c r="E934" s="203" t="n"/>
      <c r="F934" s="203" t="n"/>
      <c r="G934" s="203" t="n"/>
      <c r="H934" s="203" t="n"/>
      <c r="I934" s="203" t="n"/>
      <c r="J934" s="203" t="n"/>
      <c r="K934" s="203" t="n"/>
      <c r="L934" s="203" t="n"/>
      <c r="M934" s="203" t="n"/>
      <c r="N934" s="203" t="n"/>
      <c r="O934" s="203" t="n"/>
      <c r="P934" s="203" t="n"/>
      <c r="Q934" s="203" t="n"/>
      <c r="R934" s="203" t="n"/>
    </row>
    <row r="935" ht="12.75" customHeight="1" s="204">
      <c r="A935" s="203" t="n"/>
      <c r="B935" s="203" t="n"/>
      <c r="C935" s="203" t="n"/>
      <c r="D935" s="203" t="n"/>
      <c r="E935" s="203" t="n"/>
      <c r="F935" s="203" t="n"/>
      <c r="G935" s="203" t="n"/>
      <c r="H935" s="203" t="n"/>
      <c r="I935" s="203" t="n"/>
      <c r="J935" s="203" t="n"/>
      <c r="K935" s="203" t="n"/>
      <c r="L935" s="203" t="n"/>
      <c r="M935" s="203" t="n"/>
      <c r="N935" s="203" t="n"/>
      <c r="O935" s="203" t="n"/>
      <c r="P935" s="203" t="n"/>
      <c r="Q935" s="203" t="n"/>
      <c r="R935" s="203" t="n"/>
    </row>
    <row r="936" ht="12.75" customHeight="1" s="204">
      <c r="A936" s="203" t="n"/>
      <c r="B936" s="203" t="n"/>
      <c r="C936" s="203" t="n"/>
      <c r="D936" s="203" t="n"/>
      <c r="E936" s="203" t="n"/>
      <c r="F936" s="203" t="n"/>
      <c r="G936" s="203" t="n"/>
      <c r="H936" s="203" t="n"/>
      <c r="I936" s="203" t="n"/>
      <c r="J936" s="203" t="n"/>
      <c r="K936" s="203" t="n"/>
      <c r="L936" s="203" t="n"/>
      <c r="M936" s="203" t="n"/>
      <c r="N936" s="203" t="n"/>
      <c r="O936" s="203" t="n"/>
      <c r="P936" s="203" t="n"/>
      <c r="Q936" s="203" t="n"/>
      <c r="R936" s="203" t="n"/>
    </row>
    <row r="937" ht="12.75" customHeight="1" s="204">
      <c r="A937" s="203" t="n"/>
      <c r="B937" s="203" t="n"/>
      <c r="C937" s="203" t="n"/>
      <c r="D937" s="203" t="n"/>
      <c r="E937" s="203" t="n"/>
      <c r="F937" s="203" t="n"/>
      <c r="G937" s="203" t="n"/>
      <c r="H937" s="203" t="n"/>
      <c r="I937" s="203" t="n"/>
      <c r="J937" s="203" t="n"/>
      <c r="K937" s="203" t="n"/>
      <c r="L937" s="203" t="n"/>
      <c r="M937" s="203" t="n"/>
      <c r="N937" s="203" t="n"/>
      <c r="O937" s="203" t="n"/>
      <c r="P937" s="203" t="n"/>
      <c r="Q937" s="203" t="n"/>
      <c r="R937" s="203" t="n"/>
    </row>
    <row r="938" ht="12.75" customHeight="1" s="204">
      <c r="A938" s="203" t="n"/>
      <c r="B938" s="203" t="n"/>
      <c r="C938" s="203" t="n"/>
      <c r="D938" s="203" t="n"/>
      <c r="E938" s="203" t="n"/>
      <c r="F938" s="203" t="n"/>
      <c r="G938" s="203" t="n"/>
      <c r="H938" s="203" t="n"/>
      <c r="I938" s="203" t="n"/>
      <c r="J938" s="203" t="n"/>
      <c r="K938" s="203" t="n"/>
      <c r="L938" s="203" t="n"/>
      <c r="M938" s="203" t="n"/>
      <c r="N938" s="203" t="n"/>
      <c r="O938" s="203" t="n"/>
      <c r="P938" s="203" t="n"/>
      <c r="Q938" s="203" t="n"/>
      <c r="R938" s="203" t="n"/>
    </row>
    <row r="939" ht="12.75" customHeight="1" s="204">
      <c r="A939" s="203" t="n"/>
      <c r="B939" s="203" t="n"/>
      <c r="C939" s="203" t="n"/>
      <c r="D939" s="203" t="n"/>
      <c r="E939" s="203" t="n"/>
      <c r="F939" s="203" t="n"/>
      <c r="G939" s="203" t="n"/>
      <c r="H939" s="203" t="n"/>
      <c r="I939" s="203" t="n"/>
      <c r="J939" s="203" t="n"/>
      <c r="K939" s="203" t="n"/>
      <c r="L939" s="203" t="n"/>
      <c r="M939" s="203" t="n"/>
      <c r="N939" s="203" t="n"/>
      <c r="O939" s="203" t="n"/>
      <c r="P939" s="203" t="n"/>
      <c r="Q939" s="203" t="n"/>
      <c r="R939" s="203" t="n"/>
    </row>
    <row r="940" ht="12.75" customHeight="1" s="204">
      <c r="A940" s="203" t="n"/>
      <c r="B940" s="203" t="n"/>
      <c r="C940" s="203" t="n"/>
      <c r="D940" s="203" t="n"/>
      <c r="E940" s="203" t="n"/>
      <c r="F940" s="203" t="n"/>
      <c r="G940" s="203" t="n"/>
      <c r="H940" s="203" t="n"/>
      <c r="I940" s="203" t="n"/>
      <c r="J940" s="203" t="n"/>
      <c r="K940" s="203" t="n"/>
      <c r="L940" s="203" t="n"/>
      <c r="M940" s="203" t="n"/>
      <c r="N940" s="203" t="n"/>
      <c r="O940" s="203" t="n"/>
      <c r="P940" s="203" t="n"/>
      <c r="Q940" s="203" t="n"/>
      <c r="R940" s="203" t="n"/>
    </row>
    <row r="941" ht="12.75" customHeight="1" s="204">
      <c r="A941" s="203" t="n"/>
      <c r="B941" s="203" t="n"/>
      <c r="C941" s="203" t="n"/>
      <c r="D941" s="203" t="n"/>
      <c r="E941" s="203" t="n"/>
      <c r="F941" s="203" t="n"/>
      <c r="G941" s="203" t="n"/>
      <c r="H941" s="203" t="n"/>
      <c r="I941" s="203" t="n"/>
      <c r="J941" s="203" t="n"/>
      <c r="K941" s="203" t="n"/>
      <c r="L941" s="203" t="n"/>
      <c r="M941" s="203" t="n"/>
      <c r="N941" s="203" t="n"/>
      <c r="O941" s="203" t="n"/>
      <c r="P941" s="203" t="n"/>
      <c r="Q941" s="203" t="n"/>
      <c r="R941" s="203" t="n"/>
    </row>
    <row r="942" ht="12.75" customHeight="1" s="204">
      <c r="A942" s="203" t="n"/>
      <c r="B942" s="203" t="n"/>
      <c r="C942" s="203" t="n"/>
      <c r="D942" s="203" t="n"/>
      <c r="E942" s="203" t="n"/>
      <c r="F942" s="203" t="n"/>
      <c r="G942" s="203" t="n"/>
      <c r="H942" s="203" t="n"/>
      <c r="I942" s="203" t="n"/>
      <c r="J942" s="203" t="n"/>
      <c r="K942" s="203" t="n"/>
      <c r="L942" s="203" t="n"/>
      <c r="M942" s="203" t="n"/>
      <c r="N942" s="203" t="n"/>
      <c r="O942" s="203" t="n"/>
      <c r="P942" s="203" t="n"/>
      <c r="Q942" s="203" t="n"/>
      <c r="R942" s="203" t="n"/>
    </row>
    <row r="943" ht="12.75" customHeight="1" s="204">
      <c r="A943" s="203" t="n"/>
      <c r="B943" s="203" t="n"/>
      <c r="C943" s="203" t="n"/>
      <c r="D943" s="203" t="n"/>
      <c r="E943" s="203" t="n"/>
      <c r="F943" s="203" t="n"/>
      <c r="G943" s="203" t="n"/>
      <c r="H943" s="203" t="n"/>
      <c r="I943" s="203" t="n"/>
      <c r="J943" s="203" t="n"/>
      <c r="K943" s="203" t="n"/>
      <c r="L943" s="203" t="n"/>
      <c r="M943" s="203" t="n"/>
      <c r="N943" s="203" t="n"/>
      <c r="O943" s="203" t="n"/>
      <c r="P943" s="203" t="n"/>
      <c r="Q943" s="203" t="n"/>
      <c r="R943" s="203" t="n"/>
    </row>
    <row r="944" ht="12.75" customHeight="1" s="204">
      <c r="A944" s="203" t="n"/>
      <c r="B944" s="203" t="n"/>
      <c r="C944" s="203" t="n"/>
      <c r="D944" s="203" t="n"/>
      <c r="E944" s="203" t="n"/>
      <c r="F944" s="203" t="n"/>
      <c r="G944" s="203" t="n"/>
      <c r="H944" s="203" t="n"/>
      <c r="I944" s="203" t="n"/>
      <c r="J944" s="203" t="n"/>
      <c r="K944" s="203" t="n"/>
      <c r="L944" s="203" t="n"/>
      <c r="M944" s="203" t="n"/>
      <c r="N944" s="203" t="n"/>
      <c r="O944" s="203" t="n"/>
      <c r="P944" s="203" t="n"/>
      <c r="Q944" s="203" t="n"/>
      <c r="R944" s="203" t="n"/>
    </row>
    <row r="945" ht="12.75" customHeight="1" s="204">
      <c r="A945" s="203" t="n"/>
      <c r="B945" s="203" t="n"/>
      <c r="C945" s="203" t="n"/>
      <c r="D945" s="203" t="n"/>
      <c r="E945" s="203" t="n"/>
      <c r="F945" s="203" t="n"/>
      <c r="G945" s="203" t="n"/>
      <c r="H945" s="203" t="n"/>
      <c r="I945" s="203" t="n"/>
      <c r="J945" s="203" t="n"/>
      <c r="K945" s="203" t="n"/>
      <c r="L945" s="203" t="n"/>
      <c r="M945" s="203" t="n"/>
      <c r="N945" s="203" t="n"/>
      <c r="O945" s="203" t="n"/>
      <c r="P945" s="203" t="n"/>
      <c r="Q945" s="203" t="n"/>
      <c r="R945" s="203" t="n"/>
    </row>
    <row r="946" ht="12.75" customHeight="1" s="204">
      <c r="A946" s="203" t="n"/>
      <c r="B946" s="203" t="n"/>
      <c r="C946" s="203" t="n"/>
      <c r="D946" s="203" t="n"/>
      <c r="E946" s="203" t="n"/>
      <c r="F946" s="203" t="n"/>
      <c r="G946" s="203" t="n"/>
      <c r="H946" s="203" t="n"/>
      <c r="I946" s="203" t="n"/>
      <c r="J946" s="203" t="n"/>
      <c r="K946" s="203" t="n"/>
      <c r="L946" s="203" t="n"/>
      <c r="M946" s="203" t="n"/>
      <c r="N946" s="203" t="n"/>
      <c r="O946" s="203" t="n"/>
      <c r="P946" s="203" t="n"/>
      <c r="Q946" s="203" t="n"/>
      <c r="R946" s="203" t="n"/>
    </row>
    <row r="947" ht="12.75" customHeight="1" s="204">
      <c r="A947" s="203" t="n"/>
      <c r="B947" s="203" t="n"/>
      <c r="C947" s="203" t="n"/>
      <c r="D947" s="203" t="n"/>
      <c r="E947" s="203" t="n"/>
      <c r="F947" s="203" t="n"/>
      <c r="G947" s="203" t="n"/>
      <c r="H947" s="203" t="n"/>
      <c r="I947" s="203" t="n"/>
      <c r="J947" s="203" t="n"/>
      <c r="K947" s="203" t="n"/>
      <c r="L947" s="203" t="n"/>
      <c r="M947" s="203" t="n"/>
      <c r="N947" s="203" t="n"/>
      <c r="O947" s="203" t="n"/>
      <c r="P947" s="203" t="n"/>
      <c r="Q947" s="203" t="n"/>
      <c r="R947" s="203" t="n"/>
    </row>
    <row r="948" ht="12.75" customHeight="1" s="204">
      <c r="A948" s="203" t="n"/>
      <c r="B948" s="203" t="n"/>
      <c r="C948" s="203" t="n"/>
      <c r="D948" s="203" t="n"/>
      <c r="E948" s="203" t="n"/>
      <c r="F948" s="203" t="n"/>
      <c r="G948" s="203" t="n"/>
      <c r="H948" s="203" t="n"/>
      <c r="I948" s="203" t="n"/>
      <c r="J948" s="203" t="n"/>
      <c r="K948" s="203" t="n"/>
      <c r="L948" s="203" t="n"/>
      <c r="M948" s="203" t="n"/>
      <c r="N948" s="203" t="n"/>
      <c r="O948" s="203" t="n"/>
      <c r="P948" s="203" t="n"/>
      <c r="Q948" s="203" t="n"/>
      <c r="R948" s="203" t="n"/>
    </row>
    <row r="949" ht="12.75" customHeight="1" s="204">
      <c r="A949" s="203" t="n"/>
      <c r="B949" s="203" t="n"/>
      <c r="C949" s="203" t="n"/>
      <c r="D949" s="203" t="n"/>
      <c r="E949" s="203" t="n"/>
      <c r="F949" s="203" t="n"/>
      <c r="G949" s="203" t="n"/>
      <c r="H949" s="203" t="n"/>
      <c r="I949" s="203" t="n"/>
      <c r="J949" s="203" t="n"/>
      <c r="K949" s="203" t="n"/>
      <c r="L949" s="203" t="n"/>
      <c r="M949" s="203" t="n"/>
      <c r="N949" s="203" t="n"/>
      <c r="O949" s="203" t="n"/>
      <c r="P949" s="203" t="n"/>
      <c r="Q949" s="203" t="n"/>
      <c r="R949" s="203" t="n"/>
    </row>
    <row r="950" ht="12.75" customHeight="1" s="204">
      <c r="A950" s="203" t="n"/>
      <c r="B950" s="203" t="n"/>
      <c r="C950" s="203" t="n"/>
      <c r="D950" s="203" t="n"/>
      <c r="E950" s="203" t="n"/>
      <c r="F950" s="203" t="n"/>
      <c r="G950" s="203" t="n"/>
      <c r="H950" s="203" t="n"/>
      <c r="I950" s="203" t="n"/>
      <c r="J950" s="203" t="n"/>
      <c r="K950" s="203" t="n"/>
      <c r="L950" s="203" t="n"/>
      <c r="M950" s="203" t="n"/>
      <c r="N950" s="203" t="n"/>
      <c r="O950" s="203" t="n"/>
      <c r="P950" s="203" t="n"/>
      <c r="Q950" s="203" t="n"/>
      <c r="R950" s="203" t="n"/>
    </row>
    <row r="951" ht="12.75" customHeight="1" s="204">
      <c r="A951" s="203" t="n"/>
      <c r="B951" s="203" t="n"/>
      <c r="C951" s="203" t="n"/>
      <c r="D951" s="203" t="n"/>
      <c r="E951" s="203" t="n"/>
      <c r="F951" s="203" t="n"/>
      <c r="G951" s="203" t="n"/>
      <c r="H951" s="203" t="n"/>
      <c r="I951" s="203" t="n"/>
      <c r="J951" s="203" t="n"/>
      <c r="K951" s="203" t="n"/>
      <c r="L951" s="203" t="n"/>
      <c r="M951" s="203" t="n"/>
      <c r="N951" s="203" t="n"/>
      <c r="O951" s="203" t="n"/>
      <c r="P951" s="203" t="n"/>
      <c r="Q951" s="203" t="n"/>
      <c r="R951" s="203" t="n"/>
    </row>
    <row r="952" ht="12.75" customHeight="1" s="204">
      <c r="A952" s="203" t="n"/>
      <c r="B952" s="203" t="n"/>
      <c r="C952" s="203" t="n"/>
      <c r="D952" s="203" t="n"/>
      <c r="E952" s="203" t="n"/>
      <c r="F952" s="203" t="n"/>
      <c r="G952" s="203" t="n"/>
      <c r="H952" s="203" t="n"/>
      <c r="I952" s="203" t="n"/>
      <c r="J952" s="203" t="n"/>
      <c r="K952" s="203" t="n"/>
      <c r="L952" s="203" t="n"/>
      <c r="M952" s="203" t="n"/>
      <c r="N952" s="203" t="n"/>
      <c r="O952" s="203" t="n"/>
      <c r="P952" s="203" t="n"/>
      <c r="Q952" s="203" t="n"/>
      <c r="R952" s="203" t="n"/>
    </row>
    <row r="953" ht="12.75" customHeight="1" s="204">
      <c r="A953" s="203" t="n"/>
      <c r="B953" s="203" t="n"/>
      <c r="C953" s="203" t="n"/>
      <c r="D953" s="203" t="n"/>
      <c r="E953" s="203" t="n"/>
      <c r="F953" s="203" t="n"/>
      <c r="G953" s="203" t="n"/>
      <c r="H953" s="203" t="n"/>
      <c r="I953" s="203" t="n"/>
      <c r="J953" s="203" t="n"/>
      <c r="K953" s="203" t="n"/>
      <c r="L953" s="203" t="n"/>
      <c r="M953" s="203" t="n"/>
      <c r="N953" s="203" t="n"/>
      <c r="O953" s="203" t="n"/>
      <c r="P953" s="203" t="n"/>
      <c r="Q953" s="203" t="n"/>
      <c r="R953" s="203" t="n"/>
    </row>
    <row r="954" ht="12.75" customHeight="1" s="204">
      <c r="A954" s="203" t="n"/>
      <c r="B954" s="203" t="n"/>
      <c r="C954" s="203" t="n"/>
      <c r="D954" s="203" t="n"/>
      <c r="E954" s="203" t="n"/>
      <c r="F954" s="203" t="n"/>
      <c r="G954" s="203" t="n"/>
      <c r="H954" s="203" t="n"/>
      <c r="I954" s="203" t="n"/>
      <c r="J954" s="203" t="n"/>
      <c r="K954" s="203" t="n"/>
      <c r="L954" s="203" t="n"/>
      <c r="M954" s="203" t="n"/>
      <c r="N954" s="203" t="n"/>
      <c r="O954" s="203" t="n"/>
      <c r="P954" s="203" t="n"/>
      <c r="Q954" s="203" t="n"/>
      <c r="R954" s="203" t="n"/>
    </row>
    <row r="955" ht="12.75" customHeight="1" s="204">
      <c r="A955" s="203" t="n"/>
      <c r="B955" s="203" t="n"/>
      <c r="C955" s="203" t="n"/>
      <c r="D955" s="203" t="n"/>
      <c r="E955" s="203" t="n"/>
      <c r="F955" s="203" t="n"/>
      <c r="G955" s="203" t="n"/>
      <c r="H955" s="203" t="n"/>
      <c r="I955" s="203" t="n"/>
      <c r="J955" s="203" t="n"/>
      <c r="K955" s="203" t="n"/>
      <c r="L955" s="203" t="n"/>
      <c r="M955" s="203" t="n"/>
      <c r="N955" s="203" t="n"/>
      <c r="O955" s="203" t="n"/>
      <c r="P955" s="203" t="n"/>
      <c r="Q955" s="203" t="n"/>
      <c r="R955" s="203" t="n"/>
    </row>
    <row r="956" ht="12.75" customHeight="1" s="204">
      <c r="A956" s="203" t="n"/>
      <c r="B956" s="203" t="n"/>
      <c r="C956" s="203" t="n"/>
      <c r="D956" s="203" t="n"/>
      <c r="E956" s="203" t="n"/>
      <c r="F956" s="203" t="n"/>
      <c r="G956" s="203" t="n"/>
      <c r="H956" s="203" t="n"/>
      <c r="I956" s="203" t="n"/>
      <c r="J956" s="203" t="n"/>
      <c r="K956" s="203" t="n"/>
      <c r="L956" s="203" t="n"/>
      <c r="M956" s="203" t="n"/>
      <c r="N956" s="203" t="n"/>
      <c r="O956" s="203" t="n"/>
      <c r="P956" s="203" t="n"/>
      <c r="Q956" s="203" t="n"/>
      <c r="R956" s="203" t="n"/>
    </row>
    <row r="957" ht="12.75" customHeight="1" s="204">
      <c r="A957" s="203" t="n"/>
      <c r="B957" s="203" t="n"/>
      <c r="C957" s="203" t="n"/>
      <c r="D957" s="203" t="n"/>
      <c r="E957" s="203" t="n"/>
      <c r="F957" s="203" t="n"/>
      <c r="G957" s="203" t="n"/>
      <c r="H957" s="203" t="n"/>
      <c r="I957" s="203" t="n"/>
      <c r="J957" s="203" t="n"/>
      <c r="K957" s="203" t="n"/>
      <c r="L957" s="203" t="n"/>
      <c r="M957" s="203" t="n"/>
      <c r="N957" s="203" t="n"/>
      <c r="O957" s="203" t="n"/>
      <c r="P957" s="203" t="n"/>
      <c r="Q957" s="203" t="n"/>
      <c r="R957" s="203" t="n"/>
    </row>
    <row r="958" ht="12.75" customHeight="1" s="204">
      <c r="A958" s="203" t="n"/>
      <c r="B958" s="203" t="n"/>
      <c r="C958" s="203" t="n"/>
      <c r="D958" s="203" t="n"/>
      <c r="E958" s="203" t="n"/>
      <c r="F958" s="203" t="n"/>
      <c r="G958" s="203" t="n"/>
      <c r="H958" s="203" t="n"/>
      <c r="I958" s="203" t="n"/>
      <c r="J958" s="203" t="n"/>
      <c r="K958" s="203" t="n"/>
      <c r="L958" s="203" t="n"/>
      <c r="M958" s="203" t="n"/>
      <c r="N958" s="203" t="n"/>
      <c r="O958" s="203" t="n"/>
      <c r="P958" s="203" t="n"/>
      <c r="Q958" s="203" t="n"/>
      <c r="R958" s="203" t="n"/>
    </row>
    <row r="959" ht="12.75" customHeight="1" s="204">
      <c r="A959" s="203" t="n"/>
      <c r="B959" s="203" t="n"/>
      <c r="C959" s="203" t="n"/>
      <c r="D959" s="203" t="n"/>
      <c r="E959" s="203" t="n"/>
      <c r="F959" s="203" t="n"/>
      <c r="G959" s="203" t="n"/>
      <c r="H959" s="203" t="n"/>
      <c r="I959" s="203" t="n"/>
      <c r="J959" s="203" t="n"/>
      <c r="K959" s="203" t="n"/>
      <c r="L959" s="203" t="n"/>
      <c r="M959" s="203" t="n"/>
      <c r="N959" s="203" t="n"/>
      <c r="O959" s="203" t="n"/>
      <c r="P959" s="203" t="n"/>
      <c r="Q959" s="203" t="n"/>
      <c r="R959" s="203" t="n"/>
    </row>
    <row r="960" ht="12.75" customHeight="1" s="204">
      <c r="A960" s="203" t="n"/>
      <c r="B960" s="203" t="n"/>
      <c r="C960" s="203" t="n"/>
      <c r="D960" s="203" t="n"/>
      <c r="E960" s="203" t="n"/>
      <c r="F960" s="203" t="n"/>
      <c r="G960" s="203" t="n"/>
      <c r="H960" s="203" t="n"/>
      <c r="I960" s="203" t="n"/>
      <c r="J960" s="203" t="n"/>
      <c r="K960" s="203" t="n"/>
      <c r="L960" s="203" t="n"/>
      <c r="M960" s="203" t="n"/>
      <c r="N960" s="203" t="n"/>
      <c r="O960" s="203" t="n"/>
      <c r="P960" s="203" t="n"/>
      <c r="Q960" s="203" t="n"/>
      <c r="R960" s="203" t="n"/>
    </row>
    <row r="961" ht="12.75" customHeight="1" s="204">
      <c r="A961" s="203" t="n"/>
      <c r="B961" s="203" t="n"/>
      <c r="C961" s="203" t="n"/>
      <c r="D961" s="203" t="n"/>
      <c r="E961" s="203" t="n"/>
      <c r="F961" s="203" t="n"/>
      <c r="G961" s="203" t="n"/>
      <c r="H961" s="203" t="n"/>
      <c r="I961" s="203" t="n"/>
      <c r="J961" s="203" t="n"/>
      <c r="K961" s="203" t="n"/>
      <c r="L961" s="203" t="n"/>
      <c r="M961" s="203" t="n"/>
      <c r="N961" s="203" t="n"/>
      <c r="O961" s="203" t="n"/>
      <c r="P961" s="203" t="n"/>
      <c r="Q961" s="203" t="n"/>
      <c r="R961" s="203" t="n"/>
    </row>
    <row r="962" ht="12.75" customHeight="1" s="204">
      <c r="A962" s="203" t="n"/>
      <c r="B962" s="203" t="n"/>
      <c r="C962" s="203" t="n"/>
      <c r="D962" s="203" t="n"/>
      <c r="E962" s="203" t="n"/>
      <c r="F962" s="203" t="n"/>
      <c r="G962" s="203" t="n"/>
      <c r="H962" s="203" t="n"/>
      <c r="I962" s="203" t="n"/>
      <c r="J962" s="203" t="n"/>
      <c r="K962" s="203" t="n"/>
      <c r="L962" s="203" t="n"/>
      <c r="M962" s="203" t="n"/>
      <c r="N962" s="203" t="n"/>
      <c r="O962" s="203" t="n"/>
      <c r="P962" s="203" t="n"/>
      <c r="Q962" s="203" t="n"/>
      <c r="R962" s="203" t="n"/>
    </row>
    <row r="963" ht="12.75" customHeight="1" s="204">
      <c r="A963" s="203" t="n"/>
      <c r="B963" s="203" t="n"/>
      <c r="C963" s="203" t="n"/>
      <c r="D963" s="203" t="n"/>
      <c r="E963" s="203" t="n"/>
      <c r="F963" s="203" t="n"/>
      <c r="G963" s="203" t="n"/>
      <c r="H963" s="203" t="n"/>
      <c r="I963" s="203" t="n"/>
      <c r="J963" s="203" t="n"/>
      <c r="K963" s="203" t="n"/>
      <c r="L963" s="203" t="n"/>
      <c r="M963" s="203" t="n"/>
      <c r="N963" s="203" t="n"/>
      <c r="O963" s="203" t="n"/>
      <c r="P963" s="203" t="n"/>
      <c r="Q963" s="203" t="n"/>
      <c r="R963" s="203" t="n"/>
    </row>
    <row r="964" ht="12.75" customHeight="1" s="204">
      <c r="A964" s="203" t="n"/>
      <c r="B964" s="203" t="n"/>
      <c r="C964" s="203" t="n"/>
      <c r="D964" s="203" t="n"/>
      <c r="E964" s="203" t="n"/>
      <c r="F964" s="203" t="n"/>
      <c r="G964" s="203" t="n"/>
      <c r="H964" s="203" t="n"/>
      <c r="I964" s="203" t="n"/>
      <c r="J964" s="203" t="n"/>
      <c r="K964" s="203" t="n"/>
      <c r="L964" s="203" t="n"/>
      <c r="M964" s="203" t="n"/>
      <c r="N964" s="203" t="n"/>
      <c r="O964" s="203" t="n"/>
      <c r="P964" s="203" t="n"/>
      <c r="Q964" s="203" t="n"/>
      <c r="R964" s="203" t="n"/>
    </row>
    <row r="965" ht="12.75" customHeight="1" s="204">
      <c r="A965" s="203" t="n"/>
      <c r="B965" s="203" t="n"/>
      <c r="C965" s="203" t="n"/>
      <c r="D965" s="203" t="n"/>
      <c r="E965" s="203" t="n"/>
      <c r="F965" s="203" t="n"/>
      <c r="G965" s="203" t="n"/>
      <c r="H965" s="203" t="n"/>
      <c r="I965" s="203" t="n"/>
      <c r="J965" s="203" t="n"/>
      <c r="K965" s="203" t="n"/>
      <c r="L965" s="203" t="n"/>
      <c r="M965" s="203" t="n"/>
      <c r="N965" s="203" t="n"/>
      <c r="O965" s="203" t="n"/>
      <c r="P965" s="203" t="n"/>
      <c r="Q965" s="203" t="n"/>
      <c r="R965" s="203" t="n"/>
    </row>
    <row r="966" ht="12.75" customHeight="1" s="204">
      <c r="A966" s="203" t="n"/>
      <c r="B966" s="203" t="n"/>
      <c r="C966" s="203" t="n"/>
      <c r="D966" s="203" t="n"/>
      <c r="E966" s="203" t="n"/>
      <c r="F966" s="203" t="n"/>
      <c r="G966" s="203" t="n"/>
      <c r="H966" s="203" t="n"/>
      <c r="I966" s="203" t="n"/>
      <c r="J966" s="203" t="n"/>
      <c r="K966" s="203" t="n"/>
      <c r="L966" s="203" t="n"/>
      <c r="M966" s="203" t="n"/>
      <c r="N966" s="203" t="n"/>
      <c r="O966" s="203" t="n"/>
      <c r="P966" s="203" t="n"/>
      <c r="Q966" s="203" t="n"/>
      <c r="R966" s="203" t="n"/>
    </row>
    <row r="967" ht="12.75" customHeight="1" s="204">
      <c r="A967" s="203" t="n"/>
      <c r="B967" s="203" t="n"/>
      <c r="C967" s="203" t="n"/>
      <c r="D967" s="203" t="n"/>
      <c r="E967" s="203" t="n"/>
      <c r="F967" s="203" t="n"/>
      <c r="G967" s="203" t="n"/>
      <c r="H967" s="203" t="n"/>
      <c r="I967" s="203" t="n"/>
      <c r="J967" s="203" t="n"/>
      <c r="K967" s="203" t="n"/>
      <c r="L967" s="203" t="n"/>
      <c r="M967" s="203" t="n"/>
      <c r="N967" s="203" t="n"/>
      <c r="O967" s="203" t="n"/>
      <c r="P967" s="203" t="n"/>
      <c r="Q967" s="203" t="n"/>
      <c r="R967" s="203" t="n"/>
    </row>
    <row r="968" ht="12.75" customHeight="1" s="204">
      <c r="A968" s="203" t="n"/>
      <c r="B968" s="203" t="n"/>
      <c r="C968" s="203" t="n"/>
      <c r="D968" s="203" t="n"/>
      <c r="E968" s="203" t="n"/>
      <c r="F968" s="203" t="n"/>
      <c r="G968" s="203" t="n"/>
      <c r="H968" s="203" t="n"/>
      <c r="I968" s="203" t="n"/>
      <c r="J968" s="203" t="n"/>
      <c r="K968" s="203" t="n"/>
      <c r="L968" s="203" t="n"/>
      <c r="M968" s="203" t="n"/>
      <c r="N968" s="203" t="n"/>
      <c r="O968" s="203" t="n"/>
      <c r="P968" s="203" t="n"/>
      <c r="Q968" s="203" t="n"/>
      <c r="R968" s="203" t="n"/>
    </row>
    <row r="969" ht="12.75" customHeight="1" s="204">
      <c r="A969" s="203" t="n"/>
      <c r="B969" s="203" t="n"/>
      <c r="C969" s="203" t="n"/>
      <c r="D969" s="203" t="n"/>
      <c r="E969" s="203" t="n"/>
      <c r="F969" s="203" t="n"/>
      <c r="G969" s="203" t="n"/>
      <c r="H969" s="203" t="n"/>
      <c r="I969" s="203" t="n"/>
      <c r="J969" s="203" t="n"/>
      <c r="K969" s="203" t="n"/>
      <c r="L969" s="203" t="n"/>
      <c r="M969" s="203" t="n"/>
      <c r="N969" s="203" t="n"/>
      <c r="O969" s="203" t="n"/>
      <c r="P969" s="203" t="n"/>
      <c r="Q969" s="203" t="n"/>
      <c r="R969" s="203" t="n"/>
    </row>
    <row r="970" ht="12.75" customHeight="1" s="204">
      <c r="A970" s="203" t="n"/>
      <c r="B970" s="203" t="n"/>
      <c r="C970" s="203" t="n"/>
      <c r="D970" s="203" t="n"/>
      <c r="E970" s="203" t="n"/>
      <c r="F970" s="203" t="n"/>
      <c r="G970" s="203" t="n"/>
      <c r="H970" s="203" t="n"/>
      <c r="I970" s="203" t="n"/>
      <c r="J970" s="203" t="n"/>
      <c r="K970" s="203" t="n"/>
      <c r="L970" s="203" t="n"/>
      <c r="M970" s="203" t="n"/>
      <c r="N970" s="203" t="n"/>
      <c r="O970" s="203" t="n"/>
      <c r="P970" s="203" t="n"/>
      <c r="Q970" s="203" t="n"/>
      <c r="R970" s="203" t="n"/>
    </row>
    <row r="971" ht="12.75" customHeight="1" s="204">
      <c r="A971" s="203" t="n"/>
      <c r="B971" s="203" t="n"/>
      <c r="C971" s="203" t="n"/>
      <c r="D971" s="203" t="n"/>
      <c r="E971" s="203" t="n"/>
      <c r="F971" s="203" t="n"/>
      <c r="G971" s="203" t="n"/>
      <c r="H971" s="203" t="n"/>
      <c r="I971" s="203" t="n"/>
      <c r="J971" s="203" t="n"/>
      <c r="K971" s="203" t="n"/>
      <c r="L971" s="203" t="n"/>
      <c r="M971" s="203" t="n"/>
      <c r="N971" s="203" t="n"/>
      <c r="O971" s="203" t="n"/>
      <c r="P971" s="203" t="n"/>
      <c r="Q971" s="203" t="n"/>
      <c r="R971" s="203" t="n"/>
    </row>
    <row r="972" ht="12.75" customHeight="1" s="204">
      <c r="A972" s="203" t="n"/>
      <c r="B972" s="203" t="n"/>
      <c r="C972" s="203" t="n"/>
      <c r="D972" s="203" t="n"/>
      <c r="E972" s="203" t="n"/>
      <c r="F972" s="203" t="n"/>
      <c r="G972" s="203" t="n"/>
      <c r="H972" s="203" t="n"/>
      <c r="I972" s="203" t="n"/>
      <c r="J972" s="203" t="n"/>
      <c r="K972" s="203" t="n"/>
      <c r="L972" s="203" t="n"/>
      <c r="M972" s="203" t="n"/>
      <c r="N972" s="203" t="n"/>
      <c r="O972" s="203" t="n"/>
      <c r="P972" s="203" t="n"/>
      <c r="Q972" s="203" t="n"/>
      <c r="R972" s="203" t="n"/>
    </row>
    <row r="973" ht="12.75" customHeight="1" s="204">
      <c r="A973" s="203" t="n"/>
      <c r="B973" s="203" t="n"/>
      <c r="C973" s="203" t="n"/>
      <c r="D973" s="203" t="n"/>
      <c r="E973" s="203" t="n"/>
      <c r="F973" s="203" t="n"/>
      <c r="G973" s="203" t="n"/>
      <c r="H973" s="203" t="n"/>
      <c r="I973" s="203" t="n"/>
      <c r="J973" s="203" t="n"/>
      <c r="K973" s="203" t="n"/>
      <c r="L973" s="203" t="n"/>
      <c r="M973" s="203" t="n"/>
      <c r="N973" s="203" t="n"/>
      <c r="O973" s="203" t="n"/>
      <c r="P973" s="203" t="n"/>
      <c r="Q973" s="203" t="n"/>
      <c r="R973" s="203" t="n"/>
    </row>
    <row r="974" ht="12.75" customHeight="1" s="204">
      <c r="A974" s="203" t="n"/>
      <c r="B974" s="203" t="n"/>
      <c r="C974" s="203" t="n"/>
      <c r="D974" s="203" t="n"/>
      <c r="E974" s="203" t="n"/>
      <c r="F974" s="203" t="n"/>
      <c r="G974" s="203" t="n"/>
      <c r="H974" s="203" t="n"/>
      <c r="I974" s="203" t="n"/>
      <c r="J974" s="203" t="n"/>
      <c r="K974" s="203" t="n"/>
      <c r="L974" s="203" t="n"/>
      <c r="M974" s="203" t="n"/>
      <c r="N974" s="203" t="n"/>
      <c r="O974" s="203" t="n"/>
      <c r="P974" s="203" t="n"/>
      <c r="Q974" s="203" t="n"/>
      <c r="R974" s="203" t="n"/>
    </row>
    <row r="975" ht="12.75" customHeight="1" s="204">
      <c r="A975" s="203" t="n"/>
      <c r="B975" s="203" t="n"/>
      <c r="C975" s="203" t="n"/>
      <c r="D975" s="203" t="n"/>
      <c r="E975" s="203" t="n"/>
      <c r="F975" s="203" t="n"/>
      <c r="G975" s="203" t="n"/>
      <c r="H975" s="203" t="n"/>
      <c r="I975" s="203" t="n"/>
      <c r="J975" s="203" t="n"/>
      <c r="K975" s="203" t="n"/>
      <c r="L975" s="203" t="n"/>
      <c r="M975" s="203" t="n"/>
      <c r="N975" s="203" t="n"/>
      <c r="O975" s="203" t="n"/>
      <c r="P975" s="203" t="n"/>
      <c r="Q975" s="203" t="n"/>
      <c r="R975" s="203" t="n"/>
    </row>
    <row r="976" ht="12.75" customHeight="1" s="204">
      <c r="A976" s="203" t="n"/>
      <c r="B976" s="203" t="n"/>
      <c r="C976" s="203" t="n"/>
      <c r="D976" s="203" t="n"/>
      <c r="E976" s="203" t="n"/>
      <c r="F976" s="203" t="n"/>
      <c r="G976" s="203" t="n"/>
      <c r="H976" s="203" t="n"/>
      <c r="I976" s="203" t="n"/>
      <c r="J976" s="203" t="n"/>
      <c r="K976" s="203" t="n"/>
      <c r="L976" s="203" t="n"/>
      <c r="M976" s="203" t="n"/>
      <c r="N976" s="203" t="n"/>
      <c r="O976" s="203" t="n"/>
      <c r="P976" s="203" t="n"/>
      <c r="Q976" s="203" t="n"/>
      <c r="R976" s="203" t="n"/>
    </row>
    <row r="977" ht="12.75" customHeight="1" s="204">
      <c r="A977" s="203" t="n"/>
      <c r="B977" s="203" t="n"/>
      <c r="C977" s="203" t="n"/>
      <c r="D977" s="203" t="n"/>
      <c r="E977" s="203" t="n"/>
      <c r="F977" s="203" t="n"/>
      <c r="G977" s="203" t="n"/>
      <c r="H977" s="203" t="n"/>
      <c r="I977" s="203" t="n"/>
      <c r="J977" s="203" t="n"/>
      <c r="K977" s="203" t="n"/>
      <c r="L977" s="203" t="n"/>
      <c r="M977" s="203" t="n"/>
      <c r="N977" s="203" t="n"/>
      <c r="O977" s="203" t="n"/>
      <c r="P977" s="203" t="n"/>
      <c r="Q977" s="203" t="n"/>
      <c r="R977" s="203" t="n"/>
    </row>
    <row r="978" ht="12.75" customHeight="1" s="204">
      <c r="A978" s="203" t="n"/>
      <c r="B978" s="203" t="n"/>
      <c r="C978" s="203" t="n"/>
      <c r="D978" s="203" t="n"/>
      <c r="E978" s="203" t="n"/>
      <c r="F978" s="203" t="n"/>
      <c r="G978" s="203" t="n"/>
      <c r="H978" s="203" t="n"/>
      <c r="I978" s="203" t="n"/>
      <c r="J978" s="203" t="n"/>
      <c r="K978" s="203" t="n"/>
      <c r="L978" s="203" t="n"/>
      <c r="M978" s="203" t="n"/>
      <c r="N978" s="203" t="n"/>
      <c r="O978" s="203" t="n"/>
      <c r="P978" s="203" t="n"/>
      <c r="Q978" s="203" t="n"/>
      <c r="R978" s="203" t="n"/>
    </row>
    <row r="979" ht="12.75" customHeight="1" s="204">
      <c r="A979" s="203" t="n"/>
      <c r="B979" s="203" t="n"/>
      <c r="C979" s="203" t="n"/>
      <c r="D979" s="203" t="n"/>
      <c r="E979" s="203" t="n"/>
      <c r="F979" s="203" t="n"/>
      <c r="G979" s="203" t="n"/>
      <c r="H979" s="203" t="n"/>
      <c r="I979" s="203" t="n"/>
      <c r="J979" s="203" t="n"/>
      <c r="K979" s="203" t="n"/>
      <c r="L979" s="203" t="n"/>
      <c r="M979" s="203" t="n"/>
      <c r="N979" s="203" t="n"/>
      <c r="O979" s="203" t="n"/>
      <c r="P979" s="203" t="n"/>
      <c r="Q979" s="203" t="n"/>
      <c r="R979" s="203" t="n"/>
    </row>
    <row r="980" ht="12.75" customHeight="1" s="204">
      <c r="A980" s="203" t="n"/>
      <c r="B980" s="203" t="n"/>
      <c r="C980" s="203" t="n"/>
      <c r="D980" s="203" t="n"/>
      <c r="E980" s="203" t="n"/>
      <c r="F980" s="203" t="n"/>
      <c r="G980" s="203" t="n"/>
      <c r="H980" s="203" t="n"/>
      <c r="I980" s="203" t="n"/>
      <c r="J980" s="203" t="n"/>
      <c r="K980" s="203" t="n"/>
      <c r="L980" s="203" t="n"/>
      <c r="M980" s="203" t="n"/>
      <c r="N980" s="203" t="n"/>
      <c r="O980" s="203" t="n"/>
      <c r="P980" s="203" t="n"/>
      <c r="Q980" s="203" t="n"/>
      <c r="R980" s="203" t="n"/>
    </row>
    <row r="981" ht="12.75" customHeight="1" s="204">
      <c r="A981" s="203" t="n"/>
      <c r="B981" s="203" t="n"/>
      <c r="C981" s="203" t="n"/>
      <c r="D981" s="203" t="n"/>
      <c r="E981" s="203" t="n"/>
      <c r="F981" s="203" t="n"/>
      <c r="G981" s="203" t="n"/>
      <c r="H981" s="203" t="n"/>
      <c r="I981" s="203" t="n"/>
      <c r="J981" s="203" t="n"/>
      <c r="K981" s="203" t="n"/>
      <c r="L981" s="203" t="n"/>
      <c r="M981" s="203" t="n"/>
      <c r="N981" s="203" t="n"/>
      <c r="O981" s="203" t="n"/>
      <c r="P981" s="203" t="n"/>
      <c r="Q981" s="203" t="n"/>
      <c r="R981" s="203" t="n"/>
    </row>
    <row r="982" ht="12.75" customHeight="1" s="204">
      <c r="A982" s="203" t="n"/>
      <c r="B982" s="203" t="n"/>
      <c r="C982" s="203" t="n"/>
      <c r="D982" s="203" t="n"/>
      <c r="E982" s="203" t="n"/>
      <c r="F982" s="203" t="n"/>
      <c r="G982" s="203" t="n"/>
      <c r="H982" s="203" t="n"/>
      <c r="I982" s="203" t="n"/>
      <c r="J982" s="203" t="n"/>
      <c r="K982" s="203" t="n"/>
      <c r="L982" s="203" t="n"/>
      <c r="M982" s="203" t="n"/>
      <c r="N982" s="203" t="n"/>
      <c r="O982" s="203" t="n"/>
      <c r="P982" s="203" t="n"/>
      <c r="Q982" s="203" t="n"/>
      <c r="R982" s="203" t="n"/>
    </row>
    <row r="983" ht="12.75" customHeight="1" s="204">
      <c r="A983" s="203" t="n"/>
      <c r="B983" s="203" t="n"/>
      <c r="C983" s="203" t="n"/>
      <c r="D983" s="203" t="n"/>
      <c r="E983" s="203" t="n"/>
      <c r="F983" s="203" t="n"/>
      <c r="G983" s="203" t="n"/>
      <c r="H983" s="203" t="n"/>
      <c r="I983" s="203" t="n"/>
      <c r="J983" s="203" t="n"/>
      <c r="K983" s="203" t="n"/>
      <c r="L983" s="203" t="n"/>
      <c r="M983" s="203" t="n"/>
      <c r="N983" s="203" t="n"/>
      <c r="O983" s="203" t="n"/>
      <c r="P983" s="203" t="n"/>
      <c r="Q983" s="203" t="n"/>
      <c r="R983" s="203" t="n"/>
    </row>
    <row r="984" ht="12.75" customHeight="1" s="204">
      <c r="A984" s="203" t="n"/>
      <c r="B984" s="203" t="n"/>
      <c r="C984" s="203" t="n"/>
      <c r="D984" s="203" t="n"/>
      <c r="E984" s="203" t="n"/>
      <c r="F984" s="203" t="n"/>
      <c r="G984" s="203" t="n"/>
      <c r="H984" s="203" t="n"/>
      <c r="I984" s="203" t="n"/>
      <c r="J984" s="203" t="n"/>
      <c r="K984" s="203" t="n"/>
      <c r="L984" s="203" t="n"/>
      <c r="M984" s="203" t="n"/>
      <c r="N984" s="203" t="n"/>
      <c r="O984" s="203" t="n"/>
      <c r="P984" s="203" t="n"/>
      <c r="Q984" s="203" t="n"/>
      <c r="R984" s="203" t="n"/>
    </row>
    <row r="985" ht="12.75" customHeight="1" s="204">
      <c r="A985" s="203" t="n"/>
      <c r="B985" s="203" t="n"/>
      <c r="C985" s="203" t="n"/>
      <c r="D985" s="203" t="n"/>
      <c r="E985" s="203" t="n"/>
      <c r="F985" s="203" t="n"/>
      <c r="G985" s="203" t="n"/>
      <c r="H985" s="203" t="n"/>
      <c r="I985" s="203" t="n"/>
      <c r="J985" s="203" t="n"/>
      <c r="K985" s="203" t="n"/>
      <c r="L985" s="203" t="n"/>
      <c r="M985" s="203" t="n"/>
      <c r="N985" s="203" t="n"/>
      <c r="O985" s="203" t="n"/>
      <c r="P985" s="203" t="n"/>
      <c r="Q985" s="203" t="n"/>
      <c r="R985" s="203" t="n"/>
    </row>
    <row r="986" ht="12.75" customHeight="1" s="204">
      <c r="A986" s="203" t="n"/>
      <c r="B986" s="203" t="n"/>
      <c r="C986" s="203" t="n"/>
      <c r="D986" s="203" t="n"/>
      <c r="E986" s="203" t="n"/>
      <c r="F986" s="203" t="n"/>
      <c r="G986" s="203" t="n"/>
      <c r="H986" s="203" t="n"/>
      <c r="I986" s="203" t="n"/>
      <c r="J986" s="203" t="n"/>
      <c r="K986" s="203" t="n"/>
      <c r="L986" s="203" t="n"/>
      <c r="M986" s="203" t="n"/>
      <c r="N986" s="203" t="n"/>
      <c r="O986" s="203" t="n"/>
      <c r="P986" s="203" t="n"/>
      <c r="Q986" s="203" t="n"/>
      <c r="R986" s="203" t="n"/>
    </row>
    <row r="987" ht="12.75" customHeight="1" s="204">
      <c r="A987" s="203" t="n"/>
      <c r="B987" s="203" t="n"/>
      <c r="C987" s="203" t="n"/>
      <c r="D987" s="203" t="n"/>
      <c r="E987" s="203" t="n"/>
      <c r="F987" s="203" t="n"/>
      <c r="G987" s="203" t="n"/>
      <c r="H987" s="203" t="n"/>
      <c r="I987" s="203" t="n"/>
      <c r="J987" s="203" t="n"/>
      <c r="K987" s="203" t="n"/>
      <c r="L987" s="203" t="n"/>
      <c r="M987" s="203" t="n"/>
      <c r="N987" s="203" t="n"/>
      <c r="O987" s="203" t="n"/>
      <c r="P987" s="203" t="n"/>
      <c r="Q987" s="203" t="n"/>
      <c r="R987" s="203" t="n"/>
    </row>
    <row r="988" ht="12.75" customHeight="1" s="204">
      <c r="A988" s="203" t="n"/>
      <c r="B988" s="203" t="n"/>
      <c r="C988" s="203" t="n"/>
      <c r="D988" s="203" t="n"/>
      <c r="E988" s="203" t="n"/>
      <c r="F988" s="203" t="n"/>
      <c r="G988" s="203" t="n"/>
      <c r="H988" s="203" t="n"/>
      <c r="I988" s="203" t="n"/>
      <c r="J988" s="203" t="n"/>
      <c r="K988" s="203" t="n"/>
      <c r="L988" s="203" t="n"/>
      <c r="M988" s="203" t="n"/>
      <c r="N988" s="203" t="n"/>
      <c r="O988" s="203" t="n"/>
      <c r="P988" s="203" t="n"/>
      <c r="Q988" s="203" t="n"/>
      <c r="R988" s="203" t="n"/>
    </row>
    <row r="989" ht="12.75" customHeight="1" s="204">
      <c r="A989" s="203" t="n"/>
      <c r="B989" s="203" t="n"/>
      <c r="C989" s="203" t="n"/>
      <c r="D989" s="203" t="n"/>
      <c r="E989" s="203" t="n"/>
      <c r="F989" s="203" t="n"/>
      <c r="G989" s="203" t="n"/>
      <c r="H989" s="203" t="n"/>
      <c r="I989" s="203" t="n"/>
      <c r="J989" s="203" t="n"/>
      <c r="K989" s="203" t="n"/>
      <c r="L989" s="203" t="n"/>
      <c r="M989" s="203" t="n"/>
      <c r="N989" s="203" t="n"/>
      <c r="O989" s="203" t="n"/>
      <c r="P989" s="203" t="n"/>
      <c r="Q989" s="203" t="n"/>
      <c r="R989" s="203" t="n"/>
    </row>
    <row r="990" ht="12.75" customHeight="1" s="204">
      <c r="A990" s="203" t="n"/>
      <c r="B990" s="203" t="n"/>
      <c r="C990" s="203" t="n"/>
      <c r="D990" s="203" t="n"/>
      <c r="E990" s="203" t="n"/>
      <c r="F990" s="203" t="n"/>
      <c r="G990" s="203" t="n"/>
      <c r="H990" s="203" t="n"/>
      <c r="I990" s="203" t="n"/>
      <c r="J990" s="203" t="n"/>
      <c r="K990" s="203" t="n"/>
      <c r="L990" s="203" t="n"/>
      <c r="M990" s="203" t="n"/>
      <c r="N990" s="203" t="n"/>
      <c r="O990" s="203" t="n"/>
      <c r="P990" s="203" t="n"/>
      <c r="Q990" s="203" t="n"/>
      <c r="R990" s="203" t="n"/>
    </row>
    <row r="991" ht="12.75" customHeight="1" s="204">
      <c r="A991" s="203" t="n"/>
      <c r="B991" s="203" t="n"/>
      <c r="C991" s="203" t="n"/>
      <c r="D991" s="203" t="n"/>
      <c r="E991" s="203" t="n"/>
      <c r="F991" s="203" t="n"/>
      <c r="G991" s="203" t="n"/>
      <c r="H991" s="203" t="n"/>
      <c r="I991" s="203" t="n"/>
      <c r="J991" s="203" t="n"/>
      <c r="K991" s="203" t="n"/>
      <c r="L991" s="203" t="n"/>
      <c r="M991" s="203" t="n"/>
      <c r="N991" s="203" t="n"/>
      <c r="O991" s="203" t="n"/>
      <c r="P991" s="203" t="n"/>
      <c r="Q991" s="203" t="n"/>
      <c r="R991" s="203" t="n"/>
    </row>
    <row r="992" ht="12.75" customHeight="1" s="204">
      <c r="A992" s="203" t="n"/>
      <c r="B992" s="203" t="n"/>
      <c r="C992" s="203" t="n"/>
      <c r="D992" s="203" t="n"/>
      <c r="E992" s="203" t="n"/>
      <c r="F992" s="203" t="n"/>
      <c r="G992" s="203" t="n"/>
      <c r="H992" s="203" t="n"/>
      <c r="I992" s="203" t="n"/>
      <c r="J992" s="203" t="n"/>
      <c r="K992" s="203" t="n"/>
      <c r="L992" s="203" t="n"/>
      <c r="M992" s="203" t="n"/>
      <c r="N992" s="203" t="n"/>
      <c r="O992" s="203" t="n"/>
      <c r="P992" s="203" t="n"/>
      <c r="Q992" s="203" t="n"/>
      <c r="R992" s="203" t="n"/>
    </row>
    <row r="993" ht="12.75" customHeight="1" s="204">
      <c r="A993" s="203" t="n"/>
      <c r="B993" s="203" t="n"/>
      <c r="C993" s="203" t="n"/>
      <c r="D993" s="203" t="n"/>
      <c r="E993" s="203" t="n"/>
      <c r="F993" s="203" t="n"/>
      <c r="G993" s="203" t="n"/>
      <c r="H993" s="203" t="n"/>
      <c r="I993" s="203" t="n"/>
      <c r="J993" s="203" t="n"/>
      <c r="K993" s="203" t="n"/>
      <c r="L993" s="203" t="n"/>
      <c r="M993" s="203" t="n"/>
      <c r="N993" s="203" t="n"/>
      <c r="O993" s="203" t="n"/>
      <c r="P993" s="203" t="n"/>
      <c r="Q993" s="203" t="n"/>
      <c r="R993" s="203" t="n"/>
    </row>
    <row r="994" ht="12.75" customHeight="1" s="204">
      <c r="A994" s="203" t="n"/>
      <c r="B994" s="203" t="n"/>
      <c r="C994" s="203" t="n"/>
      <c r="D994" s="203" t="n"/>
      <c r="E994" s="203" t="n"/>
      <c r="F994" s="203" t="n"/>
      <c r="G994" s="203" t="n"/>
      <c r="H994" s="203" t="n"/>
      <c r="I994" s="203" t="n"/>
      <c r="J994" s="203" t="n"/>
      <c r="K994" s="203" t="n"/>
      <c r="L994" s="203" t="n"/>
      <c r="M994" s="203" t="n"/>
      <c r="N994" s="203" t="n"/>
      <c r="O994" s="203" t="n"/>
      <c r="P994" s="203" t="n"/>
      <c r="Q994" s="203" t="n"/>
      <c r="R994" s="203" t="n"/>
    </row>
    <row r="995" ht="12.75" customHeight="1" s="204">
      <c r="A995" s="203" t="n"/>
      <c r="B995" s="203" t="n"/>
      <c r="C995" s="203" t="n"/>
      <c r="D995" s="203" t="n"/>
      <c r="E995" s="203" t="n"/>
      <c r="F995" s="203" t="n"/>
      <c r="G995" s="203" t="n"/>
      <c r="H995" s="203" t="n"/>
      <c r="I995" s="203" t="n"/>
      <c r="J995" s="203" t="n"/>
      <c r="K995" s="203" t="n"/>
      <c r="L995" s="203" t="n"/>
      <c r="M995" s="203" t="n"/>
      <c r="N995" s="203" t="n"/>
      <c r="O995" s="203" t="n"/>
      <c r="P995" s="203" t="n"/>
      <c r="Q995" s="203" t="n"/>
      <c r="R995" s="203" t="n"/>
    </row>
    <row r="996" ht="12.75" customHeight="1" s="204">
      <c r="A996" s="203" t="n"/>
      <c r="B996" s="203" t="n"/>
      <c r="C996" s="203" t="n"/>
      <c r="D996" s="203" t="n"/>
      <c r="E996" s="203" t="n"/>
      <c r="F996" s="203" t="n"/>
      <c r="G996" s="203" t="n"/>
      <c r="H996" s="203" t="n"/>
      <c r="I996" s="203" t="n"/>
      <c r="J996" s="203" t="n"/>
      <c r="K996" s="203" t="n"/>
      <c r="L996" s="203" t="n"/>
      <c r="M996" s="203" t="n"/>
      <c r="N996" s="203" t="n"/>
      <c r="O996" s="203" t="n"/>
      <c r="P996" s="203" t="n"/>
      <c r="Q996" s="203" t="n"/>
      <c r="R996" s="203" t="n"/>
    </row>
    <row r="997" ht="12.75" customHeight="1" s="204">
      <c r="A997" s="203" t="n"/>
      <c r="B997" s="203" t="n"/>
      <c r="C997" s="203" t="n"/>
      <c r="D997" s="203" t="n"/>
      <c r="E997" s="203" t="n"/>
      <c r="F997" s="203" t="n"/>
      <c r="G997" s="203" t="n"/>
      <c r="H997" s="203" t="n"/>
      <c r="I997" s="203" t="n"/>
      <c r="J997" s="203" t="n"/>
      <c r="K997" s="203" t="n"/>
      <c r="L997" s="203" t="n"/>
      <c r="M997" s="203" t="n"/>
      <c r="N997" s="203" t="n"/>
      <c r="O997" s="203" t="n"/>
      <c r="P997" s="203" t="n"/>
      <c r="Q997" s="203" t="n"/>
      <c r="R997" s="203" t="n"/>
    </row>
    <row r="998" ht="12.75" customHeight="1" s="204">
      <c r="A998" s="203" t="n"/>
      <c r="B998" s="203" t="n"/>
      <c r="C998" s="203" t="n"/>
      <c r="D998" s="203" t="n"/>
      <c r="E998" s="203" t="n"/>
      <c r="F998" s="203" t="n"/>
      <c r="G998" s="203" t="n"/>
      <c r="H998" s="203" t="n"/>
      <c r="I998" s="203" t="n"/>
      <c r="J998" s="203" t="n"/>
      <c r="K998" s="203" t="n"/>
      <c r="L998" s="203" t="n"/>
      <c r="M998" s="203" t="n"/>
      <c r="N998" s="203" t="n"/>
      <c r="O998" s="203" t="n"/>
      <c r="P998" s="203" t="n"/>
      <c r="Q998" s="203" t="n"/>
      <c r="R998" s="203" t="n"/>
    </row>
    <row r="999" ht="12.75" customHeight="1" s="204">
      <c r="A999" s="203" t="n"/>
      <c r="B999" s="203" t="n"/>
      <c r="C999" s="203" t="n"/>
      <c r="D999" s="203" t="n"/>
      <c r="E999" s="203" t="n"/>
      <c r="F999" s="203" t="n"/>
      <c r="G999" s="203" t="n"/>
      <c r="H999" s="203" t="n"/>
      <c r="I999" s="203" t="n"/>
      <c r="J999" s="203" t="n"/>
      <c r="K999" s="203" t="n"/>
      <c r="L999" s="203" t="n"/>
      <c r="M999" s="203" t="n"/>
      <c r="N999" s="203" t="n"/>
      <c r="O999" s="203" t="n"/>
      <c r="P999" s="203" t="n"/>
      <c r="Q999" s="203" t="n"/>
      <c r="R999" s="203" t="n"/>
    </row>
    <row r="1000" ht="12.75" customHeight="1" s="204">
      <c r="A1000" s="203" t="n"/>
      <c r="B1000" s="203" t="n"/>
      <c r="C1000" s="203" t="n"/>
      <c r="D1000" s="203" t="n"/>
      <c r="E1000" s="203" t="n"/>
      <c r="F1000" s="203" t="n"/>
      <c r="G1000" s="203" t="n"/>
      <c r="H1000" s="203" t="n"/>
      <c r="I1000" s="203" t="n"/>
      <c r="J1000" s="203" t="n"/>
      <c r="K1000" s="203" t="n"/>
      <c r="L1000" s="203" t="n"/>
      <c r="M1000" s="203" t="n"/>
      <c r="N1000" s="203" t="n"/>
      <c r="O1000" s="203" t="n"/>
      <c r="P1000" s="203" t="n"/>
      <c r="Q1000" s="203" t="n"/>
      <c r="R1000" s="203" t="n"/>
    </row>
    <row r="1001" ht="12.75" customHeight="1" s="204">
      <c r="A1001" s="203" t="n"/>
      <c r="B1001" s="203" t="n"/>
      <c r="C1001" s="203" t="n"/>
      <c r="D1001" s="203" t="n"/>
      <c r="E1001" s="203" t="n"/>
      <c r="F1001" s="203" t="n"/>
      <c r="G1001" s="203" t="n"/>
      <c r="H1001" s="203" t="n"/>
      <c r="I1001" s="203" t="n"/>
      <c r="J1001" s="203" t="n"/>
      <c r="K1001" s="203" t="n"/>
      <c r="L1001" s="203" t="n"/>
      <c r="M1001" s="203" t="n"/>
      <c r="N1001" s="203" t="n"/>
      <c r="O1001" s="203" t="n"/>
      <c r="P1001" s="203" t="n"/>
      <c r="Q1001" s="203" t="n"/>
      <c r="R1001" s="203" t="n"/>
    </row>
    <row r="1002" ht="12.75" customHeight="1" s="204">
      <c r="A1002" s="203" t="n"/>
      <c r="B1002" s="203" t="n"/>
      <c r="C1002" s="203" t="n"/>
      <c r="D1002" s="203" t="n"/>
      <c r="E1002" s="203" t="n"/>
      <c r="F1002" s="203" t="n"/>
      <c r="G1002" s="203" t="n"/>
      <c r="H1002" s="203" t="n"/>
      <c r="I1002" s="203" t="n"/>
      <c r="J1002" s="203" t="n"/>
      <c r="K1002" s="203" t="n"/>
      <c r="L1002" s="203" t="n"/>
      <c r="M1002" s="203" t="n"/>
      <c r="N1002" s="203" t="n"/>
      <c r="O1002" s="203" t="n"/>
      <c r="P1002" s="203" t="n"/>
      <c r="Q1002" s="203" t="n"/>
      <c r="R1002" s="203" t="n"/>
    </row>
    <row r="1003" ht="12.75" customHeight="1" s="204">
      <c r="A1003" s="203" t="n"/>
      <c r="B1003" s="203" t="n"/>
      <c r="C1003" s="203" t="n"/>
      <c r="D1003" s="203" t="n"/>
      <c r="E1003" s="203" t="n"/>
      <c r="F1003" s="203" t="n"/>
      <c r="G1003" s="203" t="n"/>
      <c r="H1003" s="203" t="n"/>
      <c r="I1003" s="203" t="n"/>
      <c r="J1003" s="203" t="n"/>
      <c r="K1003" s="203" t="n"/>
      <c r="L1003" s="203" t="n"/>
      <c r="M1003" s="203" t="n"/>
      <c r="N1003" s="203" t="n"/>
      <c r="O1003" s="203" t="n"/>
      <c r="P1003" s="203" t="n"/>
      <c r="Q1003" s="203" t="n"/>
      <c r="R1003" s="203" t="n"/>
    </row>
    <row r="1004" ht="12.75" customHeight="1" s="204">
      <c r="A1004" s="203" t="n"/>
      <c r="B1004" s="203" t="n"/>
      <c r="C1004" s="203" t="n"/>
      <c r="D1004" s="203" t="n"/>
      <c r="E1004" s="203" t="n"/>
      <c r="F1004" s="203" t="n"/>
      <c r="G1004" s="203" t="n"/>
      <c r="H1004" s="203" t="n"/>
      <c r="I1004" s="203" t="n"/>
      <c r="J1004" s="203" t="n"/>
      <c r="K1004" s="203" t="n"/>
      <c r="L1004" s="203" t="n"/>
      <c r="M1004" s="203" t="n"/>
      <c r="N1004" s="203" t="n"/>
      <c r="O1004" s="203" t="n"/>
      <c r="P1004" s="203" t="n"/>
      <c r="Q1004" s="203" t="n"/>
      <c r="R1004" s="203" t="n"/>
    </row>
    <row r="1005" ht="12.75" customHeight="1" s="204">
      <c r="A1005" s="203" t="n"/>
      <c r="B1005" s="203" t="n"/>
      <c r="C1005" s="203" t="n"/>
      <c r="D1005" s="203" t="n"/>
      <c r="E1005" s="203" t="n"/>
      <c r="F1005" s="203" t="n"/>
      <c r="G1005" s="203" t="n"/>
      <c r="H1005" s="203" t="n"/>
      <c r="I1005" s="203" t="n"/>
      <c r="J1005" s="203" t="n"/>
      <c r="K1005" s="203" t="n"/>
      <c r="L1005" s="203" t="n"/>
      <c r="M1005" s="203" t="n"/>
      <c r="N1005" s="203" t="n"/>
      <c r="O1005" s="203" t="n"/>
      <c r="P1005" s="203" t="n"/>
      <c r="Q1005" s="203" t="n"/>
      <c r="R1005" s="203" t="n"/>
    </row>
    <row r="1006" ht="12.75" customHeight="1" s="204">
      <c r="A1006" s="203" t="n"/>
      <c r="B1006" s="203" t="n"/>
      <c r="C1006" s="203" t="n"/>
      <c r="D1006" s="203" t="n"/>
      <c r="E1006" s="203" t="n"/>
      <c r="F1006" s="203" t="n"/>
      <c r="G1006" s="203" t="n"/>
      <c r="H1006" s="203" t="n"/>
      <c r="I1006" s="203" t="n"/>
      <c r="J1006" s="203" t="n"/>
      <c r="K1006" s="203" t="n"/>
      <c r="L1006" s="203" t="n"/>
      <c r="M1006" s="203" t="n"/>
      <c r="N1006" s="203" t="n"/>
      <c r="O1006" s="203" t="n"/>
      <c r="P1006" s="203" t="n"/>
      <c r="Q1006" s="203" t="n"/>
      <c r="R1006" s="203" t="n"/>
    </row>
    <row r="1007" ht="12.75" customHeight="1" s="204">
      <c r="A1007" s="203" t="n"/>
      <c r="B1007" s="203" t="n"/>
      <c r="C1007" s="203" t="n"/>
      <c r="D1007" s="203" t="n"/>
      <c r="E1007" s="203" t="n"/>
      <c r="F1007" s="203" t="n"/>
      <c r="G1007" s="203" t="n"/>
      <c r="H1007" s="203" t="n"/>
      <c r="I1007" s="203" t="n"/>
      <c r="J1007" s="203" t="n"/>
      <c r="K1007" s="203" t="n"/>
      <c r="L1007" s="203" t="n"/>
      <c r="M1007" s="203" t="n"/>
      <c r="N1007" s="203" t="n"/>
      <c r="O1007" s="203" t="n"/>
      <c r="P1007" s="203" t="n"/>
      <c r="Q1007" s="203" t="n"/>
      <c r="R1007" s="203" t="n"/>
    </row>
    <row r="1008" ht="12.75" customHeight="1" s="204">
      <c r="A1008" s="203" t="n"/>
      <c r="B1008" s="203" t="n"/>
      <c r="C1008" s="203" t="n"/>
      <c r="D1008" s="203" t="n"/>
      <c r="E1008" s="203" t="n"/>
      <c r="F1008" s="203" t="n"/>
      <c r="G1008" s="203" t="n"/>
      <c r="H1008" s="203" t="n"/>
      <c r="I1008" s="203" t="n"/>
      <c r="J1008" s="203" t="n"/>
      <c r="K1008" s="203" t="n"/>
      <c r="L1008" s="203" t="n"/>
      <c r="M1008" s="203" t="n"/>
      <c r="N1008" s="203" t="n"/>
      <c r="O1008" s="203" t="n"/>
      <c r="P1008" s="203" t="n"/>
      <c r="Q1008" s="203" t="n"/>
      <c r="R1008" s="203" t="n"/>
    </row>
    <row r="1009" ht="12.75" customHeight="1" s="204">
      <c r="A1009" s="203" t="n"/>
      <c r="B1009" s="203" t="n"/>
      <c r="C1009" s="203" t="n"/>
      <c r="D1009" s="203" t="n"/>
      <c r="E1009" s="203" t="n"/>
      <c r="F1009" s="203" t="n"/>
      <c r="G1009" s="203" t="n"/>
      <c r="H1009" s="203" t="n"/>
      <c r="I1009" s="203" t="n"/>
      <c r="J1009" s="203" t="n"/>
      <c r="K1009" s="203" t="n"/>
      <c r="L1009" s="203" t="n"/>
      <c r="M1009" s="203" t="n"/>
      <c r="N1009" s="203" t="n"/>
      <c r="O1009" s="203" t="n"/>
      <c r="P1009" s="203" t="n"/>
      <c r="Q1009" s="203" t="n"/>
      <c r="R1009" s="203" t="n"/>
    </row>
    <row r="1010" ht="12.75" customHeight="1" s="204">
      <c r="A1010" s="203" t="n"/>
      <c r="B1010" s="203" t="n"/>
      <c r="C1010" s="203" t="n"/>
      <c r="D1010" s="203" t="n"/>
      <c r="E1010" s="203" t="n"/>
      <c r="F1010" s="203" t="n"/>
      <c r="G1010" s="203" t="n"/>
      <c r="H1010" s="203" t="n"/>
      <c r="I1010" s="203" t="n"/>
      <c r="J1010" s="203" t="n"/>
      <c r="K1010" s="203" t="n"/>
      <c r="L1010" s="203" t="n"/>
      <c r="M1010" s="203" t="n"/>
      <c r="N1010" s="203" t="n"/>
      <c r="O1010" s="203" t="n"/>
      <c r="P1010" s="203" t="n"/>
      <c r="Q1010" s="203" t="n"/>
      <c r="R1010" s="203" t="n"/>
    </row>
    <row r="1011" ht="12.75" customHeight="1" s="204">
      <c r="A1011" s="203" t="n"/>
      <c r="B1011" s="203" t="n"/>
      <c r="C1011" s="203" t="n"/>
      <c r="D1011" s="203" t="n"/>
      <c r="E1011" s="203" t="n"/>
      <c r="F1011" s="203" t="n"/>
      <c r="G1011" s="203" t="n"/>
      <c r="H1011" s="203" t="n"/>
      <c r="I1011" s="203" t="n"/>
      <c r="J1011" s="203" t="n"/>
      <c r="K1011" s="203" t="n"/>
      <c r="L1011" s="203" t="n"/>
      <c r="M1011" s="203" t="n"/>
      <c r="N1011" s="203" t="n"/>
      <c r="O1011" s="203" t="n"/>
      <c r="P1011" s="203" t="n"/>
      <c r="Q1011" s="203" t="n"/>
      <c r="R1011" s="203" t="n"/>
    </row>
    <row r="1012" ht="12.75" customHeight="1" s="204">
      <c r="A1012" s="203" t="n"/>
      <c r="B1012" s="203" t="n"/>
      <c r="C1012" s="203" t="n"/>
      <c r="D1012" s="203" t="n"/>
      <c r="E1012" s="203" t="n"/>
      <c r="F1012" s="203" t="n"/>
      <c r="G1012" s="203" t="n"/>
      <c r="H1012" s="203" t="n"/>
      <c r="I1012" s="203" t="n"/>
      <c r="J1012" s="203" t="n"/>
      <c r="K1012" s="203" t="n"/>
      <c r="L1012" s="203" t="n"/>
      <c r="M1012" s="203" t="n"/>
      <c r="N1012" s="203" t="n"/>
      <c r="O1012" s="203" t="n"/>
      <c r="P1012" s="203" t="n"/>
      <c r="Q1012" s="203" t="n"/>
      <c r="R1012" s="203" t="n"/>
    </row>
    <row r="1013" ht="12.75" customHeight="1" s="204">
      <c r="A1013" s="203" t="n"/>
      <c r="B1013" s="203" t="n"/>
      <c r="C1013" s="203" t="n"/>
      <c r="D1013" s="203" t="n"/>
      <c r="E1013" s="203" t="n"/>
      <c r="F1013" s="203" t="n"/>
      <c r="G1013" s="203" t="n"/>
      <c r="H1013" s="203" t="n"/>
      <c r="I1013" s="203" t="n"/>
      <c r="J1013" s="203" t="n"/>
      <c r="K1013" s="203" t="n"/>
      <c r="L1013" s="203" t="n"/>
      <c r="M1013" s="203" t="n"/>
      <c r="N1013" s="203" t="n"/>
      <c r="O1013" s="203" t="n"/>
      <c r="P1013" s="203" t="n"/>
      <c r="Q1013" s="203" t="n"/>
      <c r="R1013" s="203" t="n"/>
    </row>
    <row r="1014" ht="12.75" customHeight="1" s="204">
      <c r="A1014" s="203" t="n"/>
      <c r="B1014" s="203" t="n"/>
      <c r="C1014" s="203" t="n"/>
      <c r="D1014" s="203" t="n"/>
      <c r="E1014" s="203" t="n"/>
      <c r="F1014" s="203" t="n"/>
      <c r="G1014" s="203" t="n"/>
      <c r="H1014" s="203" t="n"/>
      <c r="I1014" s="203" t="n"/>
      <c r="J1014" s="203" t="n"/>
      <c r="K1014" s="203" t="n"/>
      <c r="L1014" s="203" t="n"/>
      <c r="M1014" s="203" t="n"/>
      <c r="N1014" s="203" t="n"/>
      <c r="O1014" s="203" t="n"/>
      <c r="P1014" s="203" t="n"/>
      <c r="Q1014" s="203" t="n"/>
      <c r="R1014" s="203" t="n"/>
    </row>
    <row r="1015" ht="12.75" customHeight="1" s="204">
      <c r="A1015" s="203" t="n"/>
      <c r="B1015" s="203" t="n"/>
      <c r="C1015" s="203" t="n"/>
      <c r="D1015" s="203" t="n"/>
      <c r="E1015" s="203" t="n"/>
      <c r="F1015" s="203" t="n"/>
      <c r="G1015" s="203" t="n"/>
      <c r="H1015" s="203" t="n"/>
      <c r="I1015" s="203" t="n"/>
      <c r="J1015" s="203" t="n"/>
      <c r="K1015" s="203" t="n"/>
      <c r="L1015" s="203" t="n"/>
      <c r="M1015" s="203" t="n"/>
      <c r="N1015" s="203" t="n"/>
      <c r="O1015" s="203" t="n"/>
      <c r="P1015" s="203" t="n"/>
      <c r="Q1015" s="203" t="n"/>
      <c r="R1015" s="203" t="n"/>
    </row>
    <row r="1016" ht="12.75" customHeight="1" s="204">
      <c r="A1016" s="203" t="n"/>
      <c r="B1016" s="203" t="n"/>
      <c r="C1016" s="203" t="n"/>
      <c r="D1016" s="203" t="n"/>
      <c r="E1016" s="203" t="n"/>
      <c r="F1016" s="203" t="n"/>
      <c r="G1016" s="203" t="n"/>
      <c r="H1016" s="203" t="n"/>
      <c r="I1016" s="203" t="n"/>
      <c r="J1016" s="203" t="n"/>
      <c r="K1016" s="203" t="n"/>
      <c r="L1016" s="203" t="n"/>
      <c r="M1016" s="203" t="n"/>
      <c r="N1016" s="203" t="n"/>
      <c r="O1016" s="203" t="n"/>
      <c r="P1016" s="203" t="n"/>
      <c r="Q1016" s="203" t="n"/>
      <c r="R1016" s="203" t="n"/>
    </row>
    <row r="1017" ht="12.75" customHeight="1" s="204">
      <c r="A1017" s="203" t="n"/>
      <c r="B1017" s="203" t="n"/>
      <c r="C1017" s="203" t="n"/>
      <c r="D1017" s="203" t="n"/>
      <c r="E1017" s="203" t="n"/>
      <c r="F1017" s="203" t="n"/>
      <c r="G1017" s="203" t="n"/>
      <c r="H1017" s="203" t="n"/>
      <c r="I1017" s="203" t="n"/>
      <c r="J1017" s="203" t="n"/>
      <c r="K1017" s="203" t="n"/>
      <c r="L1017" s="203" t="n"/>
      <c r="M1017" s="203" t="n"/>
      <c r="N1017" s="203" t="n"/>
      <c r="O1017" s="203" t="n"/>
      <c r="P1017" s="203" t="n"/>
      <c r="Q1017" s="203" t="n"/>
      <c r="R1017" s="203" t="n"/>
    </row>
    <row r="1018" ht="12.75" customHeight="1" s="204">
      <c r="A1018" s="203" t="n"/>
      <c r="B1018" s="203" t="n"/>
      <c r="C1018" s="203" t="n"/>
      <c r="D1018" s="203" t="n"/>
      <c r="E1018" s="203" t="n"/>
      <c r="F1018" s="203" t="n"/>
      <c r="G1018" s="203" t="n"/>
      <c r="H1018" s="203" t="n"/>
      <c r="I1018" s="203" t="n"/>
      <c r="J1018" s="203" t="n"/>
      <c r="K1018" s="203" t="n"/>
      <c r="L1018" s="203" t="n"/>
      <c r="M1018" s="203" t="n"/>
      <c r="N1018" s="203" t="n"/>
      <c r="O1018" s="203" t="n"/>
      <c r="P1018" s="203" t="n"/>
      <c r="Q1018" s="203" t="n"/>
      <c r="R1018" s="203" t="n"/>
    </row>
    <row r="1019" ht="12.75" customHeight="1" s="204">
      <c r="A1019" s="203" t="n"/>
      <c r="B1019" s="203" t="n"/>
      <c r="C1019" s="203" t="n"/>
      <c r="D1019" s="203" t="n"/>
      <c r="E1019" s="203" t="n"/>
      <c r="F1019" s="203" t="n"/>
      <c r="G1019" s="203" t="n"/>
      <c r="H1019" s="203" t="n"/>
      <c r="I1019" s="203" t="n"/>
      <c r="J1019" s="203" t="n"/>
      <c r="K1019" s="203" t="n"/>
      <c r="L1019" s="203" t="n"/>
      <c r="M1019" s="203" t="n"/>
      <c r="N1019" s="203" t="n"/>
      <c r="O1019" s="203" t="n"/>
      <c r="P1019" s="203" t="n"/>
      <c r="Q1019" s="203" t="n"/>
      <c r="R1019" s="203" t="n"/>
    </row>
    <row r="1020" ht="12.75" customHeight="1" s="204">
      <c r="A1020" s="203" t="n"/>
      <c r="B1020" s="203" t="n"/>
      <c r="C1020" s="203" t="n"/>
      <c r="D1020" s="203" t="n"/>
      <c r="E1020" s="203" t="n"/>
      <c r="F1020" s="203" t="n"/>
      <c r="G1020" s="203" t="n"/>
      <c r="H1020" s="203" t="n"/>
      <c r="I1020" s="203" t="n"/>
      <c r="J1020" s="203" t="n"/>
      <c r="K1020" s="203" t="n"/>
      <c r="L1020" s="203" t="n"/>
      <c r="M1020" s="203" t="n"/>
      <c r="N1020" s="203" t="n"/>
      <c r="O1020" s="203" t="n"/>
      <c r="P1020" s="203" t="n"/>
      <c r="Q1020" s="203" t="n"/>
      <c r="R1020" s="203" t="n"/>
    </row>
    <row r="1021" ht="12.75" customHeight="1" s="204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04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94" t="n">
        <v>7</v>
      </c>
      <c r="B27" s="294">
        <f>IFERROR(INDEX('계좌현황'!A:A,INDEX($L$21:$L$95,MATCH(LARGE($N$21:$N$95,7),$N$21:$N$95,0))),"")</f>
        <v/>
      </c>
      <c r="C27" s="294">
        <f>IFERROR(INDEX('계좌현황'!C:C,INDEX($L$21:$L$95,MATCH(LARGE($N$21:$N$95,7),$N$21:$N$95,0))),"")</f>
        <v/>
      </c>
      <c r="D27" s="294">
        <f>IFERROR(INDEX('계좌현황'!D:D,INDEX($L$21:$L$95,MATCH(LARGE($N$21:$N$95,7),$N$21:$N$95,0))),"")</f>
        <v/>
      </c>
      <c r="E27" s="294">
        <f>IFERROR(INDEX('계좌현황'!E:E,INDEX($L$21:$L$95,MATCH(LARGE($N$21:$N$95,7),$N$21:$N$95,0))),"")</f>
        <v/>
      </c>
      <c r="F27" s="321">
        <f>IFERROR(INDEX('계좌현황'!F:F,INDEX($L$21:$L$95,MATCH(LARGE($N$21:$N$95,7),$N$21:$N$95,0))),"")</f>
        <v/>
      </c>
      <c r="G27" s="322">
        <f>IFERROR(INDEX('계좌현황'!K:K,INDEX($L$21:$L$95,MATCH(LARGE($N$21:$N$95,7),$N$21:$N$95,0))),0)</f>
        <v/>
      </c>
      <c r="H27" s="323">
        <f>IF($B$3=0,0,G27/$B$3)</f>
        <v/>
      </c>
      <c r="I27" s="323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85" t="n">
        <v>8</v>
      </c>
      <c r="B28" s="285">
        <f>IFERROR(INDEX('계좌현황'!A:A,INDEX($L$21:$L$95,MATCH(LARGE($N$21:$N$95,8),$N$21:$N$95,0))),"")</f>
        <v/>
      </c>
      <c r="C28" s="285">
        <f>IFERROR(INDEX('계좌현황'!C:C,INDEX($L$21:$L$95,MATCH(LARGE($N$21:$N$95,8),$N$21:$N$95,0))),"")</f>
        <v/>
      </c>
      <c r="D28" s="285">
        <f>IFERROR(INDEX('계좌현황'!D:D,INDEX($L$21:$L$95,MATCH(LARGE($N$21:$N$95,8),$N$21:$N$95,0))),"")</f>
        <v/>
      </c>
      <c r="E28" s="285">
        <f>IFERROR(INDEX('계좌현황'!E:E,INDEX($L$21:$L$95,MATCH(LARGE($N$21:$N$95,8),$N$21:$N$95,0))),"")</f>
        <v/>
      </c>
      <c r="F28" s="315">
        <f>IFERROR(INDEX('계좌현황'!F:F,INDEX($L$21:$L$95,MATCH(LARGE($N$21:$N$95,8),$N$21:$N$95,0))),"")</f>
        <v/>
      </c>
      <c r="G28" s="316">
        <f>IFERROR(INDEX('계좌현황'!K:K,INDEX($L$21:$L$95,MATCH(LARGE($N$21:$N$95,8),$N$21:$N$95,0))),0)</f>
        <v/>
      </c>
      <c r="H28" s="317">
        <f>IF($B$3=0,0,G28/$B$3)</f>
        <v/>
      </c>
      <c r="I28" s="317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5" t="n">
        <v>10</v>
      </c>
      <c r="B30" s="285">
        <f>IFERROR(INDEX('계좌현황'!A:A,INDEX($L$21:$L$95,MATCH(LARGE($N$21:$N$95,10),$N$21:$N$95,0))),"")</f>
        <v/>
      </c>
      <c r="C30" s="285">
        <f>IFERROR(INDEX('계좌현황'!C:C,INDEX($L$21:$L$95,MATCH(LARGE($N$21:$N$95,10),$N$21:$N$95,0))),"")</f>
        <v/>
      </c>
      <c r="D30" s="285">
        <f>IFERROR(INDEX('계좌현황'!D:D,INDEX($L$21:$L$95,MATCH(LARGE($N$21:$N$95,10),$N$21:$N$95,0))),"")</f>
        <v/>
      </c>
      <c r="E30" s="285">
        <f>IFERROR(INDEX('계좌현황'!E:E,INDEX($L$21:$L$95,MATCH(LARGE($N$21:$N$95,10),$N$21:$N$95,0))),"")</f>
        <v/>
      </c>
      <c r="F30" s="315">
        <f>IFERROR(INDEX('계좌현황'!F:F,INDEX($L$21:$L$95,MATCH(LARGE($N$21:$N$95,10),$N$21:$N$95,0))),"")</f>
        <v/>
      </c>
      <c r="G30" s="316">
        <f>IFERROR(INDEX('계좌현황'!K:K,INDEX($L$21:$L$95,MATCH(LARGE($N$21:$N$95,10),$N$21:$N$95,0))),0)</f>
        <v/>
      </c>
      <c r="H30" s="317">
        <f>IF($B$3=0,0,G30/$B$3)</f>
        <v/>
      </c>
      <c r="I30" s="317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94" t="n">
        <v>11</v>
      </c>
      <c r="B31" s="294">
        <f>IFERROR(INDEX('계좌현황'!A:A,INDEX($L$21:$L$95,MATCH(LARGE($N$21:$N$95,11),$N$21:$N$95,0))),"")</f>
        <v/>
      </c>
      <c r="C31" s="294">
        <f>IFERROR(INDEX('계좌현황'!C:C,INDEX($L$21:$L$95,MATCH(LARGE($N$21:$N$95,11),$N$21:$N$95,0))),"")</f>
        <v/>
      </c>
      <c r="D31" s="294">
        <f>IFERROR(INDEX('계좌현황'!D:D,INDEX($L$21:$L$95,MATCH(LARGE($N$21:$N$95,11),$N$21:$N$95,0))),"")</f>
        <v/>
      </c>
      <c r="E31" s="294">
        <f>IFERROR(INDEX('계좌현황'!E:E,INDEX($L$21:$L$95,MATCH(LARGE($N$21:$N$95,11),$N$21:$N$95,0))),"")</f>
        <v/>
      </c>
      <c r="F31" s="321">
        <f>IFERROR(INDEX('계좌현황'!F:F,INDEX($L$21:$L$95,MATCH(LARGE($N$21:$N$95,11),$N$21:$N$95,0))),"")</f>
        <v/>
      </c>
      <c r="G31" s="322">
        <f>IFERROR(INDEX('계좌현황'!K:K,INDEX($L$21:$L$95,MATCH(LARGE($N$21:$N$95,11),$N$21:$N$95,0))),0)</f>
        <v/>
      </c>
      <c r="H31" s="323">
        <f>IF($B$3=0,0,G31/$B$3)</f>
        <v/>
      </c>
      <c r="I31" s="323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4" t="n">
        <v>12</v>
      </c>
      <c r="B32" s="294">
        <f>IFERROR(INDEX('계좌현황'!A:A,INDEX($L$21:$L$95,MATCH(LARGE($N$21:$N$95,12),$N$21:$N$95,0))),"")</f>
        <v/>
      </c>
      <c r="C32" s="294">
        <f>IFERROR(INDEX('계좌현황'!C:C,INDEX($L$21:$L$95,MATCH(LARGE($N$21:$N$95,12),$N$21:$N$95,0))),"")</f>
        <v/>
      </c>
      <c r="D32" s="294">
        <f>IFERROR(INDEX('계좌현황'!D:D,INDEX($L$21:$L$95,MATCH(LARGE($N$21:$N$95,12),$N$21:$N$95,0))),"")</f>
        <v/>
      </c>
      <c r="E32" s="294">
        <f>IFERROR(INDEX('계좌현황'!E:E,INDEX($L$21:$L$95,MATCH(LARGE($N$21:$N$95,12),$N$21:$N$95,0))),"")</f>
        <v/>
      </c>
      <c r="F32" s="321">
        <f>IFERROR(INDEX('계좌현황'!F:F,INDEX($L$21:$L$95,MATCH(LARGE($N$21:$N$95,12),$N$21:$N$95,0))),"")</f>
        <v/>
      </c>
      <c r="G32" s="322">
        <f>IFERROR(INDEX('계좌현황'!K:K,INDEX($L$21:$L$95,MATCH(LARGE($N$21:$N$95,12),$N$21:$N$95,0))),0)</f>
        <v/>
      </c>
      <c r="H32" s="323">
        <f>IF($B$3=0,0,G32/$B$3)</f>
        <v/>
      </c>
      <c r="I32" s="323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5" t="n">
        <v>13</v>
      </c>
      <c r="B33" s="285">
        <f>IFERROR(INDEX('계좌현황'!A:A,INDEX($L$21:$L$95,MATCH(LARGE($N$21:$N$95,13),$N$21:$N$95,0))),"")</f>
        <v/>
      </c>
      <c r="C33" s="285">
        <f>IFERROR(INDEX('계좌현황'!C:C,INDEX($L$21:$L$95,MATCH(LARGE($N$21:$N$95,13),$N$21:$N$95,0))),"")</f>
        <v/>
      </c>
      <c r="D33" s="285">
        <f>IFERROR(INDEX('계좌현황'!D:D,INDEX($L$21:$L$95,MATCH(LARGE($N$21:$N$95,13),$N$21:$N$95,0))),"")</f>
        <v/>
      </c>
      <c r="E33" s="285">
        <f>IFERROR(INDEX('계좌현황'!E:E,INDEX($L$21:$L$95,MATCH(LARGE($N$21:$N$95,13),$N$21:$N$95,0))),"")</f>
        <v/>
      </c>
      <c r="F33" s="315">
        <f>IFERROR(INDEX('계좌현황'!F:F,INDEX($L$21:$L$95,MATCH(LARGE($N$21:$N$95,13),$N$21:$N$95,0))),"")</f>
        <v/>
      </c>
      <c r="G33" s="316">
        <f>IFERROR(INDEX('계좌현황'!K:K,INDEX($L$21:$L$95,MATCH(LARGE($N$21:$N$95,13),$N$21:$N$95,0))),0)</f>
        <v/>
      </c>
      <c r="H33" s="317">
        <f>IF($B$3=0,0,G33/$B$3)</f>
        <v/>
      </c>
      <c r="I33" s="317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7" t="n">
        <v>17</v>
      </c>
      <c r="B37" s="297">
        <f>IFERROR(INDEX('계좌현황'!A:A,INDEX($L$21:$L$95,MATCH(LARGE($N$21:$N$95,17),$N$21:$N$95,0))),"")</f>
        <v/>
      </c>
      <c r="C37" s="297">
        <f>IFERROR(INDEX('계좌현황'!C:C,INDEX($L$21:$L$95,MATCH(LARGE($N$21:$N$95,17),$N$21:$N$95,0))),"")</f>
        <v/>
      </c>
      <c r="D37" s="297">
        <f>IFERROR(INDEX('계좌현황'!D:D,INDEX($L$21:$L$95,MATCH(LARGE($N$21:$N$95,17),$N$21:$N$95,0))),"")</f>
        <v/>
      </c>
      <c r="E37" s="297">
        <f>IFERROR(INDEX('계좌현황'!E:E,INDEX($L$21:$L$95,MATCH(LARGE($N$21:$N$95,17),$N$21:$N$95,0))),"")</f>
        <v/>
      </c>
      <c r="F37" s="324">
        <f>IFERROR(INDEX('계좌현황'!F:F,INDEX($L$21:$L$95,MATCH(LARGE($N$21:$N$95,17),$N$21:$N$95,0))),"")</f>
        <v/>
      </c>
      <c r="G37" s="325">
        <f>IFERROR(INDEX('계좌현황'!K:K,INDEX($L$21:$L$95,MATCH(LARGE($N$21:$N$95,17),$N$21:$N$95,0))),0)</f>
        <v/>
      </c>
      <c r="H37" s="326">
        <f>IF($B$3=0,0,G37/$B$3)</f>
        <v/>
      </c>
      <c r="I37" s="326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303" t="n">
        <v>18</v>
      </c>
      <c r="B38" s="303">
        <f>IFERROR(INDEX('계좌현황'!A:A,INDEX($L$21:$L$95,MATCH(LARGE($N$21:$N$95,18),$N$21:$N$95,0))),"")</f>
        <v/>
      </c>
      <c r="C38" s="303">
        <f>IFERROR(INDEX('계좌현황'!C:C,INDEX($L$21:$L$95,MATCH(LARGE($N$21:$N$95,18),$N$21:$N$95,0))),"")</f>
        <v/>
      </c>
      <c r="D38" s="303">
        <f>IFERROR(INDEX('계좌현황'!D:D,INDEX($L$21:$L$95,MATCH(LARGE($N$21:$N$95,18),$N$21:$N$95,0))),"")</f>
        <v/>
      </c>
      <c r="E38" s="303">
        <f>IFERROR(INDEX('계좌현황'!E:E,INDEX($L$21:$L$95,MATCH(LARGE($N$21:$N$95,18),$N$21:$N$95,0))),"")</f>
        <v/>
      </c>
      <c r="F38" s="327">
        <f>IFERROR(INDEX('계좌현황'!F:F,INDEX($L$21:$L$95,MATCH(LARGE($N$21:$N$95,18),$N$21:$N$95,0))),"")</f>
        <v/>
      </c>
      <c r="G38" s="328">
        <f>IFERROR(INDEX('계좌현황'!K:K,INDEX($L$21:$L$95,MATCH(LARGE($N$21:$N$95,18),$N$21:$N$95,0))),0)</f>
        <v/>
      </c>
      <c r="H38" s="329">
        <f>IF($B$3=0,0,G38/$B$3)</f>
        <v/>
      </c>
      <c r="I38" s="329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1" t="n">
        <v>19</v>
      </c>
      <c r="B39" s="291">
        <f>IFERROR(INDEX('계좌현황'!A:A,INDEX($L$21:$L$95,MATCH(LARGE($N$21:$N$95,19),$N$21:$N$95,0))),"")</f>
        <v/>
      </c>
      <c r="C39" s="291">
        <f>IFERROR(INDEX('계좌현황'!C:C,INDEX($L$21:$L$95,MATCH(LARGE($N$21:$N$95,19),$N$21:$N$95,0))),"")</f>
        <v/>
      </c>
      <c r="D39" s="291">
        <f>IFERROR(INDEX('계좌현황'!D:D,INDEX($L$21:$L$95,MATCH(LARGE($N$21:$N$95,19),$N$21:$N$95,0))),"")</f>
        <v/>
      </c>
      <c r="E39" s="291">
        <f>IFERROR(INDEX('계좌현황'!E:E,INDEX($L$21:$L$95,MATCH(LARGE($N$21:$N$95,19),$N$21:$N$95,0))),"")</f>
        <v/>
      </c>
      <c r="F39" s="330">
        <f>IFERROR(INDEX('계좌현황'!F:F,INDEX($L$21:$L$95,MATCH(LARGE($N$21:$N$95,19),$N$21:$N$95,0))),"")</f>
        <v/>
      </c>
      <c r="G39" s="331">
        <f>IFERROR(INDEX('계좌현황'!K:K,INDEX($L$21:$L$95,MATCH(LARGE($N$21:$N$95,19),$N$21:$N$95,0))),0)</f>
        <v/>
      </c>
      <c r="H39" s="332">
        <f>IF($B$3=0,0,G39/$B$3)</f>
        <v/>
      </c>
      <c r="I39" s="332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3" t="n">
        <v>20</v>
      </c>
      <c r="B40" s="303">
        <f>IFERROR(INDEX('계좌현황'!A:A,INDEX($L$21:$L$95,MATCH(LARGE($N$21:$N$95,20),$N$21:$N$95,0))),"")</f>
        <v/>
      </c>
      <c r="C40" s="303">
        <f>IFERROR(INDEX('계좌현황'!C:C,INDEX($L$21:$L$95,MATCH(LARGE($N$21:$N$95,20),$N$21:$N$95,0))),"")</f>
        <v/>
      </c>
      <c r="D40" s="303">
        <f>IFERROR(INDEX('계좌현황'!D:D,INDEX($L$21:$L$95,MATCH(LARGE($N$21:$N$95,20),$N$21:$N$95,0))),"")</f>
        <v/>
      </c>
      <c r="E40" s="303">
        <f>IFERROR(INDEX('계좌현황'!E:E,INDEX($L$21:$L$95,MATCH(LARGE($N$21:$N$95,20),$N$21:$N$95,0))),"")</f>
        <v/>
      </c>
      <c r="F40" s="327">
        <f>IFERROR(INDEX('계좌현황'!F:F,INDEX($L$21:$L$95,MATCH(LARGE($N$21:$N$95,20),$N$21:$N$95,0))),"")</f>
        <v/>
      </c>
      <c r="G40" s="328">
        <f>IFERROR(INDEX('계좌현황'!K:K,INDEX($L$21:$L$95,MATCH(LARGE($N$21:$N$95,20),$N$21:$N$95,0))),0)</f>
        <v/>
      </c>
      <c r="H40" s="329">
        <f>IF($B$3=0,0,G40/$B$3)</f>
        <v/>
      </c>
      <c r="I40" s="329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7" t="n">
        <v>21</v>
      </c>
      <c r="B41" s="297">
        <f>IFERROR(INDEX('계좌현황'!A:A,INDEX($L$21:$L$95,MATCH(LARGE($N$21:$N$95,21),$N$21:$N$95,0))),"")</f>
        <v/>
      </c>
      <c r="C41" s="297">
        <f>IFERROR(INDEX('계좌현황'!C:C,INDEX($L$21:$L$95,MATCH(LARGE($N$21:$N$95,21),$N$21:$N$95,0))),"")</f>
        <v/>
      </c>
      <c r="D41" s="297">
        <f>IFERROR(INDEX('계좌현황'!D:D,INDEX($L$21:$L$95,MATCH(LARGE($N$21:$N$95,21),$N$21:$N$95,0))),"")</f>
        <v/>
      </c>
      <c r="E41" s="297">
        <f>IFERROR(INDEX('계좌현황'!E:E,INDEX($L$21:$L$95,MATCH(LARGE($N$21:$N$95,21),$N$21:$N$95,0))),"")</f>
        <v/>
      </c>
      <c r="F41" s="324">
        <f>IFERROR(INDEX('계좌현황'!F:F,INDEX($L$21:$L$95,MATCH(LARGE($N$21:$N$95,21),$N$21:$N$95,0))),"")</f>
        <v/>
      </c>
      <c r="G41" s="325">
        <f>IFERROR(INDEX('계좌현황'!K:K,INDEX($L$21:$L$95,MATCH(LARGE($N$21:$N$95,21),$N$21:$N$95,0))),0)</f>
        <v/>
      </c>
      <c r="H41" s="326">
        <f>IF($B$3=0,0,G41/$B$3)</f>
        <v/>
      </c>
      <c r="I41" s="326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3" t="n">
        <v>22</v>
      </c>
      <c r="B42" s="303">
        <f>IFERROR(INDEX('계좌현황'!A:A,INDEX($L$21:$L$95,MATCH(LARGE($N$21:$N$95,22),$N$21:$N$95,0))),"")</f>
        <v/>
      </c>
      <c r="C42" s="303">
        <f>IFERROR(INDEX('계좌현황'!C:C,INDEX($L$21:$L$95,MATCH(LARGE($N$21:$N$95,22),$N$21:$N$95,0))),"")</f>
        <v/>
      </c>
      <c r="D42" s="303">
        <f>IFERROR(INDEX('계좌현황'!D:D,INDEX($L$21:$L$95,MATCH(LARGE($N$21:$N$95,22),$N$21:$N$95,0))),"")</f>
        <v/>
      </c>
      <c r="E42" s="303">
        <f>IFERROR(INDEX('계좌현황'!E:E,INDEX($L$21:$L$95,MATCH(LARGE($N$21:$N$95,22),$N$21:$N$95,0))),"")</f>
        <v/>
      </c>
      <c r="F42" s="327">
        <f>IFERROR(INDEX('계좌현황'!F:F,INDEX($L$21:$L$95,MATCH(LARGE($N$21:$N$95,22),$N$21:$N$95,0))),"")</f>
        <v/>
      </c>
      <c r="G42" s="328">
        <f>IFERROR(INDEX('계좌현황'!K:K,INDEX($L$21:$L$95,MATCH(LARGE($N$21:$N$95,22),$N$21:$N$95,0))),0)</f>
        <v/>
      </c>
      <c r="H42" s="329">
        <f>IF($B$3=0,0,G42/$B$3)</f>
        <v/>
      </c>
      <c r="I42" s="329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9" t="n">
        <v>23</v>
      </c>
      <c r="B43" s="309">
        <f>IFERROR(INDEX('계좌현황'!A:A,INDEX($L$21:$L$95,MATCH(LARGE($N$21:$N$95,23),$N$21:$N$95,0))),"")</f>
        <v/>
      </c>
      <c r="C43" s="309">
        <f>IFERROR(INDEX('계좌현황'!C:C,INDEX($L$21:$L$95,MATCH(LARGE($N$21:$N$95,23),$N$21:$N$95,0))),"")</f>
        <v/>
      </c>
      <c r="D43" s="309">
        <f>IFERROR(INDEX('계좌현황'!D:D,INDEX($L$21:$L$95,MATCH(LARGE($N$21:$N$95,23),$N$21:$N$95,0))),"")</f>
        <v/>
      </c>
      <c r="E43" s="309">
        <f>IFERROR(INDEX('계좌현황'!E:E,INDEX($L$21:$L$95,MATCH(LARGE($N$21:$N$95,23),$N$21:$N$95,0))),"")</f>
        <v/>
      </c>
      <c r="F43" s="333">
        <f>IFERROR(INDEX('계좌현황'!F:F,INDEX($L$21:$L$95,MATCH(LARGE($N$21:$N$95,23),$N$21:$N$95,0))),"")</f>
        <v/>
      </c>
      <c r="G43" s="334">
        <f>IFERROR(INDEX('계좌현황'!K:K,INDEX($L$21:$L$95,MATCH(LARGE($N$21:$N$95,23),$N$21:$N$95,0))),0)</f>
        <v/>
      </c>
      <c r="H43" s="335">
        <f>IF($B$3=0,0,G43/$B$3)</f>
        <v/>
      </c>
      <c r="I43" s="335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4" t="n">
        <v>25</v>
      </c>
      <c r="B45" s="294">
        <f>IFERROR(INDEX('계좌현황'!A:A,INDEX($L$21:$L$95,MATCH(LARGE($N$21:$N$95,25),$N$21:$N$95,0))),"")</f>
        <v/>
      </c>
      <c r="C45" s="294">
        <f>IFERROR(INDEX('계좌현황'!C:C,INDEX($L$21:$L$95,MATCH(LARGE($N$21:$N$95,25),$N$21:$N$95,0))),"")</f>
        <v/>
      </c>
      <c r="D45" s="294">
        <f>IFERROR(INDEX('계좌현황'!D:D,INDEX($L$21:$L$95,MATCH(LARGE($N$21:$N$95,25),$N$21:$N$95,0))),"")</f>
        <v/>
      </c>
      <c r="E45" s="294">
        <f>IFERROR(INDEX('계좌현황'!E:E,INDEX($L$21:$L$95,MATCH(LARGE($N$21:$N$95,25),$N$21:$N$95,0))),"")</f>
        <v/>
      </c>
      <c r="F45" s="321">
        <f>IFERROR(INDEX('계좌현황'!F:F,INDEX($L$21:$L$95,MATCH(LARGE($N$21:$N$95,25),$N$21:$N$95,0))),"")</f>
        <v/>
      </c>
      <c r="G45" s="322">
        <f>IFERROR(INDEX('계좌현황'!K:K,INDEX($L$21:$L$95,MATCH(LARGE($N$21:$N$95,25),$N$21:$N$95,0))),0)</f>
        <v/>
      </c>
      <c r="H45" s="323">
        <f>IF($B$3=0,0,G45/$B$3)</f>
        <v/>
      </c>
      <c r="I45" s="32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7" t="n">
        <v>26</v>
      </c>
      <c r="B46" s="297">
        <f>IFERROR(INDEX('계좌현황'!A:A,INDEX($L$21:$L$95,MATCH(LARGE($N$21:$N$95,26),$N$21:$N$95,0))),"")</f>
        <v/>
      </c>
      <c r="C46" s="297">
        <f>IFERROR(INDEX('계좌현황'!C:C,INDEX($L$21:$L$95,MATCH(LARGE($N$21:$N$95,26),$N$21:$N$95,0))),"")</f>
        <v/>
      </c>
      <c r="D46" s="297">
        <f>IFERROR(INDEX('계좌현황'!D:D,INDEX($L$21:$L$95,MATCH(LARGE($N$21:$N$95,26),$N$21:$N$95,0))),"")</f>
        <v/>
      </c>
      <c r="E46" s="297">
        <f>IFERROR(INDEX('계좌현황'!E:E,INDEX($L$21:$L$95,MATCH(LARGE($N$21:$N$95,26),$N$21:$N$95,0))),"")</f>
        <v/>
      </c>
      <c r="F46" s="324">
        <f>IFERROR(INDEX('계좌현황'!F:F,INDEX($L$21:$L$95,MATCH(LARGE($N$21:$N$95,26),$N$21:$N$95,0))),"")</f>
        <v/>
      </c>
      <c r="G46" s="325">
        <f>IFERROR(INDEX('계좌현황'!K:K,INDEX($L$21:$L$95,MATCH(LARGE($N$21:$N$95,26),$N$21:$N$95,0))),0)</f>
        <v/>
      </c>
      <c r="H46" s="326">
        <f>IF($B$3=0,0,G46/$B$3)</f>
        <v/>
      </c>
      <c r="I46" s="326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7" t="n">
        <v>28</v>
      </c>
      <c r="B48" s="297">
        <f>IFERROR(INDEX('계좌현황'!A:A,INDEX($L$21:$L$95,MATCH(LARGE($N$21:$N$95,28),$N$21:$N$95,0))),"")</f>
        <v/>
      </c>
      <c r="C48" s="297">
        <f>IFERROR(INDEX('계좌현황'!C:C,INDEX($L$21:$L$95,MATCH(LARGE($N$21:$N$95,28),$N$21:$N$95,0))),"")</f>
        <v/>
      </c>
      <c r="D48" s="297">
        <f>IFERROR(INDEX('계좌현황'!D:D,INDEX($L$21:$L$95,MATCH(LARGE($N$21:$N$95,28),$N$21:$N$95,0))),"")</f>
        <v/>
      </c>
      <c r="E48" s="297">
        <f>IFERROR(INDEX('계좌현황'!E:E,INDEX($L$21:$L$95,MATCH(LARGE($N$21:$N$95,28),$N$21:$N$95,0))),"")</f>
        <v/>
      </c>
      <c r="F48" s="324">
        <f>IFERROR(INDEX('계좌현황'!F:F,INDEX($L$21:$L$95,MATCH(LARGE($N$21:$N$95,28),$N$21:$N$95,0))),"")</f>
        <v/>
      </c>
      <c r="G48" s="325">
        <f>IFERROR(INDEX('계좌현황'!K:K,INDEX($L$21:$L$95,MATCH(LARGE($N$21:$N$95,28),$N$21:$N$95,0))),0)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4" t="n">
        <v>30</v>
      </c>
      <c r="B50" s="294">
        <f>IFERROR(INDEX('계좌현황'!A:A,INDEX($L$21:$L$95,MATCH(LARGE($N$21:$N$95,30),$N$21:$N$95,0))),"")</f>
        <v/>
      </c>
      <c r="C50" s="294">
        <f>IFERROR(INDEX('계좌현황'!C:C,INDEX($L$21:$L$95,MATCH(LARGE($N$21:$N$95,30),$N$21:$N$95,0))),"")</f>
        <v/>
      </c>
      <c r="D50" s="294">
        <f>IFERROR(INDEX('계좌현황'!D:D,INDEX($L$21:$L$95,MATCH(LARGE($N$21:$N$95,30),$N$21:$N$95,0))),"")</f>
        <v/>
      </c>
      <c r="E50" s="294">
        <f>IFERROR(INDEX('계좌현황'!E:E,INDEX($L$21:$L$95,MATCH(LARGE($N$21:$N$95,30),$N$21:$N$95,0))),"")</f>
        <v/>
      </c>
      <c r="F50" s="321">
        <f>IFERROR(INDEX('계좌현황'!F:F,INDEX($L$21:$L$95,MATCH(LARGE($N$21:$N$95,30),$N$21:$N$95,0))),"")</f>
        <v/>
      </c>
      <c r="G50" s="322">
        <f>IFERROR(INDEX('계좌현황'!K:K,INDEX($L$21:$L$95,MATCH(LARGE($N$21:$N$95,30),$N$21:$N$95,0))),0)</f>
        <v/>
      </c>
      <c r="H50" s="323">
        <f>IF($B$3=0,0,G50/$B$3)</f>
        <v/>
      </c>
      <c r="I50" s="323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1" t="n">
        <v>31</v>
      </c>
      <c r="B51" s="291">
        <f>IFERROR(INDEX('계좌현황'!A:A,INDEX($L$21:$L$95,MATCH(LARGE($N$21:$N$95,31),$N$21:$N$95,0))),"")</f>
        <v/>
      </c>
      <c r="C51" s="291">
        <f>IFERROR(INDEX('계좌현황'!C:C,INDEX($L$21:$L$95,MATCH(LARGE($N$21:$N$95,31),$N$21:$N$95,0))),"")</f>
        <v/>
      </c>
      <c r="D51" s="291">
        <f>IFERROR(INDEX('계좌현황'!D:D,INDEX($L$21:$L$95,MATCH(LARGE($N$21:$N$95,31),$N$21:$N$95,0))),"")</f>
        <v/>
      </c>
      <c r="E51" s="291">
        <f>IFERROR(INDEX('계좌현황'!E:E,INDEX($L$21:$L$95,MATCH(LARGE($N$21:$N$95,31),$N$21:$N$95,0))),"")</f>
        <v/>
      </c>
      <c r="F51" s="330">
        <f>IFERROR(INDEX('계좌현황'!F:F,INDEX($L$21:$L$95,MATCH(LARGE($N$21:$N$95,31),$N$21:$N$95,0))),"")</f>
        <v/>
      </c>
      <c r="G51" s="331">
        <f>IFERROR(INDEX('계좌현황'!K:K,INDEX($L$21:$L$95,MATCH(LARGE($N$21:$N$95,31),$N$21:$N$95,0))),0)</f>
        <v/>
      </c>
      <c r="H51" s="332">
        <f>IF($B$3=0,0,G51/$B$3)</f>
        <v/>
      </c>
      <c r="I51" s="332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4" t="n">
        <v>35</v>
      </c>
      <c r="B55" s="294">
        <f>IFERROR(INDEX('계좌현황'!A:A,INDEX($L$21:$L$95,MATCH(LARGE($N$21:$N$95,35),$N$21:$N$95,0))),"")</f>
        <v/>
      </c>
      <c r="C55" s="294">
        <f>IFERROR(INDEX('계좌현황'!C:C,INDEX($L$21:$L$95,MATCH(LARGE($N$21:$N$95,35),$N$21:$N$95,0))),"")</f>
        <v/>
      </c>
      <c r="D55" s="294">
        <f>IFERROR(INDEX('계좌현황'!D:D,INDEX($L$21:$L$95,MATCH(LARGE($N$21:$N$95,35),$N$21:$N$95,0))),"")</f>
        <v/>
      </c>
      <c r="E55" s="294">
        <f>IFERROR(INDEX('계좌현황'!E:E,INDEX($L$21:$L$95,MATCH(LARGE($N$21:$N$95,35),$N$21:$N$95,0))),"")</f>
        <v/>
      </c>
      <c r="F55" s="321">
        <f>IFERROR(INDEX('계좌현황'!F:F,INDEX($L$21:$L$95,MATCH(LARGE($N$21:$N$95,35),$N$21:$N$95,0))),"")</f>
        <v/>
      </c>
      <c r="G55" s="322">
        <f>IFERROR(INDEX('계좌현황'!K:K,INDEX($L$21:$L$95,MATCH(LARGE($N$21:$N$95,35),$N$21:$N$95,0))),0)</f>
        <v/>
      </c>
      <c r="H55" s="323">
        <f>IF($B$3=0,0,G55/$B$3)</f>
        <v/>
      </c>
      <c r="I55" s="323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7" t="n">
        <v>36</v>
      </c>
      <c r="B56" s="297">
        <f>IFERROR(INDEX('계좌현황'!A:A,INDEX($L$21:$L$95,MATCH(LARGE($N$21:$N$95,36),$N$21:$N$95,0))),"")</f>
        <v/>
      </c>
      <c r="C56" s="297">
        <f>IFERROR(INDEX('계좌현황'!C:C,INDEX($L$21:$L$95,MATCH(LARGE($N$21:$N$95,36),$N$21:$N$95,0))),"")</f>
        <v/>
      </c>
      <c r="D56" s="297">
        <f>IFERROR(INDEX('계좌현황'!D:D,INDEX($L$21:$L$95,MATCH(LARGE($N$21:$N$95,36),$N$21:$N$95,0))),"")</f>
        <v/>
      </c>
      <c r="E56" s="297">
        <f>IFERROR(INDEX('계좌현황'!E:E,INDEX($L$21:$L$95,MATCH(LARGE($N$21:$N$95,36),$N$21:$N$95,0))),"")</f>
        <v/>
      </c>
      <c r="F56" s="324">
        <f>IFERROR(INDEX('계좌현황'!F:F,INDEX($L$21:$L$95,MATCH(LARGE($N$21:$N$95,36),$N$21:$N$95,0))),"")</f>
        <v/>
      </c>
      <c r="G56" s="325">
        <f>IFERROR(INDEX('계좌현황'!K:K,INDEX($L$21:$L$95,MATCH(LARGE($N$21:$N$95,36),$N$21:$N$95,0))),0)</f>
        <v/>
      </c>
      <c r="H56" s="326">
        <f>IF($B$3=0,0,G56/$B$3)</f>
        <v/>
      </c>
      <c r="I56" s="326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4" t="n">
        <v>41</v>
      </c>
      <c r="B61" s="294">
        <f>IFERROR(INDEX('계좌현황'!A:A,INDEX($L$21:$L$95,MATCH(LARGE($N$21:$N$95,41),$N$21:$N$95,0))),"")</f>
        <v/>
      </c>
      <c r="C61" s="294">
        <f>IFERROR(INDEX('계좌현황'!C:C,INDEX($L$21:$L$95,MATCH(LARGE($N$21:$N$95,41),$N$21:$N$95,0))),"")</f>
        <v/>
      </c>
      <c r="D61" s="294">
        <f>IFERROR(INDEX('계좌현황'!D:D,INDEX($L$21:$L$95,MATCH(LARGE($N$21:$N$95,41),$N$21:$N$95,0))),"")</f>
        <v/>
      </c>
      <c r="E61" s="294">
        <f>IFERROR(INDEX('계좌현황'!E:E,INDEX($L$21:$L$95,MATCH(LARGE($N$21:$N$95,41),$N$21:$N$95,0))),"")</f>
        <v/>
      </c>
      <c r="F61" s="321">
        <f>IFERROR(INDEX('계좌현황'!F:F,INDEX($L$21:$L$95,MATCH(LARGE($N$21:$N$95,41),$N$21:$N$95,0))),"")</f>
        <v/>
      </c>
      <c r="G61" s="322">
        <f>IFERROR(INDEX('계좌현황'!K:K,INDEX($L$21:$L$95,MATCH(LARGE($N$21:$N$95,41),$N$21:$N$95,0))),0)</f>
        <v/>
      </c>
      <c r="H61" s="323">
        <f>IF($B$3=0,0,G61/$B$3)</f>
        <v/>
      </c>
      <c r="I61" s="323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7" t="n">
        <v>43</v>
      </c>
      <c r="B63" s="297">
        <f>IFERROR(INDEX('계좌현황'!A:A,INDEX($L$21:$L$95,MATCH(LARGE($N$21:$N$95,43),$N$21:$N$95,0))),"")</f>
        <v/>
      </c>
      <c r="C63" s="297">
        <f>IFERROR(INDEX('계좌현황'!C:C,INDEX($L$21:$L$95,MATCH(LARGE($N$21:$N$95,43),$N$21:$N$95,0))),"")</f>
        <v/>
      </c>
      <c r="D63" s="297">
        <f>IFERROR(INDEX('계좌현황'!D:D,INDEX($L$21:$L$95,MATCH(LARGE($N$21:$N$95,43),$N$21:$N$95,0))),"")</f>
        <v/>
      </c>
      <c r="E63" s="297">
        <f>IFERROR(INDEX('계좌현황'!E:E,INDEX($L$21:$L$95,MATCH(LARGE($N$21:$N$95,43),$N$21:$N$95,0))),"")</f>
        <v/>
      </c>
      <c r="F63" s="324">
        <f>IFERROR(INDEX('계좌현황'!F:F,INDEX($L$21:$L$95,MATCH(LARGE($N$21:$N$95,43),$N$21:$N$95,0))),"")</f>
        <v/>
      </c>
      <c r="G63" s="325">
        <f>IFERROR(INDEX('계좌현황'!K:K,INDEX($L$21:$L$95,MATCH(LARGE($N$21:$N$95,43),$N$21:$N$95,0))),0)</f>
        <v/>
      </c>
      <c r="H63" s="326">
        <f>IF($B$3=0,0,G63/$B$3)</f>
        <v/>
      </c>
      <c r="I63" s="326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7" t="n">
        <v>60</v>
      </c>
      <c r="B80" s="297">
        <f>IFERROR(INDEX('계좌현황'!A:A,INDEX($L$21:$L$95,MATCH(LARGE($N$21:$N$95,60),$N$21:$N$95,0))),"")</f>
        <v/>
      </c>
      <c r="C80" s="297">
        <f>IFERROR(INDEX('계좌현황'!C:C,INDEX($L$21:$L$95,MATCH(LARGE($N$21:$N$95,60),$N$21:$N$95,0))),"")</f>
        <v/>
      </c>
      <c r="D80" s="297">
        <f>IFERROR(INDEX('계좌현황'!D:D,INDEX($L$21:$L$95,MATCH(LARGE($N$21:$N$95,60),$N$21:$N$95,0))),"")</f>
        <v/>
      </c>
      <c r="E80" s="297">
        <f>IFERROR(INDEX('계좌현황'!E:E,INDEX($L$21:$L$95,MATCH(LARGE($N$21:$N$95,60),$N$21:$N$95,0))),"")</f>
        <v/>
      </c>
      <c r="F80" s="324">
        <f>IFERROR(INDEX('계좌현황'!F:F,INDEX($L$21:$L$95,MATCH(LARGE($N$21:$N$95,60),$N$21:$N$95,0))),"")</f>
        <v/>
      </c>
      <c r="G80" s="325">
        <f>IFERROR(INDEX('계좌현황'!K:K,INDEX($L$21:$L$95,MATCH(LARGE($N$21:$N$95,60),$N$21:$N$95,0))),0)</f>
        <v/>
      </c>
      <c r="H80" s="326">
        <f>IF($B$3=0,0,G80/$B$3)</f>
        <v/>
      </c>
      <c r="I80" s="326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309" t="n">
        <v>62</v>
      </c>
      <c r="B82" s="309">
        <f>IFERROR(INDEX('계좌현황'!A:A,INDEX($L$21:$L$95,MATCH(LARGE($N$21:$N$95,62),$N$21:$N$95,0))),"")</f>
        <v/>
      </c>
      <c r="C82" s="309">
        <f>IFERROR(INDEX('계좌현황'!C:C,INDEX($L$21:$L$95,MATCH(LARGE($N$21:$N$95,62),$N$21:$N$95,0))),"")</f>
        <v/>
      </c>
      <c r="D82" s="309">
        <f>IFERROR(INDEX('계좌현황'!D:D,INDEX($L$21:$L$95,MATCH(LARGE($N$21:$N$95,62),$N$21:$N$95,0))),"")</f>
        <v/>
      </c>
      <c r="E82" s="309">
        <f>IFERROR(INDEX('계좌현황'!E:E,INDEX($L$21:$L$95,MATCH(LARGE($N$21:$N$95,62),$N$21:$N$95,0))),"")</f>
        <v/>
      </c>
      <c r="F82" s="333">
        <f>IFERROR(INDEX('계좌현황'!F:F,INDEX($L$21:$L$95,MATCH(LARGE($N$21:$N$95,62),$N$21:$N$95,0))),"")</f>
        <v/>
      </c>
      <c r="G82" s="334">
        <f>IFERROR(INDEX('계좌현황'!K:K,INDEX($L$21:$L$95,MATCH(LARGE($N$21:$N$95,62),$N$21:$N$95,0))),0)</f>
        <v/>
      </c>
      <c r="H82" s="335">
        <f>IF($B$3=0,0,G82/$B$3)</f>
        <v/>
      </c>
      <c r="I82" s="335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outlineLevel="1" ht="12.75" customHeight="1" s="204">
      <c r="A2" s="203" t="n"/>
      <c r="B2" s="203" t="n"/>
      <c r="C2" s="203" t="n"/>
      <c r="D2" s="203" t="n"/>
      <c r="E2" s="203" t="n"/>
      <c r="F2" s="203" t="n"/>
      <c r="G2" s="16" t="n"/>
      <c r="H2" s="257" t="n"/>
      <c r="I2" s="18" t="n"/>
      <c r="J2" s="18" t="n"/>
      <c r="K2" s="18" t="n"/>
      <c r="L2" s="18" t="n"/>
      <c r="M2" s="18" t="n"/>
      <c r="N2" s="203" t="n"/>
      <c r="O2" s="203" t="n"/>
      <c r="P2" s="203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3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24.75" customHeight="1" s="204">
      <c r="A3" s="203" t="n"/>
      <c r="B3" s="203" t="n"/>
      <c r="C3" s="203" t="n"/>
      <c r="D3" s="203" t="n"/>
      <c r="E3" s="203" t="n"/>
      <c r="F3" s="203" t="n"/>
      <c r="G3" s="200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3" t="n"/>
      <c r="O3" s="203" t="n"/>
      <c r="P3" s="203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3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3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3">
        <f>"20"&amp;MID(G4,1,2)</f>
        <v/>
      </c>
      <c r="F4" s="203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3" t="n"/>
      <c r="O4" s="203" t="n"/>
      <c r="P4" s="203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3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3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3">
        <f>"20"&amp;B5</f>
        <v/>
      </c>
      <c r="F5" s="203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3" t="n"/>
      <c r="O5" s="203" t="n"/>
      <c r="P5" s="203" t="n"/>
      <c r="Q5" s="8">
        <f>IFERROR(__xludf.DUMMYFUNCTION("iferror(index('지수RAW'!$V$7:$V$12040,MATCH($D5,'지수RAW'!$R$7:$R$12040,0)-1,1),GOOGLEFINANCE(Q$2))"),2566.46)</f>
        <v/>
      </c>
      <c r="R5" s="203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3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3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3">
        <f>"20"&amp;B6</f>
        <v/>
      </c>
      <c r="F6" s="203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3" t="n"/>
      <c r="O6" s="203" t="n"/>
      <c r="P6" s="203" t="n"/>
      <c r="Q6" s="8">
        <f>IFERROR(__xludf.DUMMYFUNCTION("iferror(index('지수RAW'!$V$7:$V$12040,MATCH($D6,'지수RAW'!$R$7:$R$12040,0)-1,1),GOOGLEFINANCE(Q$2))"),2427.36)</f>
        <v/>
      </c>
      <c r="R6" s="203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3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3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3">
        <f>"20"&amp;B7</f>
        <v/>
      </c>
      <c r="F7" s="203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3" t="n"/>
      <c r="O7" s="203" t="n"/>
      <c r="P7" s="203" t="n"/>
      <c r="Q7" s="8">
        <f>IFERROR(__xludf.DUMMYFUNCTION("iferror(index('지수RAW'!$V$7:$V$12040,MATCH($D7,'지수RAW'!$R$7:$R$12040,0)-1,1),GOOGLEFINANCE(Q$2))"),2445.85)</f>
        <v/>
      </c>
      <c r="R7" s="203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3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3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3">
        <f>"20"&amp;B8</f>
        <v/>
      </c>
      <c r="F8" s="203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3" t="n"/>
      <c r="O8" s="203" t="n"/>
      <c r="P8" s="203" t="n"/>
      <c r="Q8" s="8">
        <f>IFERROR(__xludf.DUMMYFUNCTION("iferror(index('지수RAW'!$V$7:$V$12040,MATCH($D8,'지수RAW'!$R$7:$R$12040,0)-1,1),GOOGLEFINANCE(Q$2))"),2515.38)</f>
        <v/>
      </c>
      <c r="R8" s="203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3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3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3">
        <f>"20"&amp;B9</f>
        <v/>
      </c>
      <c r="F9" s="203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3" t="n"/>
      <c r="O9" s="203" t="n"/>
      <c r="P9" s="203" t="n"/>
      <c r="Q9" s="8">
        <f>IFERROR(__xludf.DUMMYFUNCTION("iferror(index('지수RAW'!$V$7:$V$12040,MATCH($D9,'지수RAW'!$R$7:$R$12040,0)-1,1),GOOGLEFINANCE(Q$2))"),2423.01)</f>
        <v/>
      </c>
      <c r="R9" s="203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3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3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3">
        <f>"20"&amp;B10</f>
        <v/>
      </c>
      <c r="F10" s="203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3" t="n"/>
      <c r="O10" s="203" t="n"/>
      <c r="P10" s="203" t="n"/>
      <c r="Q10" s="8">
        <f>IFERROR(__xludf.DUMMYFUNCTION("iferror(index('지수RAW'!$V$7:$V$12040,MATCH($D10,'지수RAW'!$R$7:$R$12040,0)-1,1),GOOGLEFINANCE(Q$2))"),2326.13)</f>
        <v/>
      </c>
      <c r="R10" s="203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3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3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3">
        <f>"20"&amp;B11</f>
        <v/>
      </c>
      <c r="F11" s="203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3" t="n"/>
      <c r="O11" s="203" t="n"/>
      <c r="P11" s="203" t="n"/>
      <c r="Q11" s="8">
        <f>IFERROR(__xludf.DUMMYFUNCTION("iferror(index('지수RAW'!$V$7:$V$12040,MATCH($D11,'지수RAW'!$R$7:$R$12040,0)-1,1),GOOGLEFINANCE(Q$2))"),2295.26)</f>
        <v/>
      </c>
      <c r="R11" s="203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3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3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3">
        <f>"20"&amp;B12</f>
        <v/>
      </c>
      <c r="F12" s="203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3" t="n"/>
      <c r="O12" s="203" t="n"/>
      <c r="P12" s="203" t="n"/>
      <c r="Q12" s="8">
        <f>IFERROR(__xludf.DUMMYFUNCTION("iferror(index('지수RAW'!$V$7:$V$12040,MATCH($D12,'지수RAW'!$R$7:$R$12040,0)-1,1),GOOGLEFINANCE(Q$2))"),2322.88)</f>
        <v/>
      </c>
      <c r="R12" s="203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3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3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3">
        <f>"20"&amp;B13</f>
        <v/>
      </c>
      <c r="F13" s="203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3" t="n"/>
      <c r="O13" s="203" t="n"/>
      <c r="P13" s="203" t="n"/>
      <c r="Q13" s="8">
        <f>IFERROR(__xludf.DUMMYFUNCTION("iferror(index('지수RAW'!$V$7:$V$12040,MATCH($D13,'지수RAW'!$R$7:$R$12040,0)-1,1),GOOGLEFINANCE(Q$2))"),2343.07)</f>
        <v/>
      </c>
      <c r="R13" s="203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3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3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3">
        <f>"20"&amp;B14</f>
        <v/>
      </c>
      <c r="F14" s="203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3" t="n"/>
      <c r="O14" s="203" t="n"/>
      <c r="P14" s="203" t="n"/>
      <c r="Q14" s="8">
        <f>IFERROR(__xludf.DUMMYFUNCTION("iferror(index('지수RAW'!$V$7:$V$12040,MATCH($D14,'지수RAW'!$R$7:$R$12040,0)-1,1),GOOGLEFINANCE(Q$2))"),2029.69)</f>
        <v/>
      </c>
      <c r="R14" s="203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3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3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3">
        <f>"20"&amp;B15</f>
        <v/>
      </c>
      <c r="F15" s="203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3" t="n"/>
      <c r="O15" s="203" t="n"/>
      <c r="P15" s="203" t="n"/>
      <c r="Q15" s="8">
        <f>IFERROR(__xludf.DUMMYFUNCTION("iferror(index('지수RAW'!$V$7:$V$12040,MATCH($D15,'지수RAW'!$R$7:$R$12040,0)-1,1),GOOGLEFINANCE(Q$2))"),2096.86)</f>
        <v/>
      </c>
      <c r="R15" s="203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3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3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3">
        <f>"20"&amp;B16</f>
        <v/>
      </c>
      <c r="F16" s="203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3" t="n"/>
      <c r="O16" s="203" t="n"/>
      <c r="P16" s="203" t="n"/>
      <c r="Q16" s="8">
        <f>IFERROR(__xludf.DUMMYFUNCTION("iferror(index('지수RAW'!$V$7:$V$12040,MATCH($D16,'지수RAW'!$R$7:$R$12040,0)-1,1),GOOGLEFINANCE(Q$2))"),2041.04)</f>
        <v/>
      </c>
      <c r="R16" s="203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3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3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3">
        <f>"20"&amp;B17</f>
        <v/>
      </c>
      <c r="F17" s="203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3" t="n"/>
      <c r="O17" s="203" t="n"/>
      <c r="P17" s="203" t="n"/>
      <c r="Q17" s="8">
        <f>IFERROR(__xludf.DUMMYFUNCTION("iferror(index('지수RAW'!$V$7:$V$12040,MATCH($D17,'지수RAW'!$R$7:$R$12040,0)-1,1),GOOGLEFINANCE(Q$2))"),2204.85)</f>
        <v/>
      </c>
      <c r="R17" s="203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3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3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3">
        <f>"20"&amp;B18</f>
        <v/>
      </c>
      <c r="F18" s="203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3" t="n"/>
      <c r="O18" s="203" t="n"/>
      <c r="P18" s="203" t="n"/>
      <c r="Q18" s="8">
        <f>IFERROR(__xludf.DUMMYFUNCTION("iferror(index('지수RAW'!$V$7:$V$12040,MATCH($D18,'지수RAW'!$R$7:$R$12040,0)-1,1),GOOGLEFINANCE(Q$2))"),2195.44)</f>
        <v/>
      </c>
      <c r="R18" s="203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3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3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3">
        <f>"20"&amp;B19</f>
        <v/>
      </c>
      <c r="F19" s="203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3" t="n"/>
      <c r="O19" s="203" t="n"/>
      <c r="P19" s="203" t="n"/>
      <c r="Q19" s="8">
        <f>IFERROR(__xludf.DUMMYFUNCTION("iferror(index('지수RAW'!$V$7:$V$12040,MATCH($D19,'지수RAW'!$R$7:$R$12040,0)-1,1),GOOGLEFINANCE(Q$2))"),2140.67)</f>
        <v/>
      </c>
      <c r="R19" s="203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3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3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3">
        <f>"20"&amp;B20</f>
        <v/>
      </c>
      <c r="F20" s="203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3" t="n"/>
      <c r="O20" s="203" t="n"/>
      <c r="P20" s="203" t="n"/>
      <c r="Q20" s="8">
        <f>IFERROR(__xludf.DUMMYFUNCTION("iferror(index('지수RAW'!$V$7:$V$12040,MATCH($D20,'지수RAW'!$R$7:$R$12040,0)-1,1),GOOGLEFINANCE(Q$2))"),2203.59)</f>
        <v/>
      </c>
      <c r="R20" s="203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3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3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3">
        <f>"20"&amp;B21</f>
        <v/>
      </c>
      <c r="F21" s="203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3" t="n"/>
      <c r="O21" s="203" t="n"/>
      <c r="P21" s="203" t="n"/>
      <c r="Q21" s="8">
        <f>IFERROR(__xludf.DUMMYFUNCTION("iferror(index('지수RAW'!$V$7:$V$12040,MATCH($D21,'지수RAW'!$R$7:$R$12040,0)-1,1),GOOGLEFINANCE(Q$2))"),2041.74)</f>
        <v/>
      </c>
      <c r="R21" s="203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3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3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3">
        <f>"20"&amp;B22</f>
        <v/>
      </c>
      <c r="F22" s="203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3" t="n"/>
      <c r="O22" s="203" t="n"/>
      <c r="P22" s="203" t="n"/>
      <c r="Q22" s="8">
        <f>IFERROR(__xludf.DUMMYFUNCTION("iferror(index('지수RAW'!$V$7:$V$12040,MATCH($D22,'지수RAW'!$R$7:$R$12040,0)-1,1),GOOGLEFINANCE(Q$2))"),2130.62)</f>
        <v/>
      </c>
      <c r="R22" s="203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3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3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3">
        <f>"20"&amp;B23</f>
        <v/>
      </c>
      <c r="F23" s="203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3" t="n"/>
      <c r="O23" s="203" t="n"/>
      <c r="P23" s="203" t="n"/>
      <c r="Q23" s="8">
        <f>IFERROR(__xludf.DUMMYFUNCTION("iferror(index('지수RAW'!$V$7:$V$12040,MATCH($D23,'지수RAW'!$R$7:$R$12040,0)-1,1),GOOGLEFINANCE(Q$2))"),2024.55)</f>
        <v/>
      </c>
      <c r="R23" s="203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3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3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3">
        <f>"20"&amp;B24</f>
        <v/>
      </c>
      <c r="F24" s="203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3" t="n"/>
      <c r="O24" s="203" t="n"/>
      <c r="P24" s="203" t="n"/>
      <c r="Q24" s="8">
        <f>IFERROR(__xludf.DUMMYFUNCTION("iferror(index('지수RAW'!$V$7:$V$12040,MATCH($D24,'지수RAW'!$R$7:$R$12040,0)-1,1),GOOGLEFINANCE(Q$2))"),1967.79)</f>
        <v/>
      </c>
      <c r="R24" s="203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3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3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3">
        <f>"20"&amp;B25</f>
        <v/>
      </c>
      <c r="F25" s="203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3" t="n"/>
      <c r="O25" s="203" t="n"/>
      <c r="P25" s="203" t="n"/>
      <c r="Q25" s="8">
        <f>IFERROR(__xludf.DUMMYFUNCTION("iferror(index('지수RAW'!$V$7:$V$12040,MATCH($D25,'지수RAW'!$R$7:$R$12040,0)-1,1),GOOGLEFINANCE(Q$2))"),2063.05)</f>
        <v/>
      </c>
      <c r="R25" s="203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3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3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3">
        <f>"20"&amp;B26</f>
        <v/>
      </c>
      <c r="F26" s="203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3" t="n"/>
      <c r="O26" s="203" t="n"/>
      <c r="P26" s="203" t="n"/>
      <c r="Q26" s="8">
        <f>IFERROR(__xludf.DUMMYFUNCTION("iferror(index('지수RAW'!$V$7:$V$12040,MATCH($D26,'지수RAW'!$R$7:$R$12040,0)-1,1),GOOGLEFINANCE(Q$2))"),2083.48)</f>
        <v/>
      </c>
      <c r="R26" s="203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3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3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3">
        <f>"20"&amp;B27</f>
        <v/>
      </c>
      <c r="F27" s="203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3" t="n"/>
      <c r="O27" s="203" t="n"/>
      <c r="P27" s="203" t="n"/>
      <c r="Q27" s="8">
        <f>IFERROR(__xludf.DUMMYFUNCTION("iferror(index('지수RAW'!$V$7:$V$12040,MATCH($D27,'지수RAW'!$R$7:$R$12040,0)-1,1),GOOGLEFINANCE(Q$2))"),2087.96)</f>
        <v/>
      </c>
      <c r="R27" s="203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3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3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3">
        <f>"20"&amp;B28</f>
        <v/>
      </c>
      <c r="F28" s="203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3" t="n"/>
      <c r="O28" s="203" t="n"/>
      <c r="P28" s="203" t="n"/>
      <c r="Q28" s="8">
        <f>IFERROR(__xludf.DUMMYFUNCTION("iferror(index('지수RAW'!$V$7:$V$12040,MATCH($D28,'지수RAW'!$R$7:$R$12040,0)-1,1),GOOGLEFINANCE(Q$2))"),2197.67)</f>
        <v/>
      </c>
      <c r="R28" s="203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3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3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3">
        <f>"20"&amp;B29</f>
        <v/>
      </c>
      <c r="F29" s="203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3" t="n"/>
      <c r="O29" s="203" t="n"/>
      <c r="P29" s="203" t="n"/>
      <c r="Q29" s="8">
        <f>IFERROR(__xludf.DUMMYFUNCTION("iferror(index('지수RAW'!$V$7:$V$12040,MATCH($D29,'지수RAW'!$R$7:$R$12040,0)-1,1),GOOGLEFINANCE(Q$2))"),2119.01)</f>
        <v/>
      </c>
      <c r="R29" s="203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3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3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3">
        <f>"20"&amp;B30</f>
        <v/>
      </c>
      <c r="F30" s="203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3" t="n"/>
      <c r="O30" s="203" t="n"/>
      <c r="P30" s="203" t="n"/>
      <c r="Q30" s="8">
        <f>IFERROR(__xludf.DUMMYFUNCTION("iferror(index('지수RAW'!$V$7:$V$12040,MATCH($D30,'지수RAW'!$R$7:$R$12040,0)-1,1),GOOGLEFINANCE(Q$2))"),1987.01)</f>
        <v/>
      </c>
      <c r="R30" s="203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3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3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3">
        <f>"20"&amp;B31</f>
        <v/>
      </c>
      <c r="F31" s="203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3" t="n"/>
      <c r="O31" s="203" t="n"/>
      <c r="P31" s="203" t="n"/>
      <c r="Q31" s="8">
        <f>IFERROR(__xludf.DUMMYFUNCTION("iferror(index('지수RAW'!$V$7:$V$12040,MATCH($D31,'지수RAW'!$R$7:$R$12040,0)-1,1),GOOGLEFINANCE(Q$2))"),1754.64)</f>
        <v/>
      </c>
      <c r="R31" s="203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3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3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3">
        <f>"20"&amp;B32</f>
        <v/>
      </c>
      <c r="F32" s="203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3" t="n"/>
      <c r="O32" s="203" t="n"/>
      <c r="P32" s="203" t="n"/>
      <c r="Q32" s="8">
        <f>IFERROR(__xludf.DUMMYFUNCTION("iferror(index('지수RAW'!$V$7:$V$12040,MATCH($D32,'지수RAW'!$R$7:$R$12040,0)-1,1),GOOGLEFINANCE(Q$2))"),1947.56)</f>
        <v/>
      </c>
      <c r="R32" s="203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3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3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3">
        <f>"20"&amp;B33</f>
        <v/>
      </c>
      <c r="F33" s="203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3" t="n"/>
      <c r="O33" s="203" t="n"/>
      <c r="P33" s="203" t="n"/>
      <c r="Q33" s="8">
        <f>IFERROR(__xludf.DUMMYFUNCTION("iferror(index('지수RAW'!$V$7:$V$12040,MATCH($D33,'지수RAW'!$R$7:$R$12040,0)-1,1),GOOGLEFINANCE(Q$2))"),2029.6)</f>
        <v/>
      </c>
      <c r="R33" s="203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3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3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3">
        <f>"20"&amp;B34</f>
        <v/>
      </c>
      <c r="F34" s="203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3" t="n"/>
      <c r="O34" s="203" t="n"/>
      <c r="P34" s="203" t="n"/>
      <c r="Q34" s="8">
        <f>IFERROR(__xludf.DUMMYFUNCTION("iferror(index('지수RAW'!$V$7:$V$12040,MATCH($D34,'지수RAW'!$R$7:$R$12040,0)-1,1),GOOGLEFINANCE(Q$2))"),2108.33)</f>
        <v/>
      </c>
      <c r="R34" s="203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3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3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3">
        <f>"20"&amp;B35</f>
        <v/>
      </c>
      <c r="F35" s="203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3" t="n"/>
      <c r="O35" s="203" t="n"/>
      <c r="P35" s="203" t="n"/>
      <c r="Q35" s="8">
        <f>IFERROR(__xludf.DUMMYFUNCTION("iferror(index('지수RAW'!$V$7:$V$12040,MATCH($D35,'지수RAW'!$R$7:$R$12040,0)-1,1),GOOGLEFINANCE(Q$2))"),2249.37)</f>
        <v/>
      </c>
      <c r="R35" s="203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3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3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3">
        <f>"20"&amp;B36</f>
        <v/>
      </c>
      <c r="F36" s="203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3" t="n"/>
      <c r="O36" s="203" t="n"/>
      <c r="P36" s="203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3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3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3">
        <f>"20"&amp;B37</f>
        <v/>
      </c>
      <c r="F37" s="203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3" t="n"/>
      <c r="O37" s="203" t="n"/>
      <c r="P37" s="203" t="n"/>
      <c r="Q37" s="8">
        <f>IFERROR(__xludf.DUMMYFUNCTION("iferror(index('지수RAW'!$V$7:$V$12040,MATCH($D37,'지수RAW'!$R$7:$R$12040,0)-1,1),GOOGLEFINANCE(Q$2))"),2327.89)</f>
        <v/>
      </c>
      <c r="R37" s="203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3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3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3">
        <f>"20"&amp;B38</f>
        <v/>
      </c>
      <c r="F38" s="203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3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3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3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3">
        <f>"20"&amp;B39</f>
        <v/>
      </c>
      <c r="F39" s="203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3" t="n"/>
      <c r="O39" s="203" t="n"/>
      <c r="P39" s="203" t="n"/>
      <c r="Q39" s="8">
        <f>IFERROR(__xludf.DUMMYFUNCTION("iferror(index('지수RAW'!$V$7:$V$12040,MATCH($D39,'지수RAW'!$R$7:$R$12040,0)-1,1),GOOGLEFINANCE(Q$2))"),2591.34)</f>
        <v/>
      </c>
      <c r="R39" s="203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3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3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3">
        <f>"20"&amp;B40</f>
        <v/>
      </c>
      <c r="F40" s="203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3" t="n"/>
      <c r="O40" s="203" t="n"/>
      <c r="P40" s="203" t="n"/>
      <c r="Q40" s="8">
        <f>IFERROR(__xludf.DUMMYFUNCTION("iferror(index('지수RAW'!$V$7:$V$12040,MATCH($D40,'지수RAW'!$R$7:$R$12040,0)-1,1),GOOGLEFINANCE(Q$2))"),2873.47)</f>
        <v/>
      </c>
      <c r="R40" s="203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3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3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3">
        <f>"20"&amp;B41</f>
        <v/>
      </c>
      <c r="F41" s="203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3" t="n"/>
      <c r="O41" s="203" t="n"/>
      <c r="P41" s="203" t="n"/>
      <c r="Q41" s="8">
        <f>IFERROR(__xludf.DUMMYFUNCTION("iferror(index('지수RAW'!$V$7:$V$12040,MATCH($D41,'지수RAW'!$R$7:$R$12040,0)-1,1),GOOGLEFINANCE(Q$2))"),2976.21)</f>
        <v/>
      </c>
      <c r="R41" s="203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3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3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3">
        <f>"20"&amp;B42</f>
        <v/>
      </c>
      <c r="F42" s="203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3" t="n"/>
      <c r="O42" s="203" t="n"/>
      <c r="P42" s="203" t="n"/>
      <c r="Q42" s="8">
        <f>IFERROR(__xludf.DUMMYFUNCTION("iferror(index('지수RAW'!$V$7:$V$12040,MATCH($D42,'지수RAW'!$R$7:$R$12040,0)-1,1),GOOGLEFINANCE(Q$2))"),3012.95)</f>
        <v/>
      </c>
      <c r="R42" s="203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3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3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3">
        <f>"20"&amp;B43</f>
        <v/>
      </c>
      <c r="F43" s="203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3" t="n"/>
      <c r="O43" s="203" t="n"/>
      <c r="P43" s="203" t="n"/>
      <c r="Q43" s="8">
        <f>IFERROR(__xludf.DUMMYFUNCTION("iferror(index('지수RAW'!$V$7:$V$12040,MATCH($D43,'지수RAW'!$R$7:$R$12040,0)-1,1),GOOGLEFINANCE(Q$2))"),3061.42)</f>
        <v/>
      </c>
      <c r="R43" s="203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3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3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3">
        <f>"20"&amp;B44</f>
        <v/>
      </c>
      <c r="F44" s="203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3" t="n"/>
      <c r="O44" s="203" t="n"/>
      <c r="P44" s="203" t="n"/>
      <c r="Q44" s="8">
        <f>IFERROR(__xludf.DUMMYFUNCTION("iferror(index('지수RAW'!$V$7:$V$12040,MATCH($D44,'지수RAW'!$R$7:$R$12040,0)-1,1),GOOGLEFINANCE(Q$2))"),3147.86)</f>
        <v/>
      </c>
      <c r="R44" s="203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3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3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3">
        <f>"20"&amp;B45</f>
        <v/>
      </c>
      <c r="F45" s="203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3" t="n"/>
      <c r="O45" s="203" t="n"/>
      <c r="P45" s="203" t="n"/>
      <c r="Q45" s="8">
        <f>IFERROR(__xludf.DUMMYFUNCTION("iferror(index('지수RAW'!$V$7:$V$12040,MATCH($D45,'지수RAW'!$R$7:$R$12040,0)-1,1),GOOGLEFINANCE(Q$2))"),3203.92)</f>
        <v/>
      </c>
      <c r="R45" s="203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3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3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3">
        <f>"20"&amp;B46</f>
        <v/>
      </c>
      <c r="F46" s="203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3" t="n"/>
      <c r="O46" s="203" t="n"/>
      <c r="P46" s="203" t="n"/>
      <c r="Q46" s="8">
        <f>IFERROR(__xludf.DUMMYFUNCTION("iferror(index('지수RAW'!$V$7:$V$12040,MATCH($D46,'지수RAW'!$R$7:$R$12040,0)-1,1),GOOGLEFINANCE(Q$2))"),3296.68)</f>
        <v/>
      </c>
      <c r="R46" s="203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3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3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3">
        <f>"20"&amp;B47</f>
        <v/>
      </c>
      <c r="F47" s="203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3" t="n"/>
      <c r="O47" s="203" t="n"/>
      <c r="P47" s="203" t="n"/>
      <c r="Q47" s="8">
        <f>IFERROR(__xludf.DUMMYFUNCTION("iferror(index('지수RAW'!$V$7:$V$12040,MATCH($D47,'지수RAW'!$R$7:$R$12040,0)-1,1),GOOGLEFINANCE(Q$2))"),3202.32)</f>
        <v/>
      </c>
      <c r="R47" s="203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3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3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3">
        <f>"20"&amp;B48</f>
        <v/>
      </c>
      <c r="F48" s="203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3" t="n"/>
      <c r="O48" s="203" t="n"/>
      <c r="P48" s="203" t="n"/>
      <c r="Q48" s="8">
        <f>IFERROR(__xludf.DUMMYFUNCTION("iferror(index('지수RAW'!$V$7:$V$12040,MATCH($D48,'지수RAW'!$R$7:$R$12040,0)-1,1),GOOGLEFINANCE(Q$2))"),3199.27)</f>
        <v/>
      </c>
      <c r="R48" s="203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3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3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3">
        <f>"20"&amp;B49</f>
        <v/>
      </c>
      <c r="F49" s="203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3" t="n"/>
      <c r="O49" s="203" t="n"/>
      <c r="P49" s="203" t="n"/>
      <c r="Q49" s="8">
        <f>IFERROR(__xludf.DUMMYFUNCTION("iferror(index('지수RAW'!$V$7:$V$12040,MATCH($D49,'지수RAW'!$R$7:$R$12040,0)-1,1),GOOGLEFINANCE(Q$2))"),3068.82)</f>
        <v/>
      </c>
      <c r="R49" s="203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3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3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3">
        <f>"20"&amp;B50</f>
        <v/>
      </c>
      <c r="F50" s="203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3" t="n"/>
      <c r="O50" s="203" t="n"/>
      <c r="P50" s="203" t="n"/>
      <c r="Q50" s="8">
        <f>IFERROR(__xludf.DUMMYFUNCTION("iferror(index('지수RAW'!$V$7:$V$12040,MATCH($D50,'지수RAW'!$R$7:$R$12040,0)-1,1),GOOGLEFINANCE(Q$2))"),2970.68)</f>
        <v/>
      </c>
      <c r="R50" s="203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3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3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3">
        <f>"20"&amp;B51</f>
        <v/>
      </c>
      <c r="F51" s="203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3" t="n"/>
      <c r="O51" s="203" t="n"/>
      <c r="P51" s="203" t="n"/>
      <c r="Q51" s="8">
        <f>IFERROR(__xludf.DUMMYFUNCTION("iferror(index('지수RAW'!$V$7:$V$12040,MATCH($D51,'지수RAW'!$R$7:$R$12040,0)-1,1),GOOGLEFINANCE(Q$2))"),2839.01)</f>
        <v/>
      </c>
      <c r="R51" s="203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3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3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3">
        <f>"20"&amp;B52</f>
        <v/>
      </c>
      <c r="F52" s="203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3" t="n"/>
      <c r="O52" s="203" t="n"/>
      <c r="P52" s="203" t="n"/>
      <c r="Q52" s="8">
        <f>IFERROR(__xludf.DUMMYFUNCTION("iferror(index('지수RAW'!$V$7:$V$12040,MATCH($D52,'지수RAW'!$R$7:$R$12040,0)-1,1),GOOGLEFINANCE(Q$2))"),2977.65)</f>
        <v/>
      </c>
      <c r="R52" s="203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3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3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3">
        <f>"20"&amp;B53</f>
        <v/>
      </c>
      <c r="F53" s="203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3" t="n"/>
      <c r="O53" s="203" t="n"/>
      <c r="P53" s="203" t="n"/>
      <c r="Q53" s="8">
        <f>IFERROR(__xludf.DUMMYFUNCTION("iferror(index('지수RAW'!$V$7:$V$12040,MATCH($D53,'지수RAW'!$R$7:$R$12040,0)-1,1),GOOGLEFINANCE(Q$2))"),2663.34)</f>
        <v/>
      </c>
      <c r="R53" s="203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3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3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3">
        <f>"20"&amp;B54</f>
        <v/>
      </c>
      <c r="F54" s="203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3" t="n"/>
      <c r="O54" s="203" t="n"/>
      <c r="P54" s="203" t="n"/>
      <c r="Q54" s="8">
        <f>IFERROR(__xludf.DUMMYFUNCTION("iferror(index('지수RAW'!$V$7:$V$12040,MATCH($D54,'지수RAW'!$R$7:$R$12040,0)-1,1),GOOGLEFINANCE(Q$2))"),2699.18)</f>
        <v/>
      </c>
      <c r="R54" s="203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3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3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3">
        <f>"20"&amp;B55</f>
        <v/>
      </c>
      <c r="F55" s="203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3" t="n"/>
      <c r="O55" s="203" t="n"/>
      <c r="P55" s="203" t="n"/>
      <c r="Q55" s="8">
        <f>IFERROR(__xludf.DUMMYFUNCTION("iferror(index('지수RAW'!$V$7:$V$12040,MATCH($D55,'지수RAW'!$R$7:$R$12040,0)-1,1),GOOGLEFINANCE(Q$2))"),2757.65)</f>
        <v/>
      </c>
      <c r="R55" s="203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3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3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3">
        <f>"20"&amp;B56</f>
        <v/>
      </c>
      <c r="F56" s="203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3" t="n"/>
      <c r="O56" s="203" t="n"/>
      <c r="P56" s="203" t="n"/>
      <c r="Q56" s="8">
        <f>IFERROR(__xludf.DUMMYFUNCTION("iferror(index('지수RAW'!$V$7:$V$12040,MATCH($D56,'지수RAW'!$R$7:$R$12040,0)-1,1),GOOGLEFINANCE(Q$2))"),2695.05)</f>
        <v/>
      </c>
      <c r="R56" s="203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3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3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3">
        <f>"20"&amp;B57</f>
        <v/>
      </c>
      <c r="F57" s="203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3" t="n"/>
      <c r="O57" s="203" t="n"/>
      <c r="P57" s="203" t="n"/>
      <c r="Q57" s="8">
        <f>IFERROR(__xludf.DUMMYFUNCTION("iferror(index('지수RAW'!$V$7:$V$12040,MATCH($D57,'지수RAW'!$R$7:$R$12040,0)-1,1),GOOGLEFINANCE(Q$2))"),2685.9)</f>
        <v/>
      </c>
      <c r="R57" s="203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3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3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3">
        <f>"20"&amp;B58</f>
        <v/>
      </c>
      <c r="F58" s="203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3" t="n"/>
      <c r="O58" s="203" t="n"/>
      <c r="P58" s="203" t="n"/>
      <c r="Q58" s="8">
        <f>IFERROR(__xludf.DUMMYFUNCTION("iferror(index('지수RAW'!$V$7:$V$12040,MATCH($D58,'지수RAW'!$R$7:$R$12040,0)-1,1),GOOGLEFINANCE(Q$2))"),2332.64)</f>
        <v/>
      </c>
      <c r="R58" s="203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3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3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3">
        <f>"20"&amp;B59</f>
        <v/>
      </c>
      <c r="F59" s="203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3" t="n"/>
      <c r="O59" s="203" t="n"/>
      <c r="P59" s="203" t="n"/>
      <c r="Q59" s="8">
        <f>IFERROR(__xludf.DUMMYFUNCTION("iferror(index('지수RAW'!$V$7:$V$12040,MATCH($D59,'지수RAW'!$R$7:$R$12040,0)-1,1),GOOGLEFINANCE(Q$2))"),2451.5)</f>
        <v/>
      </c>
      <c r="R59" s="203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3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3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3">
        <f>"20"&amp;B60</f>
        <v/>
      </c>
      <c r="F60" s="203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3" t="n"/>
      <c r="O60" s="203" t="n"/>
      <c r="P60" s="203" t="n"/>
      <c r="Q60" s="8">
        <f>IFERROR(__xludf.DUMMYFUNCTION("iferror(index('지수RAW'!$V$7:$V$12040,MATCH($D60,'지수RAW'!$R$7:$R$12040,0)-1,1),GOOGLEFINANCE(Q$2))"),2472.05)</f>
        <v/>
      </c>
      <c r="R60" s="203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3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3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3">
        <f>"20"&amp;B61</f>
        <v/>
      </c>
      <c r="F61" s="203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3" t="n"/>
      <c r="O61" s="203" t="n"/>
      <c r="P61" s="203" t="n"/>
      <c r="Q61" s="8">
        <f>IFERROR(__xludf.DUMMYFUNCTION("iferror(index('지수RAW'!$V$7:$V$12040,MATCH($D61,'지수RAW'!$R$7:$R$12040,0)-1,1),GOOGLEFINANCE(Q$2))"),2155.49)</f>
        <v/>
      </c>
      <c r="R61" s="203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3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3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3">
        <f>"20"&amp;B62</f>
        <v/>
      </c>
      <c r="F62" s="203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3" t="n"/>
      <c r="O62" s="203" t="n"/>
      <c r="P62" s="203" t="n"/>
      <c r="Q62" s="8">
        <f>IFERROR(__xludf.DUMMYFUNCTION("iferror(index('지수RAW'!$V$7:$V$12040,MATCH($D62,'지수RAW'!$R$7:$R$12040,0)-1,1),GOOGLEFINANCE(Q$2))"),2293.61)</f>
        <v/>
      </c>
      <c r="R62" s="203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3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3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3">
        <f>"20"&amp;B63</f>
        <v/>
      </c>
      <c r="F63" s="203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3" t="n"/>
      <c r="O63" s="203" t="n"/>
      <c r="P63" s="203" t="n"/>
      <c r="Q63" s="8">
        <f>IFERROR(__xludf.DUMMYFUNCTION("iferror(index('지수RAW'!$V$7:$V$12040,MATCH($D63,'지수RAW'!$R$7:$R$12040,0)-1,1),GOOGLEFINANCE(Q$2))"),2472.53)</f>
        <v/>
      </c>
      <c r="R63" s="203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3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3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3">
        <f>"20"&amp;B64</f>
        <v/>
      </c>
      <c r="F64" s="203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3" t="n"/>
      <c r="O64" s="203" t="n"/>
      <c r="P64" s="203" t="n"/>
      <c r="Q64" s="8">
        <f>IFERROR(__xludf.DUMMYFUNCTION("iferror(index('지수RAW'!$V$7:$V$12040,MATCH($D64,'지수RAW'!$R$7:$R$12040,0)-1,1),GOOGLEFINANCE(Q$2))"),2236.4)</f>
        <v/>
      </c>
      <c r="R64" s="203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3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3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3">
        <f>"20"&amp;B65</f>
        <v/>
      </c>
      <c r="F65" s="203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3" t="n"/>
      <c r="O65" s="203" t="n"/>
      <c r="P65" s="203" t="n"/>
      <c r="Q65" s="8">
        <f>IFERROR(__xludf.DUMMYFUNCTION("iferror(index('지수RAW'!$V$7:$V$12040,MATCH($D65,'지수RAW'!$R$7:$R$12040,0)-1,1),GOOGLEFINANCE(Q$2))"),2425.08)</f>
        <v/>
      </c>
      <c r="R65" s="203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3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3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3">
        <f>"20"&amp;B66</f>
        <v/>
      </c>
      <c r="F66" s="203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3" t="n"/>
      <c r="O66" s="203" t="n"/>
      <c r="P66" s="203" t="n"/>
      <c r="Q66" s="8">
        <f>IFERROR(__xludf.DUMMYFUNCTION("iferror(index('지수RAW'!$V$7:$V$12040,MATCH($D66,'지수RAW'!$R$7:$R$12040,0)-1,1),GOOGLEFINANCE(Q$2))"),2412.85)</f>
        <v/>
      </c>
      <c r="R66" s="203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3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3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3">
        <f>"20"&amp;B67</f>
        <v/>
      </c>
      <c r="F67" s="203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3" t="n"/>
      <c r="O67" s="203" t="n"/>
      <c r="P67" s="203" t="n"/>
      <c r="Q67" s="8">
        <f>IFERROR(__xludf.DUMMYFUNCTION("iferror(index('지수RAW'!$V$7:$V$12040,MATCH($D67,'지수RAW'!$R$7:$R$12040,0)-1,1),GOOGLEFINANCE(Q$2))"),2476.86)</f>
        <v/>
      </c>
      <c r="R67" s="203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3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3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3">
        <f>"20"&amp;B68</f>
        <v/>
      </c>
      <c r="F68" s="203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3" t="n"/>
      <c r="O68" s="203" t="n"/>
      <c r="P68" s="203" t="n"/>
      <c r="Q68" s="8">
        <f>IFERROR(__xludf.DUMMYFUNCTION("iferror(index('지수RAW'!$V$7:$V$12040,MATCH($D68,'지수RAW'!$R$7:$R$12040,0)-1,1),GOOGLEFINANCE(Q$2))"),2501.53)</f>
        <v/>
      </c>
      <c r="R68" s="203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3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3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3">
        <f>"20"&amp;B69</f>
        <v/>
      </c>
      <c r="F69" s="203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3" t="n"/>
      <c r="O69" s="203" t="n"/>
      <c r="P69" s="203" t="n"/>
      <c r="Q69" s="8">
        <f>IFERROR(__xludf.DUMMYFUNCTION("iferror(index('지수RAW'!$V$7:$V$12040,MATCH($D69,'지수RAW'!$R$7:$R$12040,0)-1,1),GOOGLEFINANCE(Q$2))"),2577.12)</f>
        <v/>
      </c>
      <c r="R69" s="203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3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3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3">
        <f>"20"&amp;B70</f>
        <v/>
      </c>
      <c r="F70" s="203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3" t="n"/>
      <c r="O70" s="203" t="n"/>
      <c r="P70" s="203" t="n"/>
      <c r="Q70" s="8">
        <f>IFERROR(__xludf.DUMMYFUNCTION("iferror(index('지수RAW'!$V$7:$V$12040,MATCH($D70,'지수RAW'!$R$7:$R$12040,0)-1,1),GOOGLEFINANCE(Q$2))"),2564.28)</f>
        <v/>
      </c>
      <c r="R70" s="203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3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3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3">
        <f>"20"&amp;B71</f>
        <v/>
      </c>
      <c r="F71" s="203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3" t="n"/>
      <c r="O71" s="203" t="n"/>
      <c r="P71" s="203" t="n"/>
      <c r="Q71" s="8">
        <f>IFERROR(__xludf.DUMMYFUNCTION("iferror(index('지수RAW'!$V$7:$V$12040,MATCH($D71,'지수RAW'!$R$7:$R$12040,0)-1,1),GOOGLEFINANCE(Q$2))"),2632.58)</f>
        <v/>
      </c>
      <c r="R71" s="203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3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3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3">
        <f>"20"&amp;B72</f>
        <v/>
      </c>
      <c r="F72" s="203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3" t="n"/>
      <c r="O72" s="203" t="n"/>
      <c r="P72" s="203" t="n"/>
      <c r="Q72" s="8">
        <f>IFERROR(__xludf.DUMMYFUNCTION("iferror(index('지수RAW'!$V$7:$V$12040,MATCH($D72,'지수RAW'!$R$7:$R$12040,0)-1,1),GOOGLEFINANCE(Q$2))"),2556.27)</f>
        <v/>
      </c>
      <c r="R72" s="203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3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3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3">
        <f>"20"&amp;B73</f>
        <v/>
      </c>
      <c r="F73" s="203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3" t="n"/>
      <c r="O73" s="203" t="n"/>
      <c r="P73" s="203" t="n"/>
      <c r="Q73" s="8">
        <f>IFERROR(__xludf.DUMMYFUNCTION("iferror(index('지수RAW'!$V$7:$V$12040,MATCH($D73,'지수RAW'!$R$7:$R$12040,0)-1,1),GOOGLEFINANCE(Q$2))"),2465.07)</f>
        <v/>
      </c>
      <c r="R73" s="203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3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3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3">
        <f>"20"&amp;B74</f>
        <v/>
      </c>
      <c r="F74" s="203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3" t="n"/>
      <c r="O74" s="203" t="n"/>
      <c r="P74" s="203" t="n"/>
      <c r="Q74" s="8">
        <f>IFERROR(__xludf.DUMMYFUNCTION("iferror(index('지수RAW'!$V$7:$V$12040,MATCH($D74,'지수RAW'!$R$7:$R$12040,0)-1,1),GOOGLEFINANCE(Q$2))"),2277.99)</f>
        <v/>
      </c>
      <c r="R74" s="203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3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3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3">
        <f>"20"&amp;B75</f>
        <v/>
      </c>
      <c r="F75" s="203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3" t="n"/>
      <c r="O75" s="203" t="n"/>
      <c r="P75" s="203" t="n"/>
      <c r="Q75" s="8">
        <f>IFERROR(__xludf.DUMMYFUNCTION("iferror(index('지수RAW'!$V$7:$V$12040,MATCH($D75,'지수RAW'!$R$7:$R$12040,0)-1,1),GOOGLEFINANCE(Q$2))"),2535.29)</f>
        <v/>
      </c>
      <c r="R75" s="203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3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3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3">
        <f>"20"&amp;B76</f>
        <v/>
      </c>
      <c r="F76" s="203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3" t="n"/>
      <c r="O76" s="203" t="n"/>
      <c r="P76" s="203" t="n"/>
      <c r="Q76" s="8">
        <f>IFERROR(__xludf.DUMMYFUNCTION("iferror(index('지수RAW'!$V$7:$V$12040,MATCH($D76,'지수RAW'!$R$7:$R$12040,0)-1,1),GOOGLEFINANCE(Q$2))"),2655.28)</f>
        <v/>
      </c>
      <c r="R76" s="203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3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3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3">
        <f>"20"&amp;B77</f>
        <v/>
      </c>
      <c r="F77" s="203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3" t="n"/>
      <c r="O77" s="203" t="n"/>
      <c r="P77" s="203" t="n"/>
      <c r="Q77" s="8">
        <f>IFERROR(__xludf.DUMMYFUNCTION("iferror(index('지수RAW'!$V$7:$V$12040,MATCH($D77,'지수RAW'!$R$7:$R$12040,0)-1,1),GOOGLEFINANCE(Q$2))"),2497.09)</f>
        <v/>
      </c>
      <c r="R77" s="203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3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3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3">
        <f>"20"&amp;B78</f>
        <v/>
      </c>
      <c r="F78" s="203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3" t="n"/>
      <c r="O78" s="203" t="n"/>
      <c r="P78" s="203" t="n"/>
      <c r="Q78" s="8">
        <f>IFERROR(__xludf.DUMMYFUNCTION("iferror(index('지수RAW'!$V$7:$V$12040,MATCH($D78,'지수RAW'!$R$7:$R$12040,0)-1,1),GOOGLEFINANCE(Q$2))"),2642.36)</f>
        <v/>
      </c>
      <c r="R78" s="203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3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3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3">
        <f>"20"&amp;B79</f>
        <v/>
      </c>
      <c r="F79" s="203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3" t="n"/>
      <c r="O79" s="203" t="n"/>
      <c r="P79" s="203" t="n"/>
      <c r="Q79" s="8">
        <f>IFERROR(__xludf.DUMMYFUNCTION("iferror(index('지수RAW'!$V$7:$V$12040,MATCH($D79,'지수RAW'!$R$7:$R$12040,0)-1,1),GOOGLEFINANCE(Q$2))"),2746.63)</f>
        <v/>
      </c>
      <c r="R79" s="203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3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3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3">
        <f>"20"&amp;B80</f>
        <v/>
      </c>
      <c r="F80" s="203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3" t="n"/>
      <c r="O80" s="203" t="n"/>
      <c r="P80" s="203" t="n"/>
      <c r="Q80" s="8">
        <f>IFERROR(__xludf.DUMMYFUNCTION("iferror(index('지수RAW'!$V$7:$V$12040,MATCH($D80,'지수RAW'!$R$7:$R$12040,0)-1,1),GOOGLEFINANCE(Q$2))"),2692.06)</f>
        <v/>
      </c>
      <c r="R80" s="203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3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3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3">
        <f>"20"&amp;B81</f>
        <v/>
      </c>
      <c r="F81" s="203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3" t="n"/>
      <c r="O81" s="203" t="n"/>
      <c r="P81" s="203" t="n"/>
      <c r="Q81" s="8">
        <f>IFERROR(__xludf.DUMMYFUNCTION("iferror(index('지수RAW'!$V$7:$V$12040,MATCH($D81,'지수RAW'!$R$7:$R$12040,0)-1,1),GOOGLEFINANCE(Q$2))"),2636.52)</f>
        <v/>
      </c>
      <c r="R81" s="203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3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3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3">
        <f>"20"&amp;B82</f>
        <v/>
      </c>
      <c r="F82" s="203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3" t="n"/>
      <c r="O82" s="203" t="n"/>
      <c r="P82" s="203" t="n"/>
      <c r="Q82" s="8">
        <f>IFERROR(__xludf.DUMMYFUNCTION("iferror(index('지수RAW'!$V$7:$V$12040,MATCH($D82,'지수RAW'!$R$7:$R$12040,0)-1,1),GOOGLEFINANCE(Q$2))"),2797.82)</f>
        <v/>
      </c>
      <c r="R82" s="203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3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3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3">
        <f>"20"&amp;B83</f>
        <v/>
      </c>
      <c r="F83" s="203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3" t="n"/>
      <c r="O83" s="203" t="n"/>
      <c r="P83" s="203" t="n"/>
      <c r="Q83" s="8">
        <f>IFERROR(__xludf.DUMMYFUNCTION("iferror(index('지수RAW'!$V$7:$V$12040,MATCH($D83,'지수RAW'!$R$7:$R$12040,0)-1,1),GOOGLEFINANCE(Q$2))"),2770.69)</f>
        <v/>
      </c>
      <c r="R83" s="203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3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3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3">
        <f>"20"&amp;B84</f>
        <v/>
      </c>
      <c r="F84" s="203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3" t="n"/>
      <c r="O84" s="203" t="n"/>
      <c r="P84" s="203" t="n"/>
      <c r="Q84" s="8">
        <f>IFERROR(__xludf.DUMMYFUNCTION("iferror(index('지수RAW'!$V$7:$V$12040,MATCH($D84,'지수RAW'!$R$7:$R$12040,0)-1,1),GOOGLEFINANCE(Q$2))"),2674.31)</f>
        <v/>
      </c>
      <c r="R84" s="203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3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3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3">
        <f>"20"&amp;B85</f>
        <v/>
      </c>
      <c r="F85" s="203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3" t="n"/>
      <c r="O85" s="203" t="n"/>
      <c r="P85" s="203" t="n"/>
      <c r="Q85" s="8">
        <f>IFERROR(__xludf.DUMMYFUNCTION("iferror(index('지수RAW'!$V$7:$V$12040,MATCH($D85,'지수RAW'!$R$7:$R$12040,0)-1,1),GOOGLEFINANCE(Q$2))"),2593.27)</f>
        <v/>
      </c>
      <c r="R85" s="203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3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3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3">
        <f>"20"&amp;B86</f>
        <v/>
      </c>
      <c r="F86" s="203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3" t="n"/>
      <c r="O86" s="203" t="n"/>
      <c r="P86" s="203" t="n"/>
      <c r="Q86" s="8">
        <f>IFERROR(__xludf.DUMMYFUNCTION("iferror(index('지수RAW'!$V$7:$V$12040,MATCH($D86,'지수RAW'!$R$7:$R$12040,0)-1,1),GOOGLEFINANCE(Q$2))"),2556.15)</f>
        <v/>
      </c>
      <c r="R86" s="203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3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3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3">
        <f>"20"&amp;B87</f>
        <v/>
      </c>
      <c r="F87" s="203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3" t="n"/>
      <c r="O87" s="203" t="n"/>
      <c r="P87" s="203" t="n"/>
      <c r="Q87" s="8">
        <f>IFERROR(__xludf.DUMMYFUNCTION("iferror(index('지수RAW'!$V$7:$V$12040,MATCH($D87,'지수RAW'!$R$7:$R$12040,0)-1,1),GOOGLEFINANCE(Q$2))"),2455.91)</f>
        <v/>
      </c>
      <c r="R87" s="203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3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3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3">
        <f>"20"&amp;B88</f>
        <v/>
      </c>
      <c r="F88" s="203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3" t="n"/>
      <c r="O88" s="203" t="n"/>
      <c r="P88" s="203" t="n"/>
      <c r="Q88" s="8">
        <f>IFERROR(__xludf.DUMMYFUNCTION("iferror(index('지수RAW'!$V$7:$V$12040,MATCH($D88,'지수RAW'!$R$7:$R$12040,0)-1,1),GOOGLEFINANCE(Q$2))"),2399.49)</f>
        <v/>
      </c>
      <c r="R88" s="203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3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3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3">
        <f>"20"&amp;B89</f>
        <v/>
      </c>
      <c r="F89" s="203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3" t="n"/>
      <c r="O89" s="203" t="n"/>
      <c r="P89" s="203" t="n"/>
      <c r="Q89" s="8">
        <f>IFERROR(__xludf.DUMMYFUNCTION("iferror(index('지수RAW'!$V$7:$V$12040,MATCH($D89,'지수RAW'!$R$7:$R$12040,0)-1,1),GOOGLEFINANCE(Q$2))"),2517.37)</f>
        <v/>
      </c>
      <c r="R89" s="203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3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3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3">
        <f>"20"&amp;B90</f>
        <v/>
      </c>
      <c r="F90" s="203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3" t="n"/>
      <c r="O90" s="203" t="n"/>
      <c r="P90" s="203" t="n"/>
      <c r="Q90" s="8">
        <f>IFERROR(__xludf.DUMMYFUNCTION("iferror(index('지수RAW'!$V$7:$V$12040,MATCH($D90,'지수RAW'!$R$7:$R$12040,0)-1,1),GOOGLEFINANCE(Q$2))"),2532.78)</f>
        <v/>
      </c>
      <c r="R90" s="203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3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3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3">
        <f>"20"&amp;B91</f>
        <v/>
      </c>
      <c r="F91" s="203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3" t="n"/>
      <c r="O91" s="203" t="n"/>
      <c r="P91" s="203" t="n"/>
      <c r="Q91" s="8">
        <f>IFERROR(__xludf.DUMMYFUNCTION("iferror(index('지수RAW'!$V$7:$V$12040,MATCH($D91,'지수RAW'!$R$7:$R$12040,0)-1,1),GOOGLEFINANCE(Q$2))"),2481.12)</f>
        <v/>
      </c>
      <c r="R91" s="203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3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3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3">
        <f>"20"&amp;B92</f>
        <v/>
      </c>
      <c r="F92" s="203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3" t="n"/>
      <c r="O92" s="203" t="n"/>
      <c r="P92" s="203" t="n"/>
      <c r="Q92" s="8">
        <f>IFERROR(__xludf.DUMMYFUNCTION("iferror(index('지수RAW'!$V$7:$V$12040,MATCH($D92,'지수RAW'!$R$7:$R$12040,0)-1,1),GOOGLEFINANCE(Q$2))"),2556.61)</f>
        <v/>
      </c>
      <c r="R92" s="203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3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3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3">
        <f>"20"&amp;B93</f>
        <v/>
      </c>
      <c r="F93" s="203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3" t="n"/>
      <c r="O93" s="203" t="n"/>
      <c r="P93" s="203" t="n"/>
      <c r="Q93" s="8">
        <f>IFERROR(__xludf.DUMMYFUNCTION("iferror(index('지수RAW'!$V$7:$V$12040,MATCH($D93,'지수RAW'!$R$7:$R$12040,0)-1,1),GOOGLEFINANCE(Q$2))"),2697.67)</f>
        <v/>
      </c>
      <c r="R93" s="203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3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3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3">
        <f>"20"&amp;B94</f>
        <v/>
      </c>
      <c r="F94" s="203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3" t="n"/>
      <c r="O94" s="203" t="n"/>
      <c r="P94" s="203" t="n"/>
      <c r="Q94" s="8">
        <f>IFERROR(__xludf.DUMMYFUNCTION("iferror(index('지수RAW'!$V$7:$V$12040,MATCH($D94,'지수RAW'!$R$7:$R$12040,0)-1,1),GOOGLEFINANCE(Q$2))"),3071.7)</f>
        <v/>
      </c>
      <c r="R94" s="203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3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3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3">
        <f>"20"&amp;B95</f>
        <v/>
      </c>
      <c r="F95" s="203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3" t="n"/>
      <c r="O95" s="203" t="n"/>
      <c r="P95" s="203" t="n"/>
      <c r="Q95" s="8">
        <f>IFERROR(__xludf.DUMMYFUNCTION("iferror(index('지수RAW'!$V$7:$V$12040,MATCH($D95,'지수RAW'!$R$7:$R$12040,0)-1,1),GOOGLEFINANCE(Q$2))"),3245.44)</f>
        <v/>
      </c>
      <c r="R95" s="203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3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3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3">
        <f>"20"&amp;B96</f>
        <v/>
      </c>
      <c r="F96" s="203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3" t="n"/>
      <c r="O96" s="203" t="n"/>
      <c r="P96" s="203" t="n"/>
      <c r="Q96" s="8">
        <f>IFERROR(__xludf.DUMMYFUNCTION("iferror(index('지수RAW'!$V$7:$V$12040,MATCH($D96,'지수RAW'!$R$7:$R$12040,0)-1,1),GOOGLEFINANCE(Q$2))"),3186.01)</f>
        <v/>
      </c>
      <c r="R96" s="203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3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3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3">
        <f>"20"&amp;B97</f>
        <v/>
      </c>
      <c r="F97" s="203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3" t="n"/>
      <c r="O97" s="203" t="n"/>
      <c r="P97" s="203" t="n"/>
      <c r="Q97" s="8">
        <f>IFERROR(__xludf.DUMMYFUNCTION("iferror(index('지수RAW'!$V$7:$V$12040,MATCH($D97,'지수RAW'!$R$7:$R$12040,0)-1,1),GOOGLEFINANCE(Q$2))"),3424.6)</f>
        <v/>
      </c>
      <c r="R97" s="203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3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3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3">
        <f>"20"&amp;B98</f>
        <v/>
      </c>
      <c r="F98" s="203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3" t="n"/>
      <c r="O98" s="203" t="n"/>
      <c r="P98" s="203" t="n"/>
      <c r="Q98" s="8">
        <f>IFERROR(__xludf.DUMMYFUNCTION("iferror(index('지수RAW'!$V$7:$V$12040,MATCH($D98,'지수RAW'!$R$7:$R$12040,0)-1,1),GOOGLEFINANCE(Q$2))"),4107.5)</f>
        <v/>
      </c>
      <c r="R98" s="203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3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3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3">
        <f>"20"&amp;B99</f>
        <v/>
      </c>
      <c r="F99" s="203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3" t="n"/>
      <c r="O99" s="203" t="n"/>
      <c r="P99" s="203" t="n"/>
      <c r="Q99" s="8">
        <f>IFERROR(__xludf.DUMMYFUNCTION("iferror(index('지수RAW'!$V$7:$V$12040,MATCH($D99,'지수RAW'!$R$7:$R$12040,0)-1,1),GOOGLEFINANCE(Q$2))"),3926.59)</f>
        <v/>
      </c>
      <c r="R99" s="203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3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3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3">
        <f>"20"&amp;B100</f>
        <v/>
      </c>
      <c r="F100" s="203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3" t="n"/>
      <c r="O100" s="203" t="n"/>
      <c r="P100" s="203" t="n"/>
      <c r="Q100" s="8">
        <f>IFERROR(__xludf.DUMMYFUNCTION("iferror(index('지수RAW'!$V$7:$V$12040,MATCH($D100,'지수RAW'!$R$7:$R$12040,0)-1,1),GOOGLEFINANCE(Q$2))"),4214.17)</f>
        <v/>
      </c>
      <c r="R100" s="203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3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3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3">
        <f>"20"&amp;B101</f>
        <v/>
      </c>
      <c r="F101" s="203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3" t="n"/>
      <c r="O101" s="203" t="n"/>
      <c r="P101" s="203" t="n"/>
      <c r="Q101" s="8">
        <f>IFERROR(__xludf.DUMMYFUNCTION("iferror(index('지수RAW'!$V$7:$V$12040,MATCH($D101,'지수RAW'!$R$7:$R$12040,0)-1,1),GOOGLEFINANCE(Q$2))"),5224.36)</f>
        <v/>
      </c>
      <c r="R101" s="203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3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3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3">
        <f>"20"&amp;B102</f>
        <v/>
      </c>
      <c r="F102" s="203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3" t="n"/>
      <c r="O102" s="203" t="n"/>
      <c r="P102" s="203" t="n"/>
      <c r="Q102" s="8">
        <f>IFERROR(__xludf.DUMMYFUNCTION("iferror(index('지수RAW'!$V$7:$V$12040,MATCH($D102,'지수RAW'!$R$7:$R$12040,0)-1,1),GOOGLEFINANCE(Q$2))"),6244.13)</f>
        <v/>
      </c>
      <c r="R102" s="203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3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3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3">
        <f>"20"&amp;B103</f>
        <v/>
      </c>
      <c r="F103" s="203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3" t="n"/>
      <c r="O103" s="203" t="n"/>
      <c r="P103" s="203" t="n"/>
      <c r="Q103" s="8">
        <f>IFERROR(__xludf.DUMMYFUNCTION("iferror(index('지수RAW'!$V$7:$V$12040,MATCH($D103,'지수RAW'!$R$7:$R$12040,0)-1,1),GOOGLEFINANCE(Q$2))"),5052.46)</f>
        <v/>
      </c>
      <c r="R103" s="203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3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3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3">
        <f>"20"&amp;B104</f>
        <v/>
      </c>
      <c r="F104" s="203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3" t="n"/>
      <c r="O104" s="203" t="n"/>
      <c r="P104" s="203" t="n"/>
      <c r="Q104" s="8">
        <f>IFERROR(__xludf.DUMMYFUNCTION("iferror(index('지수RAW'!$V$7:$V$12040,MATCH($D104,'지수RAW'!$R$7:$R$12040,0)-1,1),GOOGLEFINANCE(Q$2))"),6598.87)</f>
        <v/>
      </c>
      <c r="R104" s="203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3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3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3">
        <f>"20"&amp;B105</f>
        <v/>
      </c>
      <c r="F105" s="203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3" t="n"/>
      <c r="O105" s="203" t="n"/>
      <c r="P105" s="203" t="n"/>
      <c r="Q105" s="8">
        <f>IFERROR(__xludf.DUMMYFUNCTION("iferror(index('지수RAW'!$V$7:$V$12040,MATCH($D105,'지수RAW'!$R$7:$R$12040,0)-1,1),GOOGLEFINANCE(Q$2))"),8476.15)</f>
        <v/>
      </c>
      <c r="R105" s="203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3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3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3">
        <f>"20"&amp;B106</f>
        <v/>
      </c>
      <c r="F106" s="203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3" t="n"/>
      <c r="O106" s="203" t="n"/>
      <c r="P106" s="203" t="n"/>
      <c r="Q106" s="8">
        <f>IFERROR(__xludf.DUMMYFUNCTION("iferror(index('지수RAW'!$V$7:$V$12040,MATCH($D106,'지수RAW'!$R$7:$R$12040,0)-1,1),GOOGLEFINANCE(Q$2))"),8476.48)</f>
        <v/>
      </c>
      <c r="R106" s="203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3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3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3">
        <f>"20"&amp;B107</f>
        <v/>
      </c>
      <c r="F107" s="203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3" t="n"/>
      <c r="O107" s="203" t="n"/>
      <c r="P107" s="203" t="n"/>
      <c r="Q107" s="8">
        <f>IFERROR(__xludf.DUMMYFUNCTION("iferror(index('지수RAW'!$V$7:$V$12040,MATCH($D107,'지수RAW'!$R$7:$R$12040,0)-1,1),GOOGLEFINANCE(Q$2))"),6820.6)</f>
        <v/>
      </c>
      <c r="R107" s="203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3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3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3">
        <f>"20"&amp;B108</f>
        <v/>
      </c>
      <c r="F108" s="203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3" t="n"/>
      <c r="O108" s="203" t="n"/>
      <c r="P108" s="203" t="n"/>
      <c r="Q108" s="8">
        <f>IFERROR(__xludf.DUMMYFUNCTION("iferror(index('지수RAW'!$V$7:$V$12040,MATCH($D108,'지수RAW'!$R$7:$R$12040,0)-1,1),GOOGLEFINANCE(Q$2))"),6820.6)</f>
        <v/>
      </c>
      <c r="R108" s="203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3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3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3">
        <f>"20"&amp;B109</f>
        <v/>
      </c>
      <c r="F109" s="203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3" t="n"/>
      <c r="O109" s="203" t="n"/>
      <c r="P109" s="203" t="n"/>
      <c r="Q109" s="8">
        <f>IFERROR(__xludf.DUMMYFUNCTION("iferror(index('지수RAW'!$V$7:$V$12040,MATCH($D109,'지수RAW'!$R$7:$R$12040,0)-1,1),GOOGLEFINANCE(Q$2))"),6820.6)</f>
        <v/>
      </c>
      <c r="R109" s="203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3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3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3">
        <f>"20"&amp;B110</f>
        <v/>
      </c>
      <c r="F110" s="203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3" t="n"/>
      <c r="O110" s="203" t="n"/>
      <c r="P110" s="203" t="n"/>
      <c r="Q110" s="8">
        <f>IFERROR(__xludf.DUMMYFUNCTION("iferror(index('지수RAW'!$V$7:$V$12040,MATCH($D110,'지수RAW'!$R$7:$R$12040,0)-1,1),GOOGLEFINANCE(Q$2))"),6820.6)</f>
        <v/>
      </c>
      <c r="R110" s="203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3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3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3">
        <f>"20"&amp;B111</f>
        <v/>
      </c>
      <c r="F111" s="203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3" t="n"/>
      <c r="O111" s="203" t="n"/>
      <c r="P111" s="203" t="n"/>
      <c r="Q111" s="8">
        <f>IFERROR(__xludf.DUMMYFUNCTION("iferror(index('지수RAW'!$V$7:$V$12040,MATCH($D111,'지수RAW'!$R$7:$R$12040,0)-1,1),GOOGLEFINANCE(Q$2))"),6820.6)</f>
        <v/>
      </c>
      <c r="R111" s="203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3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3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3">
        <f>"20"&amp;B112</f>
        <v/>
      </c>
      <c r="F112" s="203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3" t="n"/>
      <c r="O112" s="203" t="n"/>
      <c r="P112" s="203" t="n"/>
      <c r="Q112" s="8">
        <f>IFERROR(__xludf.DUMMYFUNCTION("iferror(index('지수RAW'!$V$7:$V$12040,MATCH($D112,'지수RAW'!$R$7:$R$12040,0)-1,1),GOOGLEFINANCE(Q$2))"),6820.6)</f>
        <v/>
      </c>
      <c r="R112" s="203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3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3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3">
        <f>"20"&amp;B113</f>
        <v/>
      </c>
      <c r="F113" s="203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3" t="n"/>
      <c r="O113" s="203" t="n"/>
      <c r="P113" s="203" t="n"/>
      <c r="Q113" s="8">
        <f>IFERROR(__xludf.DUMMYFUNCTION("iferror(index('지수RAW'!$V$7:$V$12040,MATCH($D113,'지수RAW'!$R$7:$R$12040,0)-1,1),GOOGLEFINANCE(Q$2))"),6820.6)</f>
        <v/>
      </c>
      <c r="R113" s="203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3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3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3">
        <f>"20"&amp;B114</f>
        <v/>
      </c>
      <c r="F114" s="203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3" t="n"/>
      <c r="O114" s="203" t="n"/>
      <c r="P114" s="203" t="n"/>
      <c r="Q114" s="8">
        <f>IFERROR(__xludf.DUMMYFUNCTION("iferror(index('지수RAW'!$V$7:$V$12040,MATCH($D114,'지수RAW'!$R$7:$R$12040,0)-1,1),GOOGLEFINANCE(Q$2))"),6820.6)</f>
        <v/>
      </c>
      <c r="R114" s="203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3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3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3">
        <f>"20"&amp;B115</f>
        <v/>
      </c>
      <c r="F115" s="203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3" t="n"/>
      <c r="O115" s="203" t="n"/>
      <c r="P115" s="203" t="n"/>
      <c r="Q115" s="8">
        <f>IFERROR(__xludf.DUMMYFUNCTION("iferror(index('지수RAW'!$V$7:$V$12040,MATCH($D115,'지수RAW'!$R$7:$R$12040,0)-1,1),GOOGLEFINANCE(Q$2))"),6820.6)</f>
        <v/>
      </c>
      <c r="R115" s="203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3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3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3">
        <f>"20"&amp;B116</f>
        <v/>
      </c>
      <c r="F116" s="203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3" t="n"/>
      <c r="O116" s="203" t="n"/>
      <c r="P116" s="203" t="n"/>
      <c r="Q116" s="8">
        <f>IFERROR(__xludf.DUMMYFUNCTION("iferror(index('지수RAW'!$V$7:$V$12040,MATCH($D116,'지수RAW'!$R$7:$R$12040,0)-1,1),GOOGLEFINANCE(Q$2))"),6820.6)</f>
        <v/>
      </c>
      <c r="R116" s="203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3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3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3">
        <f>"20"&amp;B117</f>
        <v/>
      </c>
      <c r="F117" s="203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3" t="n"/>
      <c r="O117" s="203" t="n"/>
      <c r="P117" s="203" t="n"/>
      <c r="Q117" s="8">
        <f>IFERROR(__xludf.DUMMYFUNCTION("iferror(index('지수RAW'!$V$7:$V$12040,MATCH($D117,'지수RAW'!$R$7:$R$12040,0)-1,1),GOOGLEFINANCE(Q$2))"),6820.6)</f>
        <v/>
      </c>
      <c r="R117" s="203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3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3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3">
        <f>"20"&amp;B118</f>
        <v/>
      </c>
      <c r="F118" s="203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3" t="n"/>
      <c r="O118" s="203" t="n"/>
      <c r="P118" s="203" t="n"/>
      <c r="Q118" s="8">
        <f>IFERROR(__xludf.DUMMYFUNCTION("iferror(index('지수RAW'!$V$7:$V$12040,MATCH($D118,'지수RAW'!$R$7:$R$12040,0)-1,1),GOOGLEFINANCE(Q$2))"),6820.6)</f>
        <v/>
      </c>
      <c r="R118" s="203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3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3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3">
        <f>"20"&amp;B119</f>
        <v/>
      </c>
      <c r="F119" s="203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3" t="n"/>
      <c r="O119" s="203" t="n"/>
      <c r="P119" s="203" t="n"/>
      <c r="Q119" s="8">
        <f>IFERROR(__xludf.DUMMYFUNCTION("iferror(index('지수RAW'!$V$7:$V$12040,MATCH($D119,'지수RAW'!$R$7:$R$12040,0)-1,1),GOOGLEFINANCE(Q$2))"),6820.6)</f>
        <v/>
      </c>
      <c r="R119" s="203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3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3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3">
        <f>"20"&amp;B120</f>
        <v/>
      </c>
      <c r="F120" s="203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3" t="n"/>
      <c r="O120" s="203" t="n"/>
      <c r="P120" s="203" t="n"/>
      <c r="Q120" s="8">
        <f>IFERROR(__xludf.DUMMYFUNCTION("iferror(index('지수RAW'!$V$7:$V$12040,MATCH($D120,'지수RAW'!$R$7:$R$12040,0)-1,1),GOOGLEFINANCE(Q$2))"),6820.6)</f>
        <v/>
      </c>
      <c r="R120" s="203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3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3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3">
        <f>"20"&amp;B121</f>
        <v/>
      </c>
      <c r="F121" s="203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3" t="n"/>
      <c r="O121" s="203" t="n"/>
      <c r="P121" s="203" t="n"/>
      <c r="Q121" s="8">
        <f>IFERROR(__xludf.DUMMYFUNCTION("iferror(index('지수RAW'!$V$7:$V$12040,MATCH($D121,'지수RAW'!$R$7:$R$12040,0)-1,1),GOOGLEFINANCE(Q$2))"),6820.6)</f>
        <v/>
      </c>
      <c r="R121" s="203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3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3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3">
        <f>"20"&amp;B122</f>
        <v/>
      </c>
      <c r="F122" s="203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3" t="n"/>
      <c r="O122" s="203" t="n"/>
      <c r="P122" s="203" t="n"/>
      <c r="Q122" s="8">
        <f>IFERROR(__xludf.DUMMYFUNCTION("iferror(index('지수RAW'!$V$7:$V$12040,MATCH($D122,'지수RAW'!$R$7:$R$12040,0)-1,1),GOOGLEFINANCE(Q$2))"),6820.6)</f>
        <v/>
      </c>
      <c r="R122" s="203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3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3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3">
        <f>"20"&amp;B123</f>
        <v/>
      </c>
      <c r="F123" s="203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3" t="n"/>
      <c r="O123" s="203" t="n"/>
      <c r="P123" s="203" t="n"/>
      <c r="Q123" s="8">
        <f>IFERROR(__xludf.DUMMYFUNCTION("iferror(index('지수RAW'!$V$7:$V$12040,MATCH($D123,'지수RAW'!$R$7:$R$12040,0)-1,1),GOOGLEFINANCE(Q$2))"),6820.6)</f>
        <v/>
      </c>
      <c r="R123" s="203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3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3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3">
        <f>"20"&amp;B124</f>
        <v/>
      </c>
      <c r="F124" s="203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3" t="n"/>
      <c r="O124" s="203" t="n"/>
      <c r="P124" s="203" t="n"/>
      <c r="Q124" s="8">
        <f>IFERROR(__xludf.DUMMYFUNCTION("iferror(index('지수RAW'!$V$7:$V$12040,MATCH($D124,'지수RAW'!$R$7:$R$12040,0)-1,1),GOOGLEFINANCE(Q$2))"),6820.6)</f>
        <v/>
      </c>
      <c r="R124" s="203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3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3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3">
        <f>"20"&amp;B125</f>
        <v/>
      </c>
      <c r="F125" s="203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3" t="n"/>
      <c r="O125" s="203" t="n"/>
      <c r="P125" s="203" t="n"/>
      <c r="Q125" s="8">
        <f>IFERROR(__xludf.DUMMYFUNCTION("iferror(index('지수RAW'!$V$7:$V$12040,MATCH($D125,'지수RAW'!$R$7:$R$12040,0)-1,1),GOOGLEFINANCE(Q$2))"),6820.6)</f>
        <v/>
      </c>
      <c r="R125" s="203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3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3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3">
        <f>"20"&amp;B126</f>
        <v/>
      </c>
      <c r="F126" s="203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3" t="n"/>
      <c r="O126" s="203" t="n"/>
      <c r="P126" s="203" t="n"/>
      <c r="Q126" s="8">
        <f>IFERROR(__xludf.DUMMYFUNCTION("iferror(index('지수RAW'!$V$7:$V$12040,MATCH($D126,'지수RAW'!$R$7:$R$12040,0)-1,1),GOOGLEFINANCE(Q$2))"),6820.6)</f>
        <v/>
      </c>
      <c r="R126" s="203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3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3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3">
        <f>"20"&amp;B127</f>
        <v/>
      </c>
      <c r="F127" s="203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3" t="n"/>
      <c r="O127" s="203" t="n"/>
      <c r="P127" s="203" t="n"/>
      <c r="Q127" s="8">
        <f>IFERROR(__xludf.DUMMYFUNCTION("iferror(index('지수RAW'!$V$7:$V$12040,MATCH($D127,'지수RAW'!$R$7:$R$12040,0)-1,1),GOOGLEFINANCE(Q$2))"),6820.6)</f>
        <v/>
      </c>
      <c r="R127" s="203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3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3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3">
        <f>"20"&amp;B128</f>
        <v/>
      </c>
      <c r="F128" s="203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3" t="n"/>
      <c r="O128" s="203" t="n"/>
      <c r="P128" s="203" t="n"/>
      <c r="Q128" s="8">
        <f>IFERROR(__xludf.DUMMYFUNCTION("iferror(index('지수RAW'!$V$7:$V$12040,MATCH($D128,'지수RAW'!$R$7:$R$12040,0)-1,1),GOOGLEFINANCE(Q$2))"),6820.6)</f>
        <v/>
      </c>
      <c r="R128" s="203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3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3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3">
        <f>"20"&amp;B129</f>
        <v/>
      </c>
      <c r="F129" s="203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3" t="n"/>
      <c r="O129" s="203" t="n"/>
      <c r="P129" s="203" t="n"/>
      <c r="Q129" s="8">
        <f>IFERROR(__xludf.DUMMYFUNCTION("iferror(index('지수RAW'!$V$7:$V$12040,MATCH($D129,'지수RAW'!$R$7:$R$12040,0)-1,1),GOOGLEFINANCE(Q$2))"),6820.6)</f>
        <v/>
      </c>
      <c r="R129" s="203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3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3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3">
        <f>"20"&amp;B130</f>
        <v/>
      </c>
      <c r="F130" s="203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3" t="n"/>
      <c r="O130" s="203" t="n"/>
      <c r="P130" s="203" t="n"/>
      <c r="Q130" s="8">
        <f>IFERROR(__xludf.DUMMYFUNCTION("iferror(index('지수RAW'!$V$7:$V$12040,MATCH($D130,'지수RAW'!$R$7:$R$12040,0)-1,1),GOOGLEFINANCE(Q$2))"),6820.6)</f>
        <v/>
      </c>
      <c r="R130" s="203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3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3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3">
        <f>"20"&amp;B131</f>
        <v/>
      </c>
      <c r="F131" s="203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3" t="n"/>
      <c r="O131" s="203" t="n"/>
      <c r="P131" s="203" t="n"/>
      <c r="Q131" s="8">
        <f>IFERROR(__xludf.DUMMYFUNCTION("iferror(index('지수RAW'!$V$7:$V$12040,MATCH($D131,'지수RAW'!$R$7:$R$12040,0)-1,1),GOOGLEFINANCE(Q$2))"),6820.6)</f>
        <v/>
      </c>
      <c r="R131" s="203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3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3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3">
        <f>"20"&amp;B132</f>
        <v/>
      </c>
      <c r="F132" s="203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3" t="n"/>
      <c r="O132" s="203" t="n"/>
      <c r="P132" s="203" t="n"/>
      <c r="Q132" s="8">
        <f>IFERROR(__xludf.DUMMYFUNCTION("iferror(index('지수RAW'!$V$7:$V$12040,MATCH($D132,'지수RAW'!$R$7:$R$12040,0)-1,1),GOOGLEFINANCE(Q$2))"),6820.6)</f>
        <v/>
      </c>
      <c r="R132" s="203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3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3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3">
        <f>"20"&amp;B133</f>
        <v/>
      </c>
      <c r="F133" s="203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3" t="n"/>
      <c r="O133" s="203" t="n"/>
      <c r="P133" s="203" t="n"/>
      <c r="Q133" s="8">
        <f>IFERROR(__xludf.DUMMYFUNCTION("iferror(index('지수RAW'!$V$7:$V$12040,MATCH($D133,'지수RAW'!$R$7:$R$12040,0)-1,1),GOOGLEFINANCE(Q$2))"),6820.6)</f>
        <v/>
      </c>
      <c r="R133" s="203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3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3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3">
        <f>"20"&amp;B134</f>
        <v/>
      </c>
      <c r="F134" s="203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3" t="n"/>
      <c r="O134" s="203" t="n"/>
      <c r="P134" s="203" t="n"/>
      <c r="Q134" s="8">
        <f>IFERROR(__xludf.DUMMYFUNCTION("iferror(index('지수RAW'!$V$7:$V$12040,MATCH($D134,'지수RAW'!$R$7:$R$12040,0)-1,1),GOOGLEFINANCE(Q$2))"),6820.6)</f>
        <v/>
      </c>
      <c r="R134" s="203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3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3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3">
        <f>"20"&amp;B135</f>
        <v/>
      </c>
      <c r="F135" s="203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3" t="n"/>
      <c r="O135" s="203" t="n"/>
      <c r="P135" s="203" t="n"/>
      <c r="Q135" s="8">
        <f>IFERROR(__xludf.DUMMYFUNCTION("iferror(index('지수RAW'!$V$7:$V$12040,MATCH($D135,'지수RAW'!$R$7:$R$12040,0)-1,1),GOOGLEFINANCE(Q$2))"),6820.6)</f>
        <v/>
      </c>
      <c r="R135" s="203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3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3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3">
        <f>"20"&amp;B136</f>
        <v/>
      </c>
      <c r="F136" s="203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3" t="n"/>
      <c r="O136" s="203" t="n"/>
      <c r="P136" s="203" t="n"/>
      <c r="Q136" s="8">
        <f>IFERROR(__xludf.DUMMYFUNCTION("iferror(index('지수RAW'!$V$7:$V$12040,MATCH($D136,'지수RAW'!$R$7:$R$12040,0)-1,1),GOOGLEFINANCE(Q$2))"),6820.6)</f>
        <v/>
      </c>
      <c r="R136" s="203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3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3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3">
        <f>"20"&amp;B137</f>
        <v/>
      </c>
      <c r="F137" s="203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3" t="n"/>
      <c r="O137" s="203" t="n"/>
      <c r="P137" s="203" t="n"/>
      <c r="Q137" s="8">
        <f>IFERROR(__xludf.DUMMYFUNCTION("iferror(index('지수RAW'!$V$7:$V$12040,MATCH($D137,'지수RAW'!$R$7:$R$12040,0)-1,1),GOOGLEFINANCE(Q$2))"),6820.6)</f>
        <v/>
      </c>
      <c r="R137" s="203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3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3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3">
        <f>"20"&amp;B138</f>
        <v/>
      </c>
      <c r="F138" s="203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3" t="n"/>
      <c r="O138" s="203" t="n"/>
      <c r="P138" s="203" t="n"/>
      <c r="Q138" s="8">
        <f>IFERROR(__xludf.DUMMYFUNCTION("iferror(index('지수RAW'!$V$7:$V$12040,MATCH($D138,'지수RAW'!$R$7:$R$12040,0)-1,1),GOOGLEFINANCE(Q$2))"),6820.6)</f>
        <v/>
      </c>
      <c r="R138" s="203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3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3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3">
        <f>"20"&amp;B139</f>
        <v/>
      </c>
      <c r="F139" s="203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3" t="n"/>
      <c r="O139" s="203" t="n"/>
      <c r="P139" s="203" t="n"/>
      <c r="Q139" s="8">
        <f>IFERROR(__xludf.DUMMYFUNCTION("iferror(index('지수RAW'!$V$7:$V$12040,MATCH($D139,'지수RAW'!$R$7:$R$12040,0)-1,1),GOOGLEFINANCE(Q$2))"),6820.6)</f>
        <v/>
      </c>
      <c r="R139" s="203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3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3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3">
        <f>"20"&amp;B140</f>
        <v/>
      </c>
      <c r="F140" s="203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3" t="n"/>
      <c r="O140" s="203" t="n"/>
      <c r="P140" s="203" t="n"/>
      <c r="Q140" s="8">
        <f>IFERROR(__xludf.DUMMYFUNCTION("iferror(index('지수RAW'!$V$7:$V$12040,MATCH($D140,'지수RAW'!$R$7:$R$12040,0)-1,1),GOOGLEFINANCE(Q$2))"),6820.6)</f>
        <v/>
      </c>
      <c r="R140" s="203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3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3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3">
        <f>"20"&amp;B141</f>
        <v/>
      </c>
      <c r="F141" s="203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3" t="n"/>
      <c r="O141" s="203" t="n"/>
      <c r="P141" s="203" t="n"/>
      <c r="Q141" s="8">
        <f>IFERROR(__xludf.DUMMYFUNCTION("iferror(index('지수RAW'!$V$7:$V$12040,MATCH($D141,'지수RAW'!$R$7:$R$12040,0)-1,1),GOOGLEFINANCE(Q$2))"),6820.6)</f>
        <v/>
      </c>
      <c r="R141" s="203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3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3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3">
        <f>"20"&amp;B142</f>
        <v/>
      </c>
      <c r="F142" s="203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3" t="n"/>
      <c r="O142" s="203" t="n"/>
      <c r="P142" s="203" t="n"/>
      <c r="Q142" s="8">
        <f>IFERROR(__xludf.DUMMYFUNCTION("iferror(index('지수RAW'!$V$7:$V$12040,MATCH($D142,'지수RAW'!$R$7:$R$12040,0)-1,1),GOOGLEFINANCE(Q$2))"),6820.6)</f>
        <v/>
      </c>
      <c r="R142" s="203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3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3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3">
        <f>"20"&amp;B143</f>
        <v/>
      </c>
      <c r="F143" s="203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3" t="n"/>
      <c r="O143" s="203" t="n"/>
      <c r="P143" s="203" t="n"/>
      <c r="Q143" s="8">
        <f>IFERROR(__xludf.DUMMYFUNCTION("iferror(index('지수RAW'!$V$7:$V$12040,MATCH($D143,'지수RAW'!$R$7:$R$12040,0)-1,1),GOOGLEFINANCE(Q$2))"),6820.6)</f>
        <v/>
      </c>
      <c r="R143" s="203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3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3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3">
        <f>"20"&amp;B144</f>
        <v/>
      </c>
      <c r="F144" s="203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3" t="n"/>
      <c r="O144" s="203" t="n"/>
      <c r="P144" s="203" t="n"/>
      <c r="Q144" s="8">
        <f>IFERROR(__xludf.DUMMYFUNCTION("iferror(index('지수RAW'!$V$7:$V$12040,MATCH($D144,'지수RAW'!$R$7:$R$12040,0)-1,1),GOOGLEFINANCE(Q$2))"),6820.6)</f>
        <v/>
      </c>
      <c r="R144" s="203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3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3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3">
        <f>"20"&amp;B145</f>
        <v/>
      </c>
      <c r="F145" s="203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3" t="n"/>
      <c r="O145" s="203" t="n"/>
      <c r="P145" s="203" t="n"/>
      <c r="Q145" s="8">
        <f>IFERROR(__xludf.DUMMYFUNCTION("iferror(index('지수RAW'!$V$7:$V$12040,MATCH($D145,'지수RAW'!$R$7:$R$12040,0)-1,1),GOOGLEFINANCE(Q$2))"),6820.6)</f>
        <v/>
      </c>
      <c r="R145" s="203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3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3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3">
        <f>"20"&amp;B146</f>
        <v/>
      </c>
      <c r="F146" s="203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3" t="n"/>
      <c r="O146" s="203" t="n"/>
      <c r="P146" s="203" t="n"/>
      <c r="Q146" s="8">
        <f>IFERROR(__xludf.DUMMYFUNCTION("iferror(index('지수RAW'!$V$7:$V$12040,MATCH($D146,'지수RAW'!$R$7:$R$12040,0)-1,1),GOOGLEFINANCE(Q$2))"),6820.6)</f>
        <v/>
      </c>
      <c r="R146" s="203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3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3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3">
        <f>"20"&amp;B147</f>
        <v/>
      </c>
      <c r="F147" s="203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3" t="n"/>
      <c r="O147" s="203" t="n"/>
      <c r="P147" s="203" t="n"/>
      <c r="Q147" s="8">
        <f>IFERROR(__xludf.DUMMYFUNCTION("iferror(index('지수RAW'!$V$7:$V$12040,MATCH($D147,'지수RAW'!$R$7:$R$12040,0)-1,1),GOOGLEFINANCE(Q$2))"),6820.6)</f>
        <v/>
      </c>
      <c r="R147" s="203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3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3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3">
        <f>"20"&amp;B148</f>
        <v/>
      </c>
      <c r="F148" s="203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3" t="n"/>
      <c r="O148" s="203" t="n"/>
      <c r="P148" s="203" t="n"/>
      <c r="Q148" s="8">
        <f>IFERROR(__xludf.DUMMYFUNCTION("iferror(index('지수RAW'!$V$7:$V$12040,MATCH($D148,'지수RAW'!$R$7:$R$12040,0)-1,1),GOOGLEFINANCE(Q$2))"),6820.6)</f>
        <v/>
      </c>
      <c r="R148" s="203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3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3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3">
        <f>"20"&amp;B149</f>
        <v/>
      </c>
      <c r="F149" s="203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3" t="n"/>
      <c r="O149" s="203" t="n"/>
      <c r="P149" s="203" t="n"/>
      <c r="Q149" s="8">
        <f>IFERROR(__xludf.DUMMYFUNCTION("iferror(index('지수RAW'!$V$7:$V$12040,MATCH($D149,'지수RAW'!$R$7:$R$12040,0)-1,1),GOOGLEFINANCE(Q$2))"),6820.6)</f>
        <v/>
      </c>
      <c r="R149" s="203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3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3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3">
        <f>"20"&amp;B150</f>
        <v/>
      </c>
      <c r="F150" s="203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3" t="n"/>
      <c r="O150" s="203" t="n"/>
      <c r="P150" s="203" t="n"/>
      <c r="Q150" s="8">
        <f>IFERROR(__xludf.DUMMYFUNCTION("iferror(index('지수RAW'!$V$7:$V$12040,MATCH($D150,'지수RAW'!$R$7:$R$12040,0)-1,1),GOOGLEFINANCE(Q$2))"),6820.6)</f>
        <v/>
      </c>
      <c r="R150" s="203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3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3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3">
        <f>"20"&amp;B151</f>
        <v/>
      </c>
      <c r="F151" s="203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3" t="n"/>
      <c r="O151" s="203" t="n"/>
      <c r="P151" s="203" t="n"/>
      <c r="Q151" s="8">
        <f>IFERROR(__xludf.DUMMYFUNCTION("iferror(index('지수RAW'!$V$7:$V$12040,MATCH($D151,'지수RAW'!$R$7:$R$12040,0)-1,1),GOOGLEFINANCE(Q$2))"),6820.6)</f>
        <v/>
      </c>
      <c r="R151" s="203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3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3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3">
        <f>"20"&amp;B152</f>
        <v/>
      </c>
      <c r="F152" s="203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3" t="n"/>
      <c r="O152" s="203" t="n"/>
      <c r="P152" s="203" t="n"/>
      <c r="Q152" s="8">
        <f>IFERROR(__xludf.DUMMYFUNCTION("iferror(index('지수RAW'!$V$7:$V$12040,MATCH($D152,'지수RAW'!$R$7:$R$12040,0)-1,1),GOOGLEFINANCE(Q$2))"),6820.6)</f>
        <v/>
      </c>
      <c r="R152" s="203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3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3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3">
        <f>"20"&amp;B153</f>
        <v/>
      </c>
      <c r="F153" s="203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3" t="n"/>
      <c r="O153" s="203" t="n"/>
      <c r="P153" s="203" t="n"/>
      <c r="Q153" s="8">
        <f>IFERROR(__xludf.DUMMYFUNCTION("iferror(index('지수RAW'!$V$7:$V$12040,MATCH($D153,'지수RAW'!$R$7:$R$12040,0)-1,1),GOOGLEFINANCE(Q$2))"),6820.6)</f>
        <v/>
      </c>
      <c r="R153" s="203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3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3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3">
        <f>"20"&amp;B154</f>
        <v/>
      </c>
      <c r="F154" s="203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3" t="n"/>
      <c r="O154" s="203" t="n"/>
      <c r="P154" s="203" t="n"/>
      <c r="Q154" s="8">
        <f>IFERROR(__xludf.DUMMYFUNCTION("iferror(index('지수RAW'!$V$7:$V$12040,MATCH($D154,'지수RAW'!$R$7:$R$12040,0)-1,1),GOOGLEFINANCE(Q$2))"),6820.6)</f>
        <v/>
      </c>
      <c r="R154" s="203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3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3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3">
        <f>"20"&amp;B155</f>
        <v/>
      </c>
      <c r="F155" s="203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3" t="n"/>
      <c r="O155" s="203" t="n"/>
      <c r="P155" s="203" t="n"/>
      <c r="Q155" s="8">
        <f>IFERROR(__xludf.DUMMYFUNCTION("iferror(index('지수RAW'!$V$7:$V$12040,MATCH($D155,'지수RAW'!$R$7:$R$12040,0)-1,1),GOOGLEFINANCE(Q$2))"),6820.6)</f>
        <v/>
      </c>
      <c r="R155" s="203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3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  <c r="S156" s="203" t="n"/>
      <c r="T156" s="203" t="n"/>
      <c r="U156" s="203" t="n"/>
      <c r="V156" s="203" t="n"/>
      <c r="W156" s="203" t="n"/>
      <c r="X156" s="203" t="n"/>
      <c r="Y156" s="203" t="n"/>
      <c r="Z156" s="203" t="n"/>
      <c r="AA156" s="203" t="n"/>
      <c r="AB156" s="203" t="n"/>
      <c r="AC156" s="203" t="n"/>
      <c r="AD156" s="203" t="n"/>
      <c r="AE156" s="203" t="n"/>
      <c r="AF156" s="203" t="n"/>
      <c r="AG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  <c r="S157" s="203" t="n"/>
      <c r="T157" s="203" t="n"/>
      <c r="U157" s="203" t="n"/>
      <c r="V157" s="203" t="n"/>
      <c r="W157" s="203" t="n"/>
      <c r="X157" s="203" t="n"/>
      <c r="Y157" s="203" t="n"/>
      <c r="Z157" s="203" t="n"/>
      <c r="AA157" s="203" t="n"/>
      <c r="AB157" s="203" t="n"/>
      <c r="AC157" s="203" t="n"/>
      <c r="AD157" s="203" t="n"/>
      <c r="AE157" s="203" t="n"/>
      <c r="AF157" s="203" t="n"/>
      <c r="AG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  <c r="S158" s="203" t="n"/>
      <c r="T158" s="203" t="n"/>
      <c r="U158" s="203" t="n"/>
      <c r="V158" s="203" t="n"/>
      <c r="W158" s="203" t="n"/>
      <c r="X158" s="203" t="n"/>
      <c r="Y158" s="203" t="n"/>
      <c r="Z158" s="203" t="n"/>
      <c r="AA158" s="203" t="n"/>
      <c r="AB158" s="203" t="n"/>
      <c r="AC158" s="203" t="n"/>
      <c r="AD158" s="203" t="n"/>
      <c r="AE158" s="203" t="n"/>
      <c r="AF158" s="203" t="n"/>
      <c r="AG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  <c r="S159" s="203" t="n"/>
      <c r="T159" s="203" t="n"/>
      <c r="U159" s="203" t="n"/>
      <c r="V159" s="203" t="n"/>
      <c r="W159" s="203" t="n"/>
      <c r="X159" s="203" t="n"/>
      <c r="Y159" s="203" t="n"/>
      <c r="Z159" s="203" t="n"/>
      <c r="AA159" s="203" t="n"/>
      <c r="AB159" s="203" t="n"/>
      <c r="AC159" s="203" t="n"/>
      <c r="AD159" s="203" t="n"/>
      <c r="AE159" s="203" t="n"/>
      <c r="AF159" s="203" t="n"/>
      <c r="AG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  <c r="S160" s="203" t="n"/>
      <c r="T160" s="203" t="n"/>
      <c r="U160" s="203" t="n"/>
      <c r="V160" s="203" t="n"/>
      <c r="W160" s="203" t="n"/>
      <c r="X160" s="203" t="n"/>
      <c r="Y160" s="203" t="n"/>
      <c r="Z160" s="203" t="n"/>
      <c r="AA160" s="203" t="n"/>
      <c r="AB160" s="203" t="n"/>
      <c r="AC160" s="203" t="n"/>
      <c r="AD160" s="203" t="n"/>
      <c r="AE160" s="203" t="n"/>
      <c r="AF160" s="203" t="n"/>
      <c r="AG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  <c r="S161" s="203" t="n"/>
      <c r="T161" s="203" t="n"/>
      <c r="U161" s="203" t="n"/>
      <c r="V161" s="203" t="n"/>
      <c r="W161" s="203" t="n"/>
      <c r="X161" s="203" t="n"/>
      <c r="Y161" s="203" t="n"/>
      <c r="Z161" s="203" t="n"/>
      <c r="AA161" s="203" t="n"/>
      <c r="AB161" s="203" t="n"/>
      <c r="AC161" s="203" t="n"/>
      <c r="AD161" s="203" t="n"/>
      <c r="AE161" s="203" t="n"/>
      <c r="AF161" s="203" t="n"/>
      <c r="AG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  <c r="S162" s="203" t="n"/>
      <c r="T162" s="203" t="n"/>
      <c r="U162" s="203" t="n"/>
      <c r="V162" s="203" t="n"/>
      <c r="W162" s="203" t="n"/>
      <c r="X162" s="203" t="n"/>
      <c r="Y162" s="203" t="n"/>
      <c r="Z162" s="203" t="n"/>
      <c r="AA162" s="203" t="n"/>
      <c r="AB162" s="203" t="n"/>
      <c r="AC162" s="203" t="n"/>
      <c r="AD162" s="203" t="n"/>
      <c r="AE162" s="203" t="n"/>
      <c r="AF162" s="203" t="n"/>
      <c r="AG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  <c r="S163" s="203" t="n"/>
      <c r="T163" s="203" t="n"/>
      <c r="U163" s="203" t="n"/>
      <c r="V163" s="203" t="n"/>
      <c r="W163" s="203" t="n"/>
      <c r="X163" s="203" t="n"/>
      <c r="Y163" s="203" t="n"/>
      <c r="Z163" s="203" t="n"/>
      <c r="AA163" s="203" t="n"/>
      <c r="AB163" s="203" t="n"/>
      <c r="AC163" s="203" t="n"/>
      <c r="AD163" s="203" t="n"/>
      <c r="AE163" s="203" t="n"/>
      <c r="AF163" s="203" t="n"/>
      <c r="AG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  <c r="S164" s="203" t="n"/>
      <c r="T164" s="203" t="n"/>
      <c r="U164" s="203" t="n"/>
      <c r="V164" s="203" t="n"/>
      <c r="W164" s="203" t="n"/>
      <c r="X164" s="203" t="n"/>
      <c r="Y164" s="203" t="n"/>
      <c r="Z164" s="203" t="n"/>
      <c r="AA164" s="203" t="n"/>
      <c r="AB164" s="203" t="n"/>
      <c r="AC164" s="203" t="n"/>
      <c r="AD164" s="203" t="n"/>
      <c r="AE164" s="203" t="n"/>
      <c r="AF164" s="203" t="n"/>
      <c r="AG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  <c r="S165" s="203" t="n"/>
      <c r="T165" s="203" t="n"/>
      <c r="U165" s="203" t="n"/>
      <c r="V165" s="203" t="n"/>
      <c r="W165" s="203" t="n"/>
      <c r="X165" s="203" t="n"/>
      <c r="Y165" s="203" t="n"/>
      <c r="Z165" s="203" t="n"/>
      <c r="AA165" s="203" t="n"/>
      <c r="AB165" s="203" t="n"/>
      <c r="AC165" s="203" t="n"/>
      <c r="AD165" s="203" t="n"/>
      <c r="AE165" s="203" t="n"/>
      <c r="AF165" s="203" t="n"/>
      <c r="AG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  <c r="S166" s="203" t="n"/>
      <c r="T166" s="203" t="n"/>
      <c r="U166" s="203" t="n"/>
      <c r="V166" s="203" t="n"/>
      <c r="W166" s="203" t="n"/>
      <c r="X166" s="203" t="n"/>
      <c r="Y166" s="203" t="n"/>
      <c r="Z166" s="203" t="n"/>
      <c r="AA166" s="203" t="n"/>
      <c r="AB166" s="203" t="n"/>
      <c r="AC166" s="203" t="n"/>
      <c r="AD166" s="203" t="n"/>
      <c r="AE166" s="203" t="n"/>
      <c r="AF166" s="203" t="n"/>
      <c r="AG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  <c r="S167" s="203" t="n"/>
      <c r="T167" s="203" t="n"/>
      <c r="U167" s="203" t="n"/>
      <c r="V167" s="203" t="n"/>
      <c r="W167" s="203" t="n"/>
      <c r="X167" s="203" t="n"/>
      <c r="Y167" s="203" t="n"/>
      <c r="Z167" s="203" t="n"/>
      <c r="AA167" s="203" t="n"/>
      <c r="AB167" s="203" t="n"/>
      <c r="AC167" s="203" t="n"/>
      <c r="AD167" s="203" t="n"/>
      <c r="AE167" s="203" t="n"/>
      <c r="AF167" s="203" t="n"/>
      <c r="AG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  <c r="S168" s="203" t="n"/>
      <c r="T168" s="203" t="n"/>
      <c r="U168" s="203" t="n"/>
      <c r="V168" s="203" t="n"/>
      <c r="W168" s="203" t="n"/>
      <c r="X168" s="203" t="n"/>
      <c r="Y168" s="203" t="n"/>
      <c r="Z168" s="203" t="n"/>
      <c r="AA168" s="203" t="n"/>
      <c r="AB168" s="203" t="n"/>
      <c r="AC168" s="203" t="n"/>
      <c r="AD168" s="203" t="n"/>
      <c r="AE168" s="203" t="n"/>
      <c r="AF168" s="203" t="n"/>
      <c r="AG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  <c r="S169" s="203" t="n"/>
      <c r="T169" s="203" t="n"/>
      <c r="U169" s="203" t="n"/>
      <c r="V169" s="203" t="n"/>
      <c r="W169" s="203" t="n"/>
      <c r="X169" s="203" t="n"/>
      <c r="Y169" s="203" t="n"/>
      <c r="Z169" s="203" t="n"/>
      <c r="AA169" s="203" t="n"/>
      <c r="AB169" s="203" t="n"/>
      <c r="AC169" s="203" t="n"/>
      <c r="AD169" s="203" t="n"/>
      <c r="AE169" s="203" t="n"/>
      <c r="AF169" s="203" t="n"/>
      <c r="AG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  <c r="S170" s="203" t="n"/>
      <c r="T170" s="203" t="n"/>
      <c r="U170" s="203" t="n"/>
      <c r="V170" s="203" t="n"/>
      <c r="W170" s="203" t="n"/>
      <c r="X170" s="203" t="n"/>
      <c r="Y170" s="203" t="n"/>
      <c r="Z170" s="203" t="n"/>
      <c r="AA170" s="203" t="n"/>
      <c r="AB170" s="203" t="n"/>
      <c r="AC170" s="203" t="n"/>
      <c r="AD170" s="203" t="n"/>
      <c r="AE170" s="203" t="n"/>
      <c r="AF170" s="203" t="n"/>
      <c r="AG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  <c r="S171" s="203" t="n"/>
      <c r="T171" s="203" t="n"/>
      <c r="U171" s="203" t="n"/>
      <c r="V171" s="203" t="n"/>
      <c r="W171" s="203" t="n"/>
      <c r="X171" s="203" t="n"/>
      <c r="Y171" s="203" t="n"/>
      <c r="Z171" s="203" t="n"/>
      <c r="AA171" s="203" t="n"/>
      <c r="AB171" s="203" t="n"/>
      <c r="AC171" s="203" t="n"/>
      <c r="AD171" s="203" t="n"/>
      <c r="AE171" s="203" t="n"/>
      <c r="AF171" s="203" t="n"/>
      <c r="AG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  <c r="S172" s="203" t="n"/>
      <c r="T172" s="203" t="n"/>
      <c r="U172" s="203" t="n"/>
      <c r="V172" s="203" t="n"/>
      <c r="W172" s="203" t="n"/>
      <c r="X172" s="203" t="n"/>
      <c r="Y172" s="203" t="n"/>
      <c r="Z172" s="203" t="n"/>
      <c r="AA172" s="203" t="n"/>
      <c r="AB172" s="203" t="n"/>
      <c r="AC172" s="203" t="n"/>
      <c r="AD172" s="203" t="n"/>
      <c r="AE172" s="203" t="n"/>
      <c r="AF172" s="203" t="n"/>
      <c r="AG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  <c r="S173" s="203" t="n"/>
      <c r="T173" s="203" t="n"/>
      <c r="U173" s="203" t="n"/>
      <c r="V173" s="203" t="n"/>
      <c r="W173" s="203" t="n"/>
      <c r="X173" s="203" t="n"/>
      <c r="Y173" s="203" t="n"/>
      <c r="Z173" s="203" t="n"/>
      <c r="AA173" s="203" t="n"/>
      <c r="AB173" s="203" t="n"/>
      <c r="AC173" s="203" t="n"/>
      <c r="AD173" s="203" t="n"/>
      <c r="AE173" s="203" t="n"/>
      <c r="AF173" s="203" t="n"/>
      <c r="AG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  <c r="S174" s="203" t="n"/>
      <c r="T174" s="203" t="n"/>
      <c r="U174" s="203" t="n"/>
      <c r="V174" s="203" t="n"/>
      <c r="W174" s="203" t="n"/>
      <c r="X174" s="203" t="n"/>
      <c r="Y174" s="203" t="n"/>
      <c r="Z174" s="203" t="n"/>
      <c r="AA174" s="203" t="n"/>
      <c r="AB174" s="203" t="n"/>
      <c r="AC174" s="203" t="n"/>
      <c r="AD174" s="203" t="n"/>
      <c r="AE174" s="203" t="n"/>
      <c r="AF174" s="203" t="n"/>
      <c r="AG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  <c r="S175" s="203" t="n"/>
      <c r="T175" s="203" t="n"/>
      <c r="U175" s="203" t="n"/>
      <c r="V175" s="203" t="n"/>
      <c r="W175" s="203" t="n"/>
      <c r="X175" s="203" t="n"/>
      <c r="Y175" s="203" t="n"/>
      <c r="Z175" s="203" t="n"/>
      <c r="AA175" s="203" t="n"/>
      <c r="AB175" s="203" t="n"/>
      <c r="AC175" s="203" t="n"/>
      <c r="AD175" s="203" t="n"/>
      <c r="AE175" s="203" t="n"/>
      <c r="AF175" s="203" t="n"/>
      <c r="AG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  <c r="S176" s="203" t="n"/>
      <c r="T176" s="203" t="n"/>
      <c r="U176" s="203" t="n"/>
      <c r="V176" s="203" t="n"/>
      <c r="W176" s="203" t="n"/>
      <c r="X176" s="203" t="n"/>
      <c r="Y176" s="203" t="n"/>
      <c r="Z176" s="203" t="n"/>
      <c r="AA176" s="203" t="n"/>
      <c r="AB176" s="203" t="n"/>
      <c r="AC176" s="203" t="n"/>
      <c r="AD176" s="203" t="n"/>
      <c r="AE176" s="203" t="n"/>
      <c r="AF176" s="203" t="n"/>
      <c r="AG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  <c r="S177" s="203" t="n"/>
      <c r="T177" s="203" t="n"/>
      <c r="U177" s="203" t="n"/>
      <c r="V177" s="203" t="n"/>
      <c r="W177" s="203" t="n"/>
      <c r="X177" s="203" t="n"/>
      <c r="Y177" s="203" t="n"/>
      <c r="Z177" s="203" t="n"/>
      <c r="AA177" s="203" t="n"/>
      <c r="AB177" s="203" t="n"/>
      <c r="AC177" s="203" t="n"/>
      <c r="AD177" s="203" t="n"/>
      <c r="AE177" s="203" t="n"/>
      <c r="AF177" s="203" t="n"/>
      <c r="AG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  <c r="S178" s="203" t="n"/>
      <c r="T178" s="203" t="n"/>
      <c r="U178" s="203" t="n"/>
      <c r="V178" s="203" t="n"/>
      <c r="W178" s="203" t="n"/>
      <c r="X178" s="203" t="n"/>
      <c r="Y178" s="203" t="n"/>
      <c r="Z178" s="203" t="n"/>
      <c r="AA178" s="203" t="n"/>
      <c r="AB178" s="203" t="n"/>
      <c r="AC178" s="203" t="n"/>
      <c r="AD178" s="203" t="n"/>
      <c r="AE178" s="203" t="n"/>
      <c r="AF178" s="203" t="n"/>
      <c r="AG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  <c r="S179" s="203" t="n"/>
      <c r="T179" s="203" t="n"/>
      <c r="U179" s="203" t="n"/>
      <c r="V179" s="203" t="n"/>
      <c r="W179" s="203" t="n"/>
      <c r="X179" s="203" t="n"/>
      <c r="Y179" s="203" t="n"/>
      <c r="Z179" s="203" t="n"/>
      <c r="AA179" s="203" t="n"/>
      <c r="AB179" s="203" t="n"/>
      <c r="AC179" s="203" t="n"/>
      <c r="AD179" s="203" t="n"/>
      <c r="AE179" s="203" t="n"/>
      <c r="AF179" s="203" t="n"/>
      <c r="AG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  <c r="S180" s="203" t="n"/>
      <c r="T180" s="203" t="n"/>
      <c r="U180" s="203" t="n"/>
      <c r="V180" s="203" t="n"/>
      <c r="W180" s="203" t="n"/>
      <c r="X180" s="203" t="n"/>
      <c r="Y180" s="203" t="n"/>
      <c r="Z180" s="203" t="n"/>
      <c r="AA180" s="203" t="n"/>
      <c r="AB180" s="203" t="n"/>
      <c r="AC180" s="203" t="n"/>
      <c r="AD180" s="203" t="n"/>
      <c r="AE180" s="203" t="n"/>
      <c r="AF180" s="203" t="n"/>
      <c r="AG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  <c r="S181" s="203" t="n"/>
      <c r="T181" s="203" t="n"/>
      <c r="U181" s="203" t="n"/>
      <c r="V181" s="203" t="n"/>
      <c r="W181" s="203" t="n"/>
      <c r="X181" s="203" t="n"/>
      <c r="Y181" s="203" t="n"/>
      <c r="Z181" s="203" t="n"/>
      <c r="AA181" s="203" t="n"/>
      <c r="AB181" s="203" t="n"/>
      <c r="AC181" s="203" t="n"/>
      <c r="AD181" s="203" t="n"/>
      <c r="AE181" s="203" t="n"/>
      <c r="AF181" s="203" t="n"/>
      <c r="AG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  <c r="S182" s="203" t="n"/>
      <c r="T182" s="203" t="n"/>
      <c r="U182" s="203" t="n"/>
      <c r="V182" s="203" t="n"/>
      <c r="W182" s="203" t="n"/>
      <c r="X182" s="203" t="n"/>
      <c r="Y182" s="203" t="n"/>
      <c r="Z182" s="203" t="n"/>
      <c r="AA182" s="203" t="n"/>
      <c r="AB182" s="203" t="n"/>
      <c r="AC182" s="203" t="n"/>
      <c r="AD182" s="203" t="n"/>
      <c r="AE182" s="203" t="n"/>
      <c r="AF182" s="203" t="n"/>
      <c r="AG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  <c r="S183" s="203" t="n"/>
      <c r="T183" s="203" t="n"/>
      <c r="U183" s="203" t="n"/>
      <c r="V183" s="203" t="n"/>
      <c r="W183" s="203" t="n"/>
      <c r="X183" s="203" t="n"/>
      <c r="Y183" s="203" t="n"/>
      <c r="Z183" s="203" t="n"/>
      <c r="AA183" s="203" t="n"/>
      <c r="AB183" s="203" t="n"/>
      <c r="AC183" s="203" t="n"/>
      <c r="AD183" s="203" t="n"/>
      <c r="AE183" s="203" t="n"/>
      <c r="AF183" s="203" t="n"/>
      <c r="AG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  <c r="S184" s="203" t="n"/>
      <c r="T184" s="203" t="n"/>
      <c r="U184" s="203" t="n"/>
      <c r="V184" s="203" t="n"/>
      <c r="W184" s="203" t="n"/>
      <c r="X184" s="203" t="n"/>
      <c r="Y184" s="203" t="n"/>
      <c r="Z184" s="203" t="n"/>
      <c r="AA184" s="203" t="n"/>
      <c r="AB184" s="203" t="n"/>
      <c r="AC184" s="203" t="n"/>
      <c r="AD184" s="203" t="n"/>
      <c r="AE184" s="203" t="n"/>
      <c r="AF184" s="203" t="n"/>
      <c r="AG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  <c r="S185" s="203" t="n"/>
      <c r="T185" s="203" t="n"/>
      <c r="U185" s="203" t="n"/>
      <c r="V185" s="203" t="n"/>
      <c r="W185" s="203" t="n"/>
      <c r="X185" s="203" t="n"/>
      <c r="Y185" s="203" t="n"/>
      <c r="Z185" s="203" t="n"/>
      <c r="AA185" s="203" t="n"/>
      <c r="AB185" s="203" t="n"/>
      <c r="AC185" s="203" t="n"/>
      <c r="AD185" s="203" t="n"/>
      <c r="AE185" s="203" t="n"/>
      <c r="AF185" s="203" t="n"/>
      <c r="AG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  <c r="S186" s="203" t="n"/>
      <c r="T186" s="203" t="n"/>
      <c r="U186" s="203" t="n"/>
      <c r="V186" s="203" t="n"/>
      <c r="W186" s="203" t="n"/>
      <c r="X186" s="203" t="n"/>
      <c r="Y186" s="203" t="n"/>
      <c r="Z186" s="203" t="n"/>
      <c r="AA186" s="203" t="n"/>
      <c r="AB186" s="203" t="n"/>
      <c r="AC186" s="203" t="n"/>
      <c r="AD186" s="203" t="n"/>
      <c r="AE186" s="203" t="n"/>
      <c r="AF186" s="203" t="n"/>
      <c r="AG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  <c r="S187" s="203" t="n"/>
      <c r="T187" s="203" t="n"/>
      <c r="U187" s="203" t="n"/>
      <c r="V187" s="203" t="n"/>
      <c r="W187" s="203" t="n"/>
      <c r="X187" s="203" t="n"/>
      <c r="Y187" s="203" t="n"/>
      <c r="Z187" s="203" t="n"/>
      <c r="AA187" s="203" t="n"/>
      <c r="AB187" s="203" t="n"/>
      <c r="AC187" s="203" t="n"/>
      <c r="AD187" s="203" t="n"/>
      <c r="AE187" s="203" t="n"/>
      <c r="AF187" s="203" t="n"/>
      <c r="AG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  <c r="S188" s="203" t="n"/>
      <c r="T188" s="203" t="n"/>
      <c r="U188" s="203" t="n"/>
      <c r="V188" s="203" t="n"/>
      <c r="W188" s="203" t="n"/>
      <c r="X188" s="203" t="n"/>
      <c r="Y188" s="203" t="n"/>
      <c r="Z188" s="203" t="n"/>
      <c r="AA188" s="203" t="n"/>
      <c r="AB188" s="203" t="n"/>
      <c r="AC188" s="203" t="n"/>
      <c r="AD188" s="203" t="n"/>
      <c r="AE188" s="203" t="n"/>
      <c r="AF188" s="203" t="n"/>
      <c r="AG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  <c r="S189" s="203" t="n"/>
      <c r="T189" s="203" t="n"/>
      <c r="U189" s="203" t="n"/>
      <c r="V189" s="203" t="n"/>
      <c r="W189" s="203" t="n"/>
      <c r="X189" s="203" t="n"/>
      <c r="Y189" s="203" t="n"/>
      <c r="Z189" s="203" t="n"/>
      <c r="AA189" s="203" t="n"/>
      <c r="AB189" s="203" t="n"/>
      <c r="AC189" s="203" t="n"/>
      <c r="AD189" s="203" t="n"/>
      <c r="AE189" s="203" t="n"/>
      <c r="AF189" s="203" t="n"/>
      <c r="AG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  <c r="S190" s="203" t="n"/>
      <c r="T190" s="203" t="n"/>
      <c r="U190" s="203" t="n"/>
      <c r="V190" s="203" t="n"/>
      <c r="W190" s="203" t="n"/>
      <c r="X190" s="203" t="n"/>
      <c r="Y190" s="203" t="n"/>
      <c r="Z190" s="203" t="n"/>
      <c r="AA190" s="203" t="n"/>
      <c r="AB190" s="203" t="n"/>
      <c r="AC190" s="203" t="n"/>
      <c r="AD190" s="203" t="n"/>
      <c r="AE190" s="203" t="n"/>
      <c r="AF190" s="203" t="n"/>
      <c r="AG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  <c r="S191" s="203" t="n"/>
      <c r="T191" s="203" t="n"/>
      <c r="U191" s="203" t="n"/>
      <c r="V191" s="203" t="n"/>
      <c r="W191" s="203" t="n"/>
      <c r="X191" s="203" t="n"/>
      <c r="Y191" s="203" t="n"/>
      <c r="Z191" s="203" t="n"/>
      <c r="AA191" s="203" t="n"/>
      <c r="AB191" s="203" t="n"/>
      <c r="AC191" s="203" t="n"/>
      <c r="AD191" s="203" t="n"/>
      <c r="AE191" s="203" t="n"/>
      <c r="AF191" s="203" t="n"/>
      <c r="AG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  <c r="S192" s="203" t="n"/>
      <c r="T192" s="203" t="n"/>
      <c r="U192" s="203" t="n"/>
      <c r="V192" s="203" t="n"/>
      <c r="W192" s="203" t="n"/>
      <c r="X192" s="203" t="n"/>
      <c r="Y192" s="203" t="n"/>
      <c r="Z192" s="203" t="n"/>
      <c r="AA192" s="203" t="n"/>
      <c r="AB192" s="203" t="n"/>
      <c r="AC192" s="203" t="n"/>
      <c r="AD192" s="203" t="n"/>
      <c r="AE192" s="203" t="n"/>
      <c r="AF192" s="203" t="n"/>
      <c r="AG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  <c r="S193" s="203" t="n"/>
      <c r="T193" s="203" t="n"/>
      <c r="U193" s="203" t="n"/>
      <c r="V193" s="203" t="n"/>
      <c r="W193" s="203" t="n"/>
      <c r="X193" s="203" t="n"/>
      <c r="Y193" s="203" t="n"/>
      <c r="Z193" s="203" t="n"/>
      <c r="AA193" s="203" t="n"/>
      <c r="AB193" s="203" t="n"/>
      <c r="AC193" s="203" t="n"/>
      <c r="AD193" s="203" t="n"/>
      <c r="AE193" s="203" t="n"/>
      <c r="AF193" s="203" t="n"/>
      <c r="AG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  <c r="S194" s="203" t="n"/>
      <c r="T194" s="203" t="n"/>
      <c r="U194" s="203" t="n"/>
      <c r="V194" s="203" t="n"/>
      <c r="W194" s="203" t="n"/>
      <c r="X194" s="203" t="n"/>
      <c r="Y194" s="203" t="n"/>
      <c r="Z194" s="203" t="n"/>
      <c r="AA194" s="203" t="n"/>
      <c r="AB194" s="203" t="n"/>
      <c r="AC194" s="203" t="n"/>
      <c r="AD194" s="203" t="n"/>
      <c r="AE194" s="203" t="n"/>
      <c r="AF194" s="203" t="n"/>
      <c r="AG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  <c r="S195" s="203" t="n"/>
      <c r="T195" s="203" t="n"/>
      <c r="U195" s="203" t="n"/>
      <c r="V195" s="203" t="n"/>
      <c r="W195" s="203" t="n"/>
      <c r="X195" s="203" t="n"/>
      <c r="Y195" s="203" t="n"/>
      <c r="Z195" s="203" t="n"/>
      <c r="AA195" s="203" t="n"/>
      <c r="AB195" s="203" t="n"/>
      <c r="AC195" s="203" t="n"/>
      <c r="AD195" s="203" t="n"/>
      <c r="AE195" s="203" t="n"/>
      <c r="AF195" s="203" t="n"/>
      <c r="AG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  <c r="S196" s="203" t="n"/>
      <c r="T196" s="203" t="n"/>
      <c r="U196" s="203" t="n"/>
      <c r="V196" s="203" t="n"/>
      <c r="W196" s="203" t="n"/>
      <c r="X196" s="203" t="n"/>
      <c r="Y196" s="203" t="n"/>
      <c r="Z196" s="203" t="n"/>
      <c r="AA196" s="203" t="n"/>
      <c r="AB196" s="203" t="n"/>
      <c r="AC196" s="203" t="n"/>
      <c r="AD196" s="203" t="n"/>
      <c r="AE196" s="203" t="n"/>
      <c r="AF196" s="203" t="n"/>
      <c r="AG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  <c r="S197" s="203" t="n"/>
      <c r="T197" s="203" t="n"/>
      <c r="U197" s="203" t="n"/>
      <c r="V197" s="203" t="n"/>
      <c r="W197" s="203" t="n"/>
      <c r="X197" s="203" t="n"/>
      <c r="Y197" s="203" t="n"/>
      <c r="Z197" s="203" t="n"/>
      <c r="AA197" s="203" t="n"/>
      <c r="AB197" s="203" t="n"/>
      <c r="AC197" s="203" t="n"/>
      <c r="AD197" s="203" t="n"/>
      <c r="AE197" s="203" t="n"/>
      <c r="AF197" s="203" t="n"/>
      <c r="AG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  <c r="S198" s="203" t="n"/>
      <c r="T198" s="203" t="n"/>
      <c r="U198" s="203" t="n"/>
      <c r="V198" s="203" t="n"/>
      <c r="W198" s="203" t="n"/>
      <c r="X198" s="203" t="n"/>
      <c r="Y198" s="203" t="n"/>
      <c r="Z198" s="203" t="n"/>
      <c r="AA198" s="203" t="n"/>
      <c r="AB198" s="203" t="n"/>
      <c r="AC198" s="203" t="n"/>
      <c r="AD198" s="203" t="n"/>
      <c r="AE198" s="203" t="n"/>
      <c r="AF198" s="203" t="n"/>
      <c r="AG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  <c r="S199" s="203" t="n"/>
      <c r="T199" s="203" t="n"/>
      <c r="U199" s="203" t="n"/>
      <c r="V199" s="203" t="n"/>
      <c r="W199" s="203" t="n"/>
      <c r="X199" s="203" t="n"/>
      <c r="Y199" s="203" t="n"/>
      <c r="Z199" s="203" t="n"/>
      <c r="AA199" s="203" t="n"/>
      <c r="AB199" s="203" t="n"/>
      <c r="AC199" s="203" t="n"/>
      <c r="AD199" s="203" t="n"/>
      <c r="AE199" s="203" t="n"/>
      <c r="AF199" s="203" t="n"/>
      <c r="AG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  <c r="S200" s="203" t="n"/>
      <c r="T200" s="203" t="n"/>
      <c r="U200" s="203" t="n"/>
      <c r="V200" s="203" t="n"/>
      <c r="W200" s="203" t="n"/>
      <c r="X200" s="203" t="n"/>
      <c r="Y200" s="203" t="n"/>
      <c r="Z200" s="203" t="n"/>
      <c r="AA200" s="203" t="n"/>
      <c r="AB200" s="203" t="n"/>
      <c r="AC200" s="203" t="n"/>
      <c r="AD200" s="203" t="n"/>
      <c r="AE200" s="203" t="n"/>
      <c r="AF200" s="203" t="n"/>
      <c r="AG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  <c r="S201" s="203" t="n"/>
      <c r="T201" s="203" t="n"/>
      <c r="U201" s="203" t="n"/>
      <c r="V201" s="203" t="n"/>
      <c r="W201" s="203" t="n"/>
      <c r="X201" s="203" t="n"/>
      <c r="Y201" s="203" t="n"/>
      <c r="Z201" s="203" t="n"/>
      <c r="AA201" s="203" t="n"/>
      <c r="AB201" s="203" t="n"/>
      <c r="AC201" s="203" t="n"/>
      <c r="AD201" s="203" t="n"/>
      <c r="AE201" s="203" t="n"/>
      <c r="AF201" s="203" t="n"/>
      <c r="AG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  <c r="S202" s="203" t="n"/>
      <c r="T202" s="203" t="n"/>
      <c r="U202" s="203" t="n"/>
      <c r="V202" s="203" t="n"/>
      <c r="W202" s="203" t="n"/>
      <c r="X202" s="203" t="n"/>
      <c r="Y202" s="203" t="n"/>
      <c r="Z202" s="203" t="n"/>
      <c r="AA202" s="203" t="n"/>
      <c r="AB202" s="203" t="n"/>
      <c r="AC202" s="203" t="n"/>
      <c r="AD202" s="203" t="n"/>
      <c r="AE202" s="203" t="n"/>
      <c r="AF202" s="203" t="n"/>
      <c r="AG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  <c r="S203" s="203" t="n"/>
      <c r="T203" s="203" t="n"/>
      <c r="U203" s="203" t="n"/>
      <c r="V203" s="203" t="n"/>
      <c r="W203" s="203" t="n"/>
      <c r="X203" s="203" t="n"/>
      <c r="Y203" s="203" t="n"/>
      <c r="Z203" s="203" t="n"/>
      <c r="AA203" s="203" t="n"/>
      <c r="AB203" s="203" t="n"/>
      <c r="AC203" s="203" t="n"/>
      <c r="AD203" s="203" t="n"/>
      <c r="AE203" s="203" t="n"/>
      <c r="AF203" s="203" t="n"/>
      <c r="AG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  <c r="S204" s="203" t="n"/>
      <c r="T204" s="203" t="n"/>
      <c r="U204" s="203" t="n"/>
      <c r="V204" s="203" t="n"/>
      <c r="W204" s="203" t="n"/>
      <c r="X204" s="203" t="n"/>
      <c r="Y204" s="203" t="n"/>
      <c r="Z204" s="203" t="n"/>
      <c r="AA204" s="203" t="n"/>
      <c r="AB204" s="203" t="n"/>
      <c r="AC204" s="203" t="n"/>
      <c r="AD204" s="203" t="n"/>
      <c r="AE204" s="203" t="n"/>
      <c r="AF204" s="203" t="n"/>
      <c r="AG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  <c r="S205" s="203" t="n"/>
      <c r="T205" s="203" t="n"/>
      <c r="U205" s="203" t="n"/>
      <c r="V205" s="203" t="n"/>
      <c r="W205" s="203" t="n"/>
      <c r="X205" s="203" t="n"/>
      <c r="Y205" s="203" t="n"/>
      <c r="Z205" s="203" t="n"/>
      <c r="AA205" s="203" t="n"/>
      <c r="AB205" s="203" t="n"/>
      <c r="AC205" s="203" t="n"/>
      <c r="AD205" s="203" t="n"/>
      <c r="AE205" s="203" t="n"/>
      <c r="AF205" s="203" t="n"/>
      <c r="AG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  <c r="S206" s="203" t="n"/>
      <c r="T206" s="203" t="n"/>
      <c r="U206" s="203" t="n"/>
      <c r="V206" s="203" t="n"/>
      <c r="W206" s="203" t="n"/>
      <c r="X206" s="203" t="n"/>
      <c r="Y206" s="203" t="n"/>
      <c r="Z206" s="203" t="n"/>
      <c r="AA206" s="203" t="n"/>
      <c r="AB206" s="203" t="n"/>
      <c r="AC206" s="203" t="n"/>
      <c r="AD206" s="203" t="n"/>
      <c r="AE206" s="203" t="n"/>
      <c r="AF206" s="203" t="n"/>
      <c r="AG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  <c r="S207" s="203" t="n"/>
      <c r="T207" s="203" t="n"/>
      <c r="U207" s="203" t="n"/>
      <c r="V207" s="203" t="n"/>
      <c r="W207" s="203" t="n"/>
      <c r="X207" s="203" t="n"/>
      <c r="Y207" s="203" t="n"/>
      <c r="Z207" s="203" t="n"/>
      <c r="AA207" s="203" t="n"/>
      <c r="AB207" s="203" t="n"/>
      <c r="AC207" s="203" t="n"/>
      <c r="AD207" s="203" t="n"/>
      <c r="AE207" s="203" t="n"/>
      <c r="AF207" s="203" t="n"/>
      <c r="AG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  <c r="S208" s="203" t="n"/>
      <c r="T208" s="203" t="n"/>
      <c r="U208" s="203" t="n"/>
      <c r="V208" s="203" t="n"/>
      <c r="W208" s="203" t="n"/>
      <c r="X208" s="203" t="n"/>
      <c r="Y208" s="203" t="n"/>
      <c r="Z208" s="203" t="n"/>
      <c r="AA208" s="203" t="n"/>
      <c r="AB208" s="203" t="n"/>
      <c r="AC208" s="203" t="n"/>
      <c r="AD208" s="203" t="n"/>
      <c r="AE208" s="203" t="n"/>
      <c r="AF208" s="203" t="n"/>
      <c r="AG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  <c r="S209" s="203" t="n"/>
      <c r="T209" s="203" t="n"/>
      <c r="U209" s="203" t="n"/>
      <c r="V209" s="203" t="n"/>
      <c r="W209" s="203" t="n"/>
      <c r="X209" s="203" t="n"/>
      <c r="Y209" s="203" t="n"/>
      <c r="Z209" s="203" t="n"/>
      <c r="AA209" s="203" t="n"/>
      <c r="AB209" s="203" t="n"/>
      <c r="AC209" s="203" t="n"/>
      <c r="AD209" s="203" t="n"/>
      <c r="AE209" s="203" t="n"/>
      <c r="AF209" s="203" t="n"/>
      <c r="AG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  <c r="S210" s="203" t="n"/>
      <c r="T210" s="203" t="n"/>
      <c r="U210" s="203" t="n"/>
      <c r="V210" s="203" t="n"/>
      <c r="W210" s="203" t="n"/>
      <c r="X210" s="203" t="n"/>
      <c r="Y210" s="203" t="n"/>
      <c r="Z210" s="203" t="n"/>
      <c r="AA210" s="203" t="n"/>
      <c r="AB210" s="203" t="n"/>
      <c r="AC210" s="203" t="n"/>
      <c r="AD210" s="203" t="n"/>
      <c r="AE210" s="203" t="n"/>
      <c r="AF210" s="203" t="n"/>
      <c r="AG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  <c r="S211" s="203" t="n"/>
      <c r="T211" s="203" t="n"/>
      <c r="U211" s="203" t="n"/>
      <c r="V211" s="203" t="n"/>
      <c r="W211" s="203" t="n"/>
      <c r="X211" s="203" t="n"/>
      <c r="Y211" s="203" t="n"/>
      <c r="Z211" s="203" t="n"/>
      <c r="AA211" s="203" t="n"/>
      <c r="AB211" s="203" t="n"/>
      <c r="AC211" s="203" t="n"/>
      <c r="AD211" s="203" t="n"/>
      <c r="AE211" s="203" t="n"/>
      <c r="AF211" s="203" t="n"/>
      <c r="AG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  <c r="S212" s="203" t="n"/>
      <c r="T212" s="203" t="n"/>
      <c r="U212" s="203" t="n"/>
      <c r="V212" s="203" t="n"/>
      <c r="W212" s="203" t="n"/>
      <c r="X212" s="203" t="n"/>
      <c r="Y212" s="203" t="n"/>
      <c r="Z212" s="203" t="n"/>
      <c r="AA212" s="203" t="n"/>
      <c r="AB212" s="203" t="n"/>
      <c r="AC212" s="203" t="n"/>
      <c r="AD212" s="203" t="n"/>
      <c r="AE212" s="203" t="n"/>
      <c r="AF212" s="203" t="n"/>
      <c r="AG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  <c r="S213" s="203" t="n"/>
      <c r="T213" s="203" t="n"/>
      <c r="U213" s="203" t="n"/>
      <c r="V213" s="203" t="n"/>
      <c r="W213" s="203" t="n"/>
      <c r="X213" s="203" t="n"/>
      <c r="Y213" s="203" t="n"/>
      <c r="Z213" s="203" t="n"/>
      <c r="AA213" s="203" t="n"/>
      <c r="AB213" s="203" t="n"/>
      <c r="AC213" s="203" t="n"/>
      <c r="AD213" s="203" t="n"/>
      <c r="AE213" s="203" t="n"/>
      <c r="AF213" s="203" t="n"/>
      <c r="AG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  <c r="S214" s="203" t="n"/>
      <c r="T214" s="203" t="n"/>
      <c r="U214" s="203" t="n"/>
      <c r="V214" s="203" t="n"/>
      <c r="W214" s="203" t="n"/>
      <c r="X214" s="203" t="n"/>
      <c r="Y214" s="203" t="n"/>
      <c r="Z214" s="203" t="n"/>
      <c r="AA214" s="203" t="n"/>
      <c r="AB214" s="203" t="n"/>
      <c r="AC214" s="203" t="n"/>
      <c r="AD214" s="203" t="n"/>
      <c r="AE214" s="203" t="n"/>
      <c r="AF214" s="203" t="n"/>
      <c r="AG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  <c r="S215" s="203" t="n"/>
      <c r="T215" s="203" t="n"/>
      <c r="U215" s="203" t="n"/>
      <c r="V215" s="203" t="n"/>
      <c r="W215" s="203" t="n"/>
      <c r="X215" s="203" t="n"/>
      <c r="Y215" s="203" t="n"/>
      <c r="Z215" s="203" t="n"/>
      <c r="AA215" s="203" t="n"/>
      <c r="AB215" s="203" t="n"/>
      <c r="AC215" s="203" t="n"/>
      <c r="AD215" s="203" t="n"/>
      <c r="AE215" s="203" t="n"/>
      <c r="AF215" s="203" t="n"/>
      <c r="AG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  <c r="S216" s="203" t="n"/>
      <c r="T216" s="203" t="n"/>
      <c r="U216" s="203" t="n"/>
      <c r="V216" s="203" t="n"/>
      <c r="W216" s="203" t="n"/>
      <c r="X216" s="203" t="n"/>
      <c r="Y216" s="203" t="n"/>
      <c r="Z216" s="203" t="n"/>
      <c r="AA216" s="203" t="n"/>
      <c r="AB216" s="203" t="n"/>
      <c r="AC216" s="203" t="n"/>
      <c r="AD216" s="203" t="n"/>
      <c r="AE216" s="203" t="n"/>
      <c r="AF216" s="203" t="n"/>
      <c r="AG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  <c r="S217" s="203" t="n"/>
      <c r="T217" s="203" t="n"/>
      <c r="U217" s="203" t="n"/>
      <c r="V217" s="203" t="n"/>
      <c r="W217" s="203" t="n"/>
      <c r="X217" s="203" t="n"/>
      <c r="Y217" s="203" t="n"/>
      <c r="Z217" s="203" t="n"/>
      <c r="AA217" s="203" t="n"/>
      <c r="AB217" s="203" t="n"/>
      <c r="AC217" s="203" t="n"/>
      <c r="AD217" s="203" t="n"/>
      <c r="AE217" s="203" t="n"/>
      <c r="AF217" s="203" t="n"/>
      <c r="AG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  <c r="S218" s="203" t="n"/>
      <c r="T218" s="203" t="n"/>
      <c r="U218" s="203" t="n"/>
      <c r="V218" s="203" t="n"/>
      <c r="W218" s="203" t="n"/>
      <c r="X218" s="203" t="n"/>
      <c r="Y218" s="203" t="n"/>
      <c r="Z218" s="203" t="n"/>
      <c r="AA218" s="203" t="n"/>
      <c r="AB218" s="203" t="n"/>
      <c r="AC218" s="203" t="n"/>
      <c r="AD218" s="203" t="n"/>
      <c r="AE218" s="203" t="n"/>
      <c r="AF218" s="203" t="n"/>
      <c r="AG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  <c r="S219" s="203" t="n"/>
      <c r="T219" s="203" t="n"/>
      <c r="U219" s="203" t="n"/>
      <c r="V219" s="203" t="n"/>
      <c r="W219" s="203" t="n"/>
      <c r="X219" s="203" t="n"/>
      <c r="Y219" s="203" t="n"/>
      <c r="Z219" s="203" t="n"/>
      <c r="AA219" s="203" t="n"/>
      <c r="AB219" s="203" t="n"/>
      <c r="AC219" s="203" t="n"/>
      <c r="AD219" s="203" t="n"/>
      <c r="AE219" s="203" t="n"/>
      <c r="AF219" s="203" t="n"/>
      <c r="AG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  <c r="S220" s="203" t="n"/>
      <c r="T220" s="203" t="n"/>
      <c r="U220" s="203" t="n"/>
      <c r="V220" s="203" t="n"/>
      <c r="W220" s="203" t="n"/>
      <c r="X220" s="203" t="n"/>
      <c r="Y220" s="203" t="n"/>
      <c r="Z220" s="203" t="n"/>
      <c r="AA220" s="203" t="n"/>
      <c r="AB220" s="203" t="n"/>
      <c r="AC220" s="203" t="n"/>
      <c r="AD220" s="203" t="n"/>
      <c r="AE220" s="203" t="n"/>
      <c r="AF220" s="203" t="n"/>
      <c r="AG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  <c r="S221" s="203" t="n"/>
      <c r="T221" s="203" t="n"/>
      <c r="U221" s="203" t="n"/>
      <c r="V221" s="203" t="n"/>
      <c r="W221" s="203" t="n"/>
      <c r="X221" s="203" t="n"/>
      <c r="Y221" s="203" t="n"/>
      <c r="Z221" s="203" t="n"/>
      <c r="AA221" s="203" t="n"/>
      <c r="AB221" s="203" t="n"/>
      <c r="AC221" s="203" t="n"/>
      <c r="AD221" s="203" t="n"/>
      <c r="AE221" s="203" t="n"/>
      <c r="AF221" s="203" t="n"/>
      <c r="AG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  <c r="S222" s="203" t="n"/>
      <c r="T222" s="203" t="n"/>
      <c r="U222" s="203" t="n"/>
      <c r="V222" s="203" t="n"/>
      <c r="W222" s="203" t="n"/>
      <c r="X222" s="203" t="n"/>
      <c r="Y222" s="203" t="n"/>
      <c r="Z222" s="203" t="n"/>
      <c r="AA222" s="203" t="n"/>
      <c r="AB222" s="203" t="n"/>
      <c r="AC222" s="203" t="n"/>
      <c r="AD222" s="203" t="n"/>
      <c r="AE222" s="203" t="n"/>
      <c r="AF222" s="203" t="n"/>
      <c r="AG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  <c r="S223" s="203" t="n"/>
      <c r="T223" s="203" t="n"/>
      <c r="U223" s="203" t="n"/>
      <c r="V223" s="203" t="n"/>
      <c r="W223" s="203" t="n"/>
      <c r="X223" s="203" t="n"/>
      <c r="Y223" s="203" t="n"/>
      <c r="Z223" s="203" t="n"/>
      <c r="AA223" s="203" t="n"/>
      <c r="AB223" s="203" t="n"/>
      <c r="AC223" s="203" t="n"/>
      <c r="AD223" s="203" t="n"/>
      <c r="AE223" s="203" t="n"/>
      <c r="AF223" s="203" t="n"/>
      <c r="AG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  <c r="S224" s="203" t="n"/>
      <c r="T224" s="203" t="n"/>
      <c r="U224" s="203" t="n"/>
      <c r="V224" s="203" t="n"/>
      <c r="W224" s="203" t="n"/>
      <c r="X224" s="203" t="n"/>
      <c r="Y224" s="203" t="n"/>
      <c r="Z224" s="203" t="n"/>
      <c r="AA224" s="203" t="n"/>
      <c r="AB224" s="203" t="n"/>
      <c r="AC224" s="203" t="n"/>
      <c r="AD224" s="203" t="n"/>
      <c r="AE224" s="203" t="n"/>
      <c r="AF224" s="203" t="n"/>
      <c r="AG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  <c r="S225" s="203" t="n"/>
      <c r="T225" s="203" t="n"/>
      <c r="U225" s="203" t="n"/>
      <c r="V225" s="203" t="n"/>
      <c r="W225" s="203" t="n"/>
      <c r="X225" s="203" t="n"/>
      <c r="Y225" s="203" t="n"/>
      <c r="Z225" s="203" t="n"/>
      <c r="AA225" s="203" t="n"/>
      <c r="AB225" s="203" t="n"/>
      <c r="AC225" s="203" t="n"/>
      <c r="AD225" s="203" t="n"/>
      <c r="AE225" s="203" t="n"/>
      <c r="AF225" s="203" t="n"/>
      <c r="AG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  <c r="S226" s="203" t="n"/>
      <c r="T226" s="203" t="n"/>
      <c r="U226" s="203" t="n"/>
      <c r="V226" s="203" t="n"/>
      <c r="W226" s="203" t="n"/>
      <c r="X226" s="203" t="n"/>
      <c r="Y226" s="203" t="n"/>
      <c r="Z226" s="203" t="n"/>
      <c r="AA226" s="203" t="n"/>
      <c r="AB226" s="203" t="n"/>
      <c r="AC226" s="203" t="n"/>
      <c r="AD226" s="203" t="n"/>
      <c r="AE226" s="203" t="n"/>
      <c r="AF226" s="203" t="n"/>
      <c r="AG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  <c r="S227" s="203" t="n"/>
      <c r="T227" s="203" t="n"/>
      <c r="U227" s="203" t="n"/>
      <c r="V227" s="203" t="n"/>
      <c r="W227" s="203" t="n"/>
      <c r="X227" s="203" t="n"/>
      <c r="Y227" s="203" t="n"/>
      <c r="Z227" s="203" t="n"/>
      <c r="AA227" s="203" t="n"/>
      <c r="AB227" s="203" t="n"/>
      <c r="AC227" s="203" t="n"/>
      <c r="AD227" s="203" t="n"/>
      <c r="AE227" s="203" t="n"/>
      <c r="AF227" s="203" t="n"/>
      <c r="AG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  <c r="S228" s="203" t="n"/>
      <c r="T228" s="203" t="n"/>
      <c r="U228" s="203" t="n"/>
      <c r="V228" s="203" t="n"/>
      <c r="W228" s="203" t="n"/>
      <c r="X228" s="203" t="n"/>
      <c r="Y228" s="203" t="n"/>
      <c r="Z228" s="203" t="n"/>
      <c r="AA228" s="203" t="n"/>
      <c r="AB228" s="203" t="n"/>
      <c r="AC228" s="203" t="n"/>
      <c r="AD228" s="203" t="n"/>
      <c r="AE228" s="203" t="n"/>
      <c r="AF228" s="203" t="n"/>
      <c r="AG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  <c r="S229" s="203" t="n"/>
      <c r="T229" s="203" t="n"/>
      <c r="U229" s="203" t="n"/>
      <c r="V229" s="203" t="n"/>
      <c r="W229" s="203" t="n"/>
      <c r="X229" s="203" t="n"/>
      <c r="Y229" s="203" t="n"/>
      <c r="Z229" s="203" t="n"/>
      <c r="AA229" s="203" t="n"/>
      <c r="AB229" s="203" t="n"/>
      <c r="AC229" s="203" t="n"/>
      <c r="AD229" s="203" t="n"/>
      <c r="AE229" s="203" t="n"/>
      <c r="AF229" s="203" t="n"/>
      <c r="AG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  <c r="S230" s="203" t="n"/>
      <c r="T230" s="203" t="n"/>
      <c r="U230" s="203" t="n"/>
      <c r="V230" s="203" t="n"/>
      <c r="W230" s="203" t="n"/>
      <c r="X230" s="203" t="n"/>
      <c r="Y230" s="203" t="n"/>
      <c r="Z230" s="203" t="n"/>
      <c r="AA230" s="203" t="n"/>
      <c r="AB230" s="203" t="n"/>
      <c r="AC230" s="203" t="n"/>
      <c r="AD230" s="203" t="n"/>
      <c r="AE230" s="203" t="n"/>
      <c r="AF230" s="203" t="n"/>
      <c r="AG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  <c r="S231" s="203" t="n"/>
      <c r="T231" s="203" t="n"/>
      <c r="U231" s="203" t="n"/>
      <c r="V231" s="203" t="n"/>
      <c r="W231" s="203" t="n"/>
      <c r="X231" s="203" t="n"/>
      <c r="Y231" s="203" t="n"/>
      <c r="Z231" s="203" t="n"/>
      <c r="AA231" s="203" t="n"/>
      <c r="AB231" s="203" t="n"/>
      <c r="AC231" s="203" t="n"/>
      <c r="AD231" s="203" t="n"/>
      <c r="AE231" s="203" t="n"/>
      <c r="AF231" s="203" t="n"/>
      <c r="AG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  <c r="S232" s="203" t="n"/>
      <c r="T232" s="203" t="n"/>
      <c r="U232" s="203" t="n"/>
      <c r="V232" s="203" t="n"/>
      <c r="W232" s="203" t="n"/>
      <c r="X232" s="203" t="n"/>
      <c r="Y232" s="203" t="n"/>
      <c r="Z232" s="203" t="n"/>
      <c r="AA232" s="203" t="n"/>
      <c r="AB232" s="203" t="n"/>
      <c r="AC232" s="203" t="n"/>
      <c r="AD232" s="203" t="n"/>
      <c r="AE232" s="203" t="n"/>
      <c r="AF232" s="203" t="n"/>
      <c r="AG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  <c r="S233" s="203" t="n"/>
      <c r="T233" s="203" t="n"/>
      <c r="U233" s="203" t="n"/>
      <c r="V233" s="203" t="n"/>
      <c r="W233" s="203" t="n"/>
      <c r="X233" s="203" t="n"/>
      <c r="Y233" s="203" t="n"/>
      <c r="Z233" s="203" t="n"/>
      <c r="AA233" s="203" t="n"/>
      <c r="AB233" s="203" t="n"/>
      <c r="AC233" s="203" t="n"/>
      <c r="AD233" s="203" t="n"/>
      <c r="AE233" s="203" t="n"/>
      <c r="AF233" s="203" t="n"/>
      <c r="AG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  <c r="S234" s="203" t="n"/>
      <c r="T234" s="203" t="n"/>
      <c r="U234" s="203" t="n"/>
      <c r="V234" s="203" t="n"/>
      <c r="W234" s="203" t="n"/>
      <c r="X234" s="203" t="n"/>
      <c r="Y234" s="203" t="n"/>
      <c r="Z234" s="203" t="n"/>
      <c r="AA234" s="203" t="n"/>
      <c r="AB234" s="203" t="n"/>
      <c r="AC234" s="203" t="n"/>
      <c r="AD234" s="203" t="n"/>
      <c r="AE234" s="203" t="n"/>
      <c r="AF234" s="203" t="n"/>
      <c r="AG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  <c r="S235" s="203" t="n"/>
      <c r="T235" s="203" t="n"/>
      <c r="U235" s="203" t="n"/>
      <c r="V235" s="203" t="n"/>
      <c r="W235" s="203" t="n"/>
      <c r="X235" s="203" t="n"/>
      <c r="Y235" s="203" t="n"/>
      <c r="Z235" s="203" t="n"/>
      <c r="AA235" s="203" t="n"/>
      <c r="AB235" s="203" t="n"/>
      <c r="AC235" s="203" t="n"/>
      <c r="AD235" s="203" t="n"/>
      <c r="AE235" s="203" t="n"/>
      <c r="AF235" s="203" t="n"/>
      <c r="AG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  <c r="S236" s="203" t="n"/>
      <c r="T236" s="203" t="n"/>
      <c r="U236" s="203" t="n"/>
      <c r="V236" s="203" t="n"/>
      <c r="W236" s="203" t="n"/>
      <c r="X236" s="203" t="n"/>
      <c r="Y236" s="203" t="n"/>
      <c r="Z236" s="203" t="n"/>
      <c r="AA236" s="203" t="n"/>
      <c r="AB236" s="203" t="n"/>
      <c r="AC236" s="203" t="n"/>
      <c r="AD236" s="203" t="n"/>
      <c r="AE236" s="203" t="n"/>
      <c r="AF236" s="203" t="n"/>
      <c r="AG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  <c r="S237" s="203" t="n"/>
      <c r="T237" s="203" t="n"/>
      <c r="U237" s="203" t="n"/>
      <c r="V237" s="203" t="n"/>
      <c r="W237" s="203" t="n"/>
      <c r="X237" s="203" t="n"/>
      <c r="Y237" s="203" t="n"/>
      <c r="Z237" s="203" t="n"/>
      <c r="AA237" s="203" t="n"/>
      <c r="AB237" s="203" t="n"/>
      <c r="AC237" s="203" t="n"/>
      <c r="AD237" s="203" t="n"/>
      <c r="AE237" s="203" t="n"/>
      <c r="AF237" s="203" t="n"/>
      <c r="AG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  <c r="S238" s="203" t="n"/>
      <c r="T238" s="203" t="n"/>
      <c r="U238" s="203" t="n"/>
      <c r="V238" s="203" t="n"/>
      <c r="W238" s="203" t="n"/>
      <c r="X238" s="203" t="n"/>
      <c r="Y238" s="203" t="n"/>
      <c r="Z238" s="203" t="n"/>
      <c r="AA238" s="203" t="n"/>
      <c r="AB238" s="203" t="n"/>
      <c r="AC238" s="203" t="n"/>
      <c r="AD238" s="203" t="n"/>
      <c r="AE238" s="203" t="n"/>
      <c r="AF238" s="203" t="n"/>
      <c r="AG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  <c r="S239" s="203" t="n"/>
      <c r="T239" s="203" t="n"/>
      <c r="U239" s="203" t="n"/>
      <c r="V239" s="203" t="n"/>
      <c r="W239" s="203" t="n"/>
      <c r="X239" s="203" t="n"/>
      <c r="Y239" s="203" t="n"/>
      <c r="Z239" s="203" t="n"/>
      <c r="AA239" s="203" t="n"/>
      <c r="AB239" s="203" t="n"/>
      <c r="AC239" s="203" t="n"/>
      <c r="AD239" s="203" t="n"/>
      <c r="AE239" s="203" t="n"/>
      <c r="AF239" s="203" t="n"/>
      <c r="AG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  <c r="S240" s="203" t="n"/>
      <c r="T240" s="203" t="n"/>
      <c r="U240" s="203" t="n"/>
      <c r="V240" s="203" t="n"/>
      <c r="W240" s="203" t="n"/>
      <c r="X240" s="203" t="n"/>
      <c r="Y240" s="203" t="n"/>
      <c r="Z240" s="203" t="n"/>
      <c r="AA240" s="203" t="n"/>
      <c r="AB240" s="203" t="n"/>
      <c r="AC240" s="203" t="n"/>
      <c r="AD240" s="203" t="n"/>
      <c r="AE240" s="203" t="n"/>
      <c r="AF240" s="203" t="n"/>
      <c r="AG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  <c r="S241" s="203" t="n"/>
      <c r="T241" s="203" t="n"/>
      <c r="U241" s="203" t="n"/>
      <c r="V241" s="203" t="n"/>
      <c r="W241" s="203" t="n"/>
      <c r="X241" s="203" t="n"/>
      <c r="Y241" s="203" t="n"/>
      <c r="Z241" s="203" t="n"/>
      <c r="AA241" s="203" t="n"/>
      <c r="AB241" s="203" t="n"/>
      <c r="AC241" s="203" t="n"/>
      <c r="AD241" s="203" t="n"/>
      <c r="AE241" s="203" t="n"/>
      <c r="AF241" s="203" t="n"/>
      <c r="AG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  <c r="S242" s="203" t="n"/>
      <c r="T242" s="203" t="n"/>
      <c r="U242" s="203" t="n"/>
      <c r="V242" s="203" t="n"/>
      <c r="W242" s="203" t="n"/>
      <c r="X242" s="203" t="n"/>
      <c r="Y242" s="203" t="n"/>
      <c r="Z242" s="203" t="n"/>
      <c r="AA242" s="203" t="n"/>
      <c r="AB242" s="203" t="n"/>
      <c r="AC242" s="203" t="n"/>
      <c r="AD242" s="203" t="n"/>
      <c r="AE242" s="203" t="n"/>
      <c r="AF242" s="203" t="n"/>
      <c r="AG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  <c r="S243" s="203" t="n"/>
      <c r="T243" s="203" t="n"/>
      <c r="U243" s="203" t="n"/>
      <c r="V243" s="203" t="n"/>
      <c r="W243" s="203" t="n"/>
      <c r="X243" s="203" t="n"/>
      <c r="Y243" s="203" t="n"/>
      <c r="Z243" s="203" t="n"/>
      <c r="AA243" s="203" t="n"/>
      <c r="AB243" s="203" t="n"/>
      <c r="AC243" s="203" t="n"/>
      <c r="AD243" s="203" t="n"/>
      <c r="AE243" s="203" t="n"/>
      <c r="AF243" s="203" t="n"/>
      <c r="AG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  <c r="S244" s="203" t="n"/>
      <c r="T244" s="203" t="n"/>
      <c r="U244" s="203" t="n"/>
      <c r="V244" s="203" t="n"/>
      <c r="W244" s="203" t="n"/>
      <c r="X244" s="203" t="n"/>
      <c r="Y244" s="203" t="n"/>
      <c r="Z244" s="203" t="n"/>
      <c r="AA244" s="203" t="n"/>
      <c r="AB244" s="203" t="n"/>
      <c r="AC244" s="203" t="n"/>
      <c r="AD244" s="203" t="n"/>
      <c r="AE244" s="203" t="n"/>
      <c r="AF244" s="203" t="n"/>
      <c r="AG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  <c r="S245" s="203" t="n"/>
      <c r="T245" s="203" t="n"/>
      <c r="U245" s="203" t="n"/>
      <c r="V245" s="203" t="n"/>
      <c r="W245" s="203" t="n"/>
      <c r="X245" s="203" t="n"/>
      <c r="Y245" s="203" t="n"/>
      <c r="Z245" s="203" t="n"/>
      <c r="AA245" s="203" t="n"/>
      <c r="AB245" s="203" t="n"/>
      <c r="AC245" s="203" t="n"/>
      <c r="AD245" s="203" t="n"/>
      <c r="AE245" s="203" t="n"/>
      <c r="AF245" s="203" t="n"/>
      <c r="AG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  <c r="S246" s="203" t="n"/>
      <c r="T246" s="203" t="n"/>
      <c r="U246" s="203" t="n"/>
      <c r="V246" s="203" t="n"/>
      <c r="W246" s="203" t="n"/>
      <c r="X246" s="203" t="n"/>
      <c r="Y246" s="203" t="n"/>
      <c r="Z246" s="203" t="n"/>
      <c r="AA246" s="203" t="n"/>
      <c r="AB246" s="203" t="n"/>
      <c r="AC246" s="203" t="n"/>
      <c r="AD246" s="203" t="n"/>
      <c r="AE246" s="203" t="n"/>
      <c r="AF246" s="203" t="n"/>
      <c r="AG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  <c r="S247" s="203" t="n"/>
      <c r="T247" s="203" t="n"/>
      <c r="U247" s="203" t="n"/>
      <c r="V247" s="203" t="n"/>
      <c r="W247" s="203" t="n"/>
      <c r="X247" s="203" t="n"/>
      <c r="Y247" s="203" t="n"/>
      <c r="Z247" s="203" t="n"/>
      <c r="AA247" s="203" t="n"/>
      <c r="AB247" s="203" t="n"/>
      <c r="AC247" s="203" t="n"/>
      <c r="AD247" s="203" t="n"/>
      <c r="AE247" s="203" t="n"/>
      <c r="AF247" s="203" t="n"/>
      <c r="AG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  <c r="S248" s="203" t="n"/>
      <c r="T248" s="203" t="n"/>
      <c r="U248" s="203" t="n"/>
      <c r="V248" s="203" t="n"/>
      <c r="W248" s="203" t="n"/>
      <c r="X248" s="203" t="n"/>
      <c r="Y248" s="203" t="n"/>
      <c r="Z248" s="203" t="n"/>
      <c r="AA248" s="203" t="n"/>
      <c r="AB248" s="203" t="n"/>
      <c r="AC248" s="203" t="n"/>
      <c r="AD248" s="203" t="n"/>
      <c r="AE248" s="203" t="n"/>
      <c r="AF248" s="203" t="n"/>
      <c r="AG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  <c r="S249" s="203" t="n"/>
      <c r="T249" s="203" t="n"/>
      <c r="U249" s="203" t="n"/>
      <c r="V249" s="203" t="n"/>
      <c r="W249" s="203" t="n"/>
      <c r="X249" s="203" t="n"/>
      <c r="Y249" s="203" t="n"/>
      <c r="Z249" s="203" t="n"/>
      <c r="AA249" s="203" t="n"/>
      <c r="AB249" s="203" t="n"/>
      <c r="AC249" s="203" t="n"/>
      <c r="AD249" s="203" t="n"/>
      <c r="AE249" s="203" t="n"/>
      <c r="AF249" s="203" t="n"/>
      <c r="AG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  <c r="S250" s="203" t="n"/>
      <c r="T250" s="203" t="n"/>
      <c r="U250" s="203" t="n"/>
      <c r="V250" s="203" t="n"/>
      <c r="W250" s="203" t="n"/>
      <c r="X250" s="203" t="n"/>
      <c r="Y250" s="203" t="n"/>
      <c r="Z250" s="203" t="n"/>
      <c r="AA250" s="203" t="n"/>
      <c r="AB250" s="203" t="n"/>
      <c r="AC250" s="203" t="n"/>
      <c r="AD250" s="203" t="n"/>
      <c r="AE250" s="203" t="n"/>
      <c r="AF250" s="203" t="n"/>
      <c r="AG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  <c r="S251" s="203" t="n"/>
      <c r="T251" s="203" t="n"/>
      <c r="U251" s="203" t="n"/>
      <c r="V251" s="203" t="n"/>
      <c r="W251" s="203" t="n"/>
      <c r="X251" s="203" t="n"/>
      <c r="Y251" s="203" t="n"/>
      <c r="Z251" s="203" t="n"/>
      <c r="AA251" s="203" t="n"/>
      <c r="AB251" s="203" t="n"/>
      <c r="AC251" s="203" t="n"/>
      <c r="AD251" s="203" t="n"/>
      <c r="AE251" s="203" t="n"/>
      <c r="AF251" s="203" t="n"/>
      <c r="AG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  <c r="S252" s="203" t="n"/>
      <c r="T252" s="203" t="n"/>
      <c r="U252" s="203" t="n"/>
      <c r="V252" s="203" t="n"/>
      <c r="W252" s="203" t="n"/>
      <c r="X252" s="203" t="n"/>
      <c r="Y252" s="203" t="n"/>
      <c r="Z252" s="203" t="n"/>
      <c r="AA252" s="203" t="n"/>
      <c r="AB252" s="203" t="n"/>
      <c r="AC252" s="203" t="n"/>
      <c r="AD252" s="203" t="n"/>
      <c r="AE252" s="203" t="n"/>
      <c r="AF252" s="203" t="n"/>
      <c r="AG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  <c r="S253" s="203" t="n"/>
      <c r="T253" s="203" t="n"/>
      <c r="U253" s="203" t="n"/>
      <c r="V253" s="203" t="n"/>
      <c r="W253" s="203" t="n"/>
      <c r="X253" s="203" t="n"/>
      <c r="Y253" s="203" t="n"/>
      <c r="Z253" s="203" t="n"/>
      <c r="AA253" s="203" t="n"/>
      <c r="AB253" s="203" t="n"/>
      <c r="AC253" s="203" t="n"/>
      <c r="AD253" s="203" t="n"/>
      <c r="AE253" s="203" t="n"/>
      <c r="AF253" s="203" t="n"/>
      <c r="AG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  <c r="S254" s="203" t="n"/>
      <c r="T254" s="203" t="n"/>
      <c r="U254" s="203" t="n"/>
      <c r="V254" s="203" t="n"/>
      <c r="W254" s="203" t="n"/>
      <c r="X254" s="203" t="n"/>
      <c r="Y254" s="203" t="n"/>
      <c r="Z254" s="203" t="n"/>
      <c r="AA254" s="203" t="n"/>
      <c r="AB254" s="203" t="n"/>
      <c r="AC254" s="203" t="n"/>
      <c r="AD254" s="203" t="n"/>
      <c r="AE254" s="203" t="n"/>
      <c r="AF254" s="203" t="n"/>
      <c r="AG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  <c r="S255" s="203" t="n"/>
      <c r="T255" s="203" t="n"/>
      <c r="U255" s="203" t="n"/>
      <c r="V255" s="203" t="n"/>
      <c r="W255" s="203" t="n"/>
      <c r="X255" s="203" t="n"/>
      <c r="Y255" s="203" t="n"/>
      <c r="Z255" s="203" t="n"/>
      <c r="AA255" s="203" t="n"/>
      <c r="AB255" s="203" t="n"/>
      <c r="AC255" s="203" t="n"/>
      <c r="AD255" s="203" t="n"/>
      <c r="AE255" s="203" t="n"/>
      <c r="AF255" s="203" t="n"/>
      <c r="AG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  <c r="S256" s="203" t="n"/>
      <c r="T256" s="203" t="n"/>
      <c r="U256" s="203" t="n"/>
      <c r="V256" s="203" t="n"/>
      <c r="W256" s="203" t="n"/>
      <c r="X256" s="203" t="n"/>
      <c r="Y256" s="203" t="n"/>
      <c r="Z256" s="203" t="n"/>
      <c r="AA256" s="203" t="n"/>
      <c r="AB256" s="203" t="n"/>
      <c r="AC256" s="203" t="n"/>
      <c r="AD256" s="203" t="n"/>
      <c r="AE256" s="203" t="n"/>
      <c r="AF256" s="203" t="n"/>
      <c r="AG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  <c r="S257" s="203" t="n"/>
      <c r="T257" s="203" t="n"/>
      <c r="U257" s="203" t="n"/>
      <c r="V257" s="203" t="n"/>
      <c r="W257" s="203" t="n"/>
      <c r="X257" s="203" t="n"/>
      <c r="Y257" s="203" t="n"/>
      <c r="Z257" s="203" t="n"/>
      <c r="AA257" s="203" t="n"/>
      <c r="AB257" s="203" t="n"/>
      <c r="AC257" s="203" t="n"/>
      <c r="AD257" s="203" t="n"/>
      <c r="AE257" s="203" t="n"/>
      <c r="AF257" s="203" t="n"/>
      <c r="AG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  <c r="S258" s="203" t="n"/>
      <c r="T258" s="203" t="n"/>
      <c r="U258" s="203" t="n"/>
      <c r="V258" s="203" t="n"/>
      <c r="W258" s="203" t="n"/>
      <c r="X258" s="203" t="n"/>
      <c r="Y258" s="203" t="n"/>
      <c r="Z258" s="203" t="n"/>
      <c r="AA258" s="203" t="n"/>
      <c r="AB258" s="203" t="n"/>
      <c r="AC258" s="203" t="n"/>
      <c r="AD258" s="203" t="n"/>
      <c r="AE258" s="203" t="n"/>
      <c r="AF258" s="203" t="n"/>
      <c r="AG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  <c r="S259" s="203" t="n"/>
      <c r="T259" s="203" t="n"/>
      <c r="U259" s="203" t="n"/>
      <c r="V259" s="203" t="n"/>
      <c r="W259" s="203" t="n"/>
      <c r="X259" s="203" t="n"/>
      <c r="Y259" s="203" t="n"/>
      <c r="Z259" s="203" t="n"/>
      <c r="AA259" s="203" t="n"/>
      <c r="AB259" s="203" t="n"/>
      <c r="AC259" s="203" t="n"/>
      <c r="AD259" s="203" t="n"/>
      <c r="AE259" s="203" t="n"/>
      <c r="AF259" s="203" t="n"/>
      <c r="AG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  <c r="S260" s="203" t="n"/>
      <c r="T260" s="203" t="n"/>
      <c r="U260" s="203" t="n"/>
      <c r="V260" s="203" t="n"/>
      <c r="W260" s="203" t="n"/>
      <c r="X260" s="203" t="n"/>
      <c r="Y260" s="203" t="n"/>
      <c r="Z260" s="203" t="n"/>
      <c r="AA260" s="203" t="n"/>
      <c r="AB260" s="203" t="n"/>
      <c r="AC260" s="203" t="n"/>
      <c r="AD260" s="203" t="n"/>
      <c r="AE260" s="203" t="n"/>
      <c r="AF260" s="203" t="n"/>
      <c r="AG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  <c r="S261" s="203" t="n"/>
      <c r="T261" s="203" t="n"/>
      <c r="U261" s="203" t="n"/>
      <c r="V261" s="203" t="n"/>
      <c r="W261" s="203" t="n"/>
      <c r="X261" s="203" t="n"/>
      <c r="Y261" s="203" t="n"/>
      <c r="Z261" s="203" t="n"/>
      <c r="AA261" s="203" t="n"/>
      <c r="AB261" s="203" t="n"/>
      <c r="AC261" s="203" t="n"/>
      <c r="AD261" s="203" t="n"/>
      <c r="AE261" s="203" t="n"/>
      <c r="AF261" s="203" t="n"/>
      <c r="AG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  <c r="S262" s="203" t="n"/>
      <c r="T262" s="203" t="n"/>
      <c r="U262" s="203" t="n"/>
      <c r="V262" s="203" t="n"/>
      <c r="W262" s="203" t="n"/>
      <c r="X262" s="203" t="n"/>
      <c r="Y262" s="203" t="n"/>
      <c r="Z262" s="203" t="n"/>
      <c r="AA262" s="203" t="n"/>
      <c r="AB262" s="203" t="n"/>
      <c r="AC262" s="203" t="n"/>
      <c r="AD262" s="203" t="n"/>
      <c r="AE262" s="203" t="n"/>
      <c r="AF262" s="203" t="n"/>
      <c r="AG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  <c r="S263" s="203" t="n"/>
      <c r="T263" s="203" t="n"/>
      <c r="U263" s="203" t="n"/>
      <c r="V263" s="203" t="n"/>
      <c r="W263" s="203" t="n"/>
      <c r="X263" s="203" t="n"/>
      <c r="Y263" s="203" t="n"/>
      <c r="Z263" s="203" t="n"/>
      <c r="AA263" s="203" t="n"/>
      <c r="AB263" s="203" t="n"/>
      <c r="AC263" s="203" t="n"/>
      <c r="AD263" s="203" t="n"/>
      <c r="AE263" s="203" t="n"/>
      <c r="AF263" s="203" t="n"/>
      <c r="AG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  <c r="S264" s="203" t="n"/>
      <c r="T264" s="203" t="n"/>
      <c r="U264" s="203" t="n"/>
      <c r="V264" s="203" t="n"/>
      <c r="W264" s="203" t="n"/>
      <c r="X264" s="203" t="n"/>
      <c r="Y264" s="203" t="n"/>
      <c r="Z264" s="203" t="n"/>
      <c r="AA264" s="203" t="n"/>
      <c r="AB264" s="203" t="n"/>
      <c r="AC264" s="203" t="n"/>
      <c r="AD264" s="203" t="n"/>
      <c r="AE264" s="203" t="n"/>
      <c r="AF264" s="203" t="n"/>
      <c r="AG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  <c r="S265" s="203" t="n"/>
      <c r="T265" s="203" t="n"/>
      <c r="U265" s="203" t="n"/>
      <c r="V265" s="203" t="n"/>
      <c r="W265" s="203" t="n"/>
      <c r="X265" s="203" t="n"/>
      <c r="Y265" s="203" t="n"/>
      <c r="Z265" s="203" t="n"/>
      <c r="AA265" s="203" t="n"/>
      <c r="AB265" s="203" t="n"/>
      <c r="AC265" s="203" t="n"/>
      <c r="AD265" s="203" t="n"/>
      <c r="AE265" s="203" t="n"/>
      <c r="AF265" s="203" t="n"/>
      <c r="AG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  <c r="S266" s="203" t="n"/>
      <c r="T266" s="203" t="n"/>
      <c r="U266" s="203" t="n"/>
      <c r="V266" s="203" t="n"/>
      <c r="W266" s="203" t="n"/>
      <c r="X266" s="203" t="n"/>
      <c r="Y266" s="203" t="n"/>
      <c r="Z266" s="203" t="n"/>
      <c r="AA266" s="203" t="n"/>
      <c r="AB266" s="203" t="n"/>
      <c r="AC266" s="203" t="n"/>
      <c r="AD266" s="203" t="n"/>
      <c r="AE266" s="203" t="n"/>
      <c r="AF266" s="203" t="n"/>
      <c r="AG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  <c r="S267" s="203" t="n"/>
      <c r="T267" s="203" t="n"/>
      <c r="U267" s="203" t="n"/>
      <c r="V267" s="203" t="n"/>
      <c r="W267" s="203" t="n"/>
      <c r="X267" s="203" t="n"/>
      <c r="Y267" s="203" t="n"/>
      <c r="Z267" s="203" t="n"/>
      <c r="AA267" s="203" t="n"/>
      <c r="AB267" s="203" t="n"/>
      <c r="AC267" s="203" t="n"/>
      <c r="AD267" s="203" t="n"/>
      <c r="AE267" s="203" t="n"/>
      <c r="AF267" s="203" t="n"/>
      <c r="AG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  <c r="S268" s="203" t="n"/>
      <c r="T268" s="203" t="n"/>
      <c r="U268" s="203" t="n"/>
      <c r="V268" s="203" t="n"/>
      <c r="W268" s="203" t="n"/>
      <c r="X268" s="203" t="n"/>
      <c r="Y268" s="203" t="n"/>
      <c r="Z268" s="203" t="n"/>
      <c r="AA268" s="203" t="n"/>
      <c r="AB268" s="203" t="n"/>
      <c r="AC268" s="203" t="n"/>
      <c r="AD268" s="203" t="n"/>
      <c r="AE268" s="203" t="n"/>
      <c r="AF268" s="203" t="n"/>
      <c r="AG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  <c r="S269" s="203" t="n"/>
      <c r="T269" s="203" t="n"/>
      <c r="U269" s="203" t="n"/>
      <c r="V269" s="203" t="n"/>
      <c r="W269" s="203" t="n"/>
      <c r="X269" s="203" t="n"/>
      <c r="Y269" s="203" t="n"/>
      <c r="Z269" s="203" t="n"/>
      <c r="AA269" s="203" t="n"/>
      <c r="AB269" s="203" t="n"/>
      <c r="AC269" s="203" t="n"/>
      <c r="AD269" s="203" t="n"/>
      <c r="AE269" s="203" t="n"/>
      <c r="AF269" s="203" t="n"/>
      <c r="AG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  <c r="S270" s="203" t="n"/>
      <c r="T270" s="203" t="n"/>
      <c r="U270" s="203" t="n"/>
      <c r="V270" s="203" t="n"/>
      <c r="W270" s="203" t="n"/>
      <c r="X270" s="203" t="n"/>
      <c r="Y270" s="203" t="n"/>
      <c r="Z270" s="203" t="n"/>
      <c r="AA270" s="203" t="n"/>
      <c r="AB270" s="203" t="n"/>
      <c r="AC270" s="203" t="n"/>
      <c r="AD270" s="203" t="n"/>
      <c r="AE270" s="203" t="n"/>
      <c r="AF270" s="203" t="n"/>
      <c r="AG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  <c r="S271" s="203" t="n"/>
      <c r="T271" s="203" t="n"/>
      <c r="U271" s="203" t="n"/>
      <c r="V271" s="203" t="n"/>
      <c r="W271" s="203" t="n"/>
      <c r="X271" s="203" t="n"/>
      <c r="Y271" s="203" t="n"/>
      <c r="Z271" s="203" t="n"/>
      <c r="AA271" s="203" t="n"/>
      <c r="AB271" s="203" t="n"/>
      <c r="AC271" s="203" t="n"/>
      <c r="AD271" s="203" t="n"/>
      <c r="AE271" s="203" t="n"/>
      <c r="AF271" s="203" t="n"/>
      <c r="AG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  <c r="S272" s="203" t="n"/>
      <c r="T272" s="203" t="n"/>
      <c r="U272" s="203" t="n"/>
      <c r="V272" s="203" t="n"/>
      <c r="W272" s="203" t="n"/>
      <c r="X272" s="203" t="n"/>
      <c r="Y272" s="203" t="n"/>
      <c r="Z272" s="203" t="n"/>
      <c r="AA272" s="203" t="n"/>
      <c r="AB272" s="203" t="n"/>
      <c r="AC272" s="203" t="n"/>
      <c r="AD272" s="203" t="n"/>
      <c r="AE272" s="203" t="n"/>
      <c r="AF272" s="203" t="n"/>
      <c r="AG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  <c r="S273" s="203" t="n"/>
      <c r="T273" s="203" t="n"/>
      <c r="U273" s="203" t="n"/>
      <c r="V273" s="203" t="n"/>
      <c r="W273" s="203" t="n"/>
      <c r="X273" s="203" t="n"/>
      <c r="Y273" s="203" t="n"/>
      <c r="Z273" s="203" t="n"/>
      <c r="AA273" s="203" t="n"/>
      <c r="AB273" s="203" t="n"/>
      <c r="AC273" s="203" t="n"/>
      <c r="AD273" s="203" t="n"/>
      <c r="AE273" s="203" t="n"/>
      <c r="AF273" s="203" t="n"/>
      <c r="AG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  <c r="S274" s="203" t="n"/>
      <c r="T274" s="203" t="n"/>
      <c r="U274" s="203" t="n"/>
      <c r="V274" s="203" t="n"/>
      <c r="W274" s="203" t="n"/>
      <c r="X274" s="203" t="n"/>
      <c r="Y274" s="203" t="n"/>
      <c r="Z274" s="203" t="n"/>
      <c r="AA274" s="203" t="n"/>
      <c r="AB274" s="203" t="n"/>
      <c r="AC274" s="203" t="n"/>
      <c r="AD274" s="203" t="n"/>
      <c r="AE274" s="203" t="n"/>
      <c r="AF274" s="203" t="n"/>
      <c r="AG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  <c r="S275" s="203" t="n"/>
      <c r="T275" s="203" t="n"/>
      <c r="U275" s="203" t="n"/>
      <c r="V275" s="203" t="n"/>
      <c r="W275" s="203" t="n"/>
      <c r="X275" s="203" t="n"/>
      <c r="Y275" s="203" t="n"/>
      <c r="Z275" s="203" t="n"/>
      <c r="AA275" s="203" t="n"/>
      <c r="AB275" s="203" t="n"/>
      <c r="AC275" s="203" t="n"/>
      <c r="AD275" s="203" t="n"/>
      <c r="AE275" s="203" t="n"/>
      <c r="AF275" s="203" t="n"/>
      <c r="AG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  <c r="S276" s="203" t="n"/>
      <c r="T276" s="203" t="n"/>
      <c r="U276" s="203" t="n"/>
      <c r="V276" s="203" t="n"/>
      <c r="W276" s="203" t="n"/>
      <c r="X276" s="203" t="n"/>
      <c r="Y276" s="203" t="n"/>
      <c r="Z276" s="203" t="n"/>
      <c r="AA276" s="203" t="n"/>
      <c r="AB276" s="203" t="n"/>
      <c r="AC276" s="203" t="n"/>
      <c r="AD276" s="203" t="n"/>
      <c r="AE276" s="203" t="n"/>
      <c r="AF276" s="203" t="n"/>
      <c r="AG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  <c r="S277" s="203" t="n"/>
      <c r="T277" s="203" t="n"/>
      <c r="U277" s="203" t="n"/>
      <c r="V277" s="203" t="n"/>
      <c r="W277" s="203" t="n"/>
      <c r="X277" s="203" t="n"/>
      <c r="Y277" s="203" t="n"/>
      <c r="Z277" s="203" t="n"/>
      <c r="AA277" s="203" t="n"/>
      <c r="AB277" s="203" t="n"/>
      <c r="AC277" s="203" t="n"/>
      <c r="AD277" s="203" t="n"/>
      <c r="AE277" s="203" t="n"/>
      <c r="AF277" s="203" t="n"/>
      <c r="AG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  <c r="S278" s="203" t="n"/>
      <c r="T278" s="203" t="n"/>
      <c r="U278" s="203" t="n"/>
      <c r="V278" s="203" t="n"/>
      <c r="W278" s="203" t="n"/>
      <c r="X278" s="203" t="n"/>
      <c r="Y278" s="203" t="n"/>
      <c r="Z278" s="203" t="n"/>
      <c r="AA278" s="203" t="n"/>
      <c r="AB278" s="203" t="n"/>
      <c r="AC278" s="203" t="n"/>
      <c r="AD278" s="203" t="n"/>
      <c r="AE278" s="203" t="n"/>
      <c r="AF278" s="203" t="n"/>
      <c r="AG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  <c r="S279" s="203" t="n"/>
      <c r="T279" s="203" t="n"/>
      <c r="U279" s="203" t="n"/>
      <c r="V279" s="203" t="n"/>
      <c r="W279" s="203" t="n"/>
      <c r="X279" s="203" t="n"/>
      <c r="Y279" s="203" t="n"/>
      <c r="Z279" s="203" t="n"/>
      <c r="AA279" s="203" t="n"/>
      <c r="AB279" s="203" t="n"/>
      <c r="AC279" s="203" t="n"/>
      <c r="AD279" s="203" t="n"/>
      <c r="AE279" s="203" t="n"/>
      <c r="AF279" s="203" t="n"/>
      <c r="AG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  <c r="S280" s="203" t="n"/>
      <c r="T280" s="203" t="n"/>
      <c r="U280" s="203" t="n"/>
      <c r="V280" s="203" t="n"/>
      <c r="W280" s="203" t="n"/>
      <c r="X280" s="203" t="n"/>
      <c r="Y280" s="203" t="n"/>
      <c r="Z280" s="203" t="n"/>
      <c r="AA280" s="203" t="n"/>
      <c r="AB280" s="203" t="n"/>
      <c r="AC280" s="203" t="n"/>
      <c r="AD280" s="203" t="n"/>
      <c r="AE280" s="203" t="n"/>
      <c r="AF280" s="203" t="n"/>
      <c r="AG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  <c r="S281" s="203" t="n"/>
      <c r="T281" s="203" t="n"/>
      <c r="U281" s="203" t="n"/>
      <c r="V281" s="203" t="n"/>
      <c r="W281" s="203" t="n"/>
      <c r="X281" s="203" t="n"/>
      <c r="Y281" s="203" t="n"/>
      <c r="Z281" s="203" t="n"/>
      <c r="AA281" s="203" t="n"/>
      <c r="AB281" s="203" t="n"/>
      <c r="AC281" s="203" t="n"/>
      <c r="AD281" s="203" t="n"/>
      <c r="AE281" s="203" t="n"/>
      <c r="AF281" s="203" t="n"/>
      <c r="AG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  <c r="S282" s="203" t="n"/>
      <c r="T282" s="203" t="n"/>
      <c r="U282" s="203" t="n"/>
      <c r="V282" s="203" t="n"/>
      <c r="W282" s="203" t="n"/>
      <c r="X282" s="203" t="n"/>
      <c r="Y282" s="203" t="n"/>
      <c r="Z282" s="203" t="n"/>
      <c r="AA282" s="203" t="n"/>
      <c r="AB282" s="203" t="n"/>
      <c r="AC282" s="203" t="n"/>
      <c r="AD282" s="203" t="n"/>
      <c r="AE282" s="203" t="n"/>
      <c r="AF282" s="203" t="n"/>
      <c r="AG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  <c r="S283" s="203" t="n"/>
      <c r="T283" s="203" t="n"/>
      <c r="U283" s="203" t="n"/>
      <c r="V283" s="203" t="n"/>
      <c r="W283" s="203" t="n"/>
      <c r="X283" s="203" t="n"/>
      <c r="Y283" s="203" t="n"/>
      <c r="Z283" s="203" t="n"/>
      <c r="AA283" s="203" t="n"/>
      <c r="AB283" s="203" t="n"/>
      <c r="AC283" s="203" t="n"/>
      <c r="AD283" s="203" t="n"/>
      <c r="AE283" s="203" t="n"/>
      <c r="AF283" s="203" t="n"/>
      <c r="AG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  <c r="S284" s="203" t="n"/>
      <c r="T284" s="203" t="n"/>
      <c r="U284" s="203" t="n"/>
      <c r="V284" s="203" t="n"/>
      <c r="W284" s="203" t="n"/>
      <c r="X284" s="203" t="n"/>
      <c r="Y284" s="203" t="n"/>
      <c r="Z284" s="203" t="n"/>
      <c r="AA284" s="203" t="n"/>
      <c r="AB284" s="203" t="n"/>
      <c r="AC284" s="203" t="n"/>
      <c r="AD284" s="203" t="n"/>
      <c r="AE284" s="203" t="n"/>
      <c r="AF284" s="203" t="n"/>
      <c r="AG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  <c r="S285" s="203" t="n"/>
      <c r="T285" s="203" t="n"/>
      <c r="U285" s="203" t="n"/>
      <c r="V285" s="203" t="n"/>
      <c r="W285" s="203" t="n"/>
      <c r="X285" s="203" t="n"/>
      <c r="Y285" s="203" t="n"/>
      <c r="Z285" s="203" t="n"/>
      <c r="AA285" s="203" t="n"/>
      <c r="AB285" s="203" t="n"/>
      <c r="AC285" s="203" t="n"/>
      <c r="AD285" s="203" t="n"/>
      <c r="AE285" s="203" t="n"/>
      <c r="AF285" s="203" t="n"/>
      <c r="AG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  <c r="S286" s="203" t="n"/>
      <c r="T286" s="203" t="n"/>
      <c r="U286" s="203" t="n"/>
      <c r="V286" s="203" t="n"/>
      <c r="W286" s="203" t="n"/>
      <c r="X286" s="203" t="n"/>
      <c r="Y286" s="203" t="n"/>
      <c r="Z286" s="203" t="n"/>
      <c r="AA286" s="203" t="n"/>
      <c r="AB286" s="203" t="n"/>
      <c r="AC286" s="203" t="n"/>
      <c r="AD286" s="203" t="n"/>
      <c r="AE286" s="203" t="n"/>
      <c r="AF286" s="203" t="n"/>
      <c r="AG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  <c r="S287" s="203" t="n"/>
      <c r="T287" s="203" t="n"/>
      <c r="U287" s="203" t="n"/>
      <c r="V287" s="203" t="n"/>
      <c r="W287" s="203" t="n"/>
      <c r="X287" s="203" t="n"/>
      <c r="Y287" s="203" t="n"/>
      <c r="Z287" s="203" t="n"/>
      <c r="AA287" s="203" t="n"/>
      <c r="AB287" s="203" t="n"/>
      <c r="AC287" s="203" t="n"/>
      <c r="AD287" s="203" t="n"/>
      <c r="AE287" s="203" t="n"/>
      <c r="AF287" s="203" t="n"/>
      <c r="AG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  <c r="S288" s="203" t="n"/>
      <c r="T288" s="203" t="n"/>
      <c r="U288" s="203" t="n"/>
      <c r="V288" s="203" t="n"/>
      <c r="W288" s="203" t="n"/>
      <c r="X288" s="203" t="n"/>
      <c r="Y288" s="203" t="n"/>
      <c r="Z288" s="203" t="n"/>
      <c r="AA288" s="203" t="n"/>
      <c r="AB288" s="203" t="n"/>
      <c r="AC288" s="203" t="n"/>
      <c r="AD288" s="203" t="n"/>
      <c r="AE288" s="203" t="n"/>
      <c r="AF288" s="203" t="n"/>
      <c r="AG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  <c r="S289" s="203" t="n"/>
      <c r="T289" s="203" t="n"/>
      <c r="U289" s="203" t="n"/>
      <c r="V289" s="203" t="n"/>
      <c r="W289" s="203" t="n"/>
      <c r="X289" s="203" t="n"/>
      <c r="Y289" s="203" t="n"/>
      <c r="Z289" s="203" t="n"/>
      <c r="AA289" s="203" t="n"/>
      <c r="AB289" s="203" t="n"/>
      <c r="AC289" s="203" t="n"/>
      <c r="AD289" s="203" t="n"/>
      <c r="AE289" s="203" t="n"/>
      <c r="AF289" s="203" t="n"/>
      <c r="AG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  <c r="S290" s="203" t="n"/>
      <c r="T290" s="203" t="n"/>
      <c r="U290" s="203" t="n"/>
      <c r="V290" s="203" t="n"/>
      <c r="W290" s="203" t="n"/>
      <c r="X290" s="203" t="n"/>
      <c r="Y290" s="203" t="n"/>
      <c r="Z290" s="203" t="n"/>
      <c r="AA290" s="203" t="n"/>
      <c r="AB290" s="203" t="n"/>
      <c r="AC290" s="203" t="n"/>
      <c r="AD290" s="203" t="n"/>
      <c r="AE290" s="203" t="n"/>
      <c r="AF290" s="203" t="n"/>
      <c r="AG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  <c r="S291" s="203" t="n"/>
      <c r="T291" s="203" t="n"/>
      <c r="U291" s="203" t="n"/>
      <c r="V291" s="203" t="n"/>
      <c r="W291" s="203" t="n"/>
      <c r="X291" s="203" t="n"/>
      <c r="Y291" s="203" t="n"/>
      <c r="Z291" s="203" t="n"/>
      <c r="AA291" s="203" t="n"/>
      <c r="AB291" s="203" t="n"/>
      <c r="AC291" s="203" t="n"/>
      <c r="AD291" s="203" t="n"/>
      <c r="AE291" s="203" t="n"/>
      <c r="AF291" s="203" t="n"/>
      <c r="AG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  <c r="S292" s="203" t="n"/>
      <c r="T292" s="203" t="n"/>
      <c r="U292" s="203" t="n"/>
      <c r="V292" s="203" t="n"/>
      <c r="W292" s="203" t="n"/>
      <c r="X292" s="203" t="n"/>
      <c r="Y292" s="203" t="n"/>
      <c r="Z292" s="203" t="n"/>
      <c r="AA292" s="203" t="n"/>
      <c r="AB292" s="203" t="n"/>
      <c r="AC292" s="203" t="n"/>
      <c r="AD292" s="203" t="n"/>
      <c r="AE292" s="203" t="n"/>
      <c r="AF292" s="203" t="n"/>
      <c r="AG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  <c r="S293" s="203" t="n"/>
      <c r="T293" s="203" t="n"/>
      <c r="U293" s="203" t="n"/>
      <c r="V293" s="203" t="n"/>
      <c r="W293" s="203" t="n"/>
      <c r="X293" s="203" t="n"/>
      <c r="Y293" s="203" t="n"/>
      <c r="Z293" s="203" t="n"/>
      <c r="AA293" s="203" t="n"/>
      <c r="AB293" s="203" t="n"/>
      <c r="AC293" s="203" t="n"/>
      <c r="AD293" s="203" t="n"/>
      <c r="AE293" s="203" t="n"/>
      <c r="AF293" s="203" t="n"/>
      <c r="AG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  <c r="S294" s="203" t="n"/>
      <c r="T294" s="203" t="n"/>
      <c r="U294" s="203" t="n"/>
      <c r="V294" s="203" t="n"/>
      <c r="W294" s="203" t="n"/>
      <c r="X294" s="203" t="n"/>
      <c r="Y294" s="203" t="n"/>
      <c r="Z294" s="203" t="n"/>
      <c r="AA294" s="203" t="n"/>
      <c r="AB294" s="203" t="n"/>
      <c r="AC294" s="203" t="n"/>
      <c r="AD294" s="203" t="n"/>
      <c r="AE294" s="203" t="n"/>
      <c r="AF294" s="203" t="n"/>
      <c r="AG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  <c r="S295" s="203" t="n"/>
      <c r="T295" s="203" t="n"/>
      <c r="U295" s="203" t="n"/>
      <c r="V295" s="203" t="n"/>
      <c r="W295" s="203" t="n"/>
      <c r="X295" s="203" t="n"/>
      <c r="Y295" s="203" t="n"/>
      <c r="Z295" s="203" t="n"/>
      <c r="AA295" s="203" t="n"/>
      <c r="AB295" s="203" t="n"/>
      <c r="AC295" s="203" t="n"/>
      <c r="AD295" s="203" t="n"/>
      <c r="AE295" s="203" t="n"/>
      <c r="AF295" s="203" t="n"/>
      <c r="AG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  <c r="S296" s="203" t="n"/>
      <c r="T296" s="203" t="n"/>
      <c r="U296" s="203" t="n"/>
      <c r="V296" s="203" t="n"/>
      <c r="W296" s="203" t="n"/>
      <c r="X296" s="203" t="n"/>
      <c r="Y296" s="203" t="n"/>
      <c r="Z296" s="203" t="n"/>
      <c r="AA296" s="203" t="n"/>
      <c r="AB296" s="203" t="n"/>
      <c r="AC296" s="203" t="n"/>
      <c r="AD296" s="203" t="n"/>
      <c r="AE296" s="203" t="n"/>
      <c r="AF296" s="203" t="n"/>
      <c r="AG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  <c r="S297" s="203" t="n"/>
      <c r="T297" s="203" t="n"/>
      <c r="U297" s="203" t="n"/>
      <c r="V297" s="203" t="n"/>
      <c r="W297" s="203" t="n"/>
      <c r="X297" s="203" t="n"/>
      <c r="Y297" s="203" t="n"/>
      <c r="Z297" s="203" t="n"/>
      <c r="AA297" s="203" t="n"/>
      <c r="AB297" s="203" t="n"/>
      <c r="AC297" s="203" t="n"/>
      <c r="AD297" s="203" t="n"/>
      <c r="AE297" s="203" t="n"/>
      <c r="AF297" s="203" t="n"/>
      <c r="AG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  <c r="S298" s="203" t="n"/>
      <c r="T298" s="203" t="n"/>
      <c r="U298" s="203" t="n"/>
      <c r="V298" s="203" t="n"/>
      <c r="W298" s="203" t="n"/>
      <c r="X298" s="203" t="n"/>
      <c r="Y298" s="203" t="n"/>
      <c r="Z298" s="203" t="n"/>
      <c r="AA298" s="203" t="n"/>
      <c r="AB298" s="203" t="n"/>
      <c r="AC298" s="203" t="n"/>
      <c r="AD298" s="203" t="n"/>
      <c r="AE298" s="203" t="n"/>
      <c r="AF298" s="203" t="n"/>
      <c r="AG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  <c r="S299" s="203" t="n"/>
      <c r="T299" s="203" t="n"/>
      <c r="U299" s="203" t="n"/>
      <c r="V299" s="203" t="n"/>
      <c r="W299" s="203" t="n"/>
      <c r="X299" s="203" t="n"/>
      <c r="Y299" s="203" t="n"/>
      <c r="Z299" s="203" t="n"/>
      <c r="AA299" s="203" t="n"/>
      <c r="AB299" s="203" t="n"/>
      <c r="AC299" s="203" t="n"/>
      <c r="AD299" s="203" t="n"/>
      <c r="AE299" s="203" t="n"/>
      <c r="AF299" s="203" t="n"/>
      <c r="AG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  <c r="S300" s="203" t="n"/>
      <c r="T300" s="203" t="n"/>
      <c r="U300" s="203" t="n"/>
      <c r="V300" s="203" t="n"/>
      <c r="W300" s="203" t="n"/>
      <c r="X300" s="203" t="n"/>
      <c r="Y300" s="203" t="n"/>
      <c r="Z300" s="203" t="n"/>
      <c r="AA300" s="203" t="n"/>
      <c r="AB300" s="203" t="n"/>
      <c r="AC300" s="203" t="n"/>
      <c r="AD300" s="203" t="n"/>
      <c r="AE300" s="203" t="n"/>
      <c r="AF300" s="203" t="n"/>
      <c r="AG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  <c r="S301" s="203" t="n"/>
      <c r="T301" s="203" t="n"/>
      <c r="U301" s="203" t="n"/>
      <c r="V301" s="203" t="n"/>
      <c r="W301" s="203" t="n"/>
      <c r="X301" s="203" t="n"/>
      <c r="Y301" s="203" t="n"/>
      <c r="Z301" s="203" t="n"/>
      <c r="AA301" s="203" t="n"/>
      <c r="AB301" s="203" t="n"/>
      <c r="AC301" s="203" t="n"/>
      <c r="AD301" s="203" t="n"/>
      <c r="AE301" s="203" t="n"/>
      <c r="AF301" s="203" t="n"/>
      <c r="AG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  <c r="S302" s="203" t="n"/>
      <c r="T302" s="203" t="n"/>
      <c r="U302" s="203" t="n"/>
      <c r="V302" s="203" t="n"/>
      <c r="W302" s="203" t="n"/>
      <c r="X302" s="203" t="n"/>
      <c r="Y302" s="203" t="n"/>
      <c r="Z302" s="203" t="n"/>
      <c r="AA302" s="203" t="n"/>
      <c r="AB302" s="203" t="n"/>
      <c r="AC302" s="203" t="n"/>
      <c r="AD302" s="203" t="n"/>
      <c r="AE302" s="203" t="n"/>
      <c r="AF302" s="203" t="n"/>
      <c r="AG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  <c r="S303" s="203" t="n"/>
      <c r="T303" s="203" t="n"/>
      <c r="U303" s="203" t="n"/>
      <c r="V303" s="203" t="n"/>
      <c r="W303" s="203" t="n"/>
      <c r="X303" s="203" t="n"/>
      <c r="Y303" s="203" t="n"/>
      <c r="Z303" s="203" t="n"/>
      <c r="AA303" s="203" t="n"/>
      <c r="AB303" s="203" t="n"/>
      <c r="AC303" s="203" t="n"/>
      <c r="AD303" s="203" t="n"/>
      <c r="AE303" s="203" t="n"/>
      <c r="AF303" s="203" t="n"/>
      <c r="AG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  <c r="S304" s="203" t="n"/>
      <c r="T304" s="203" t="n"/>
      <c r="U304" s="203" t="n"/>
      <c r="V304" s="203" t="n"/>
      <c r="W304" s="203" t="n"/>
      <c r="X304" s="203" t="n"/>
      <c r="Y304" s="203" t="n"/>
      <c r="Z304" s="203" t="n"/>
      <c r="AA304" s="203" t="n"/>
      <c r="AB304" s="203" t="n"/>
      <c r="AC304" s="203" t="n"/>
      <c r="AD304" s="203" t="n"/>
      <c r="AE304" s="203" t="n"/>
      <c r="AF304" s="203" t="n"/>
      <c r="AG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  <c r="S305" s="203" t="n"/>
      <c r="T305" s="203" t="n"/>
      <c r="U305" s="203" t="n"/>
      <c r="V305" s="203" t="n"/>
      <c r="W305" s="203" t="n"/>
      <c r="X305" s="203" t="n"/>
      <c r="Y305" s="203" t="n"/>
      <c r="Z305" s="203" t="n"/>
      <c r="AA305" s="203" t="n"/>
      <c r="AB305" s="203" t="n"/>
      <c r="AC305" s="203" t="n"/>
      <c r="AD305" s="203" t="n"/>
      <c r="AE305" s="203" t="n"/>
      <c r="AF305" s="203" t="n"/>
      <c r="AG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  <c r="S306" s="203" t="n"/>
      <c r="T306" s="203" t="n"/>
      <c r="U306" s="203" t="n"/>
      <c r="V306" s="203" t="n"/>
      <c r="W306" s="203" t="n"/>
      <c r="X306" s="203" t="n"/>
      <c r="Y306" s="203" t="n"/>
      <c r="Z306" s="203" t="n"/>
      <c r="AA306" s="203" t="n"/>
      <c r="AB306" s="203" t="n"/>
      <c r="AC306" s="203" t="n"/>
      <c r="AD306" s="203" t="n"/>
      <c r="AE306" s="203" t="n"/>
      <c r="AF306" s="203" t="n"/>
      <c r="AG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  <c r="S307" s="203" t="n"/>
      <c r="T307" s="203" t="n"/>
      <c r="U307" s="203" t="n"/>
      <c r="V307" s="203" t="n"/>
      <c r="W307" s="203" t="n"/>
      <c r="X307" s="203" t="n"/>
      <c r="Y307" s="203" t="n"/>
      <c r="Z307" s="203" t="n"/>
      <c r="AA307" s="203" t="n"/>
      <c r="AB307" s="203" t="n"/>
      <c r="AC307" s="203" t="n"/>
      <c r="AD307" s="203" t="n"/>
      <c r="AE307" s="203" t="n"/>
      <c r="AF307" s="203" t="n"/>
      <c r="AG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  <c r="S308" s="203" t="n"/>
      <c r="T308" s="203" t="n"/>
      <c r="U308" s="203" t="n"/>
      <c r="V308" s="203" t="n"/>
      <c r="W308" s="203" t="n"/>
      <c r="X308" s="203" t="n"/>
      <c r="Y308" s="203" t="n"/>
      <c r="Z308" s="203" t="n"/>
      <c r="AA308" s="203" t="n"/>
      <c r="AB308" s="203" t="n"/>
      <c r="AC308" s="203" t="n"/>
      <c r="AD308" s="203" t="n"/>
      <c r="AE308" s="203" t="n"/>
      <c r="AF308" s="203" t="n"/>
      <c r="AG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  <c r="S309" s="203" t="n"/>
      <c r="T309" s="203" t="n"/>
      <c r="U309" s="203" t="n"/>
      <c r="V309" s="203" t="n"/>
      <c r="W309" s="203" t="n"/>
      <c r="X309" s="203" t="n"/>
      <c r="Y309" s="203" t="n"/>
      <c r="Z309" s="203" t="n"/>
      <c r="AA309" s="203" t="n"/>
      <c r="AB309" s="203" t="n"/>
      <c r="AC309" s="203" t="n"/>
      <c r="AD309" s="203" t="n"/>
      <c r="AE309" s="203" t="n"/>
      <c r="AF309" s="203" t="n"/>
      <c r="AG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  <c r="S310" s="203" t="n"/>
      <c r="T310" s="203" t="n"/>
      <c r="U310" s="203" t="n"/>
      <c r="V310" s="203" t="n"/>
      <c r="W310" s="203" t="n"/>
      <c r="X310" s="203" t="n"/>
      <c r="Y310" s="203" t="n"/>
      <c r="Z310" s="203" t="n"/>
      <c r="AA310" s="203" t="n"/>
      <c r="AB310" s="203" t="n"/>
      <c r="AC310" s="203" t="n"/>
      <c r="AD310" s="203" t="n"/>
      <c r="AE310" s="203" t="n"/>
      <c r="AF310" s="203" t="n"/>
      <c r="AG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  <c r="S311" s="203" t="n"/>
      <c r="T311" s="203" t="n"/>
      <c r="U311" s="203" t="n"/>
      <c r="V311" s="203" t="n"/>
      <c r="W311" s="203" t="n"/>
      <c r="X311" s="203" t="n"/>
      <c r="Y311" s="203" t="n"/>
      <c r="Z311" s="203" t="n"/>
      <c r="AA311" s="203" t="n"/>
      <c r="AB311" s="203" t="n"/>
      <c r="AC311" s="203" t="n"/>
      <c r="AD311" s="203" t="n"/>
      <c r="AE311" s="203" t="n"/>
      <c r="AF311" s="203" t="n"/>
      <c r="AG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  <c r="S312" s="203" t="n"/>
      <c r="T312" s="203" t="n"/>
      <c r="U312" s="203" t="n"/>
      <c r="V312" s="203" t="n"/>
      <c r="W312" s="203" t="n"/>
      <c r="X312" s="203" t="n"/>
      <c r="Y312" s="203" t="n"/>
      <c r="Z312" s="203" t="n"/>
      <c r="AA312" s="203" t="n"/>
      <c r="AB312" s="203" t="n"/>
      <c r="AC312" s="203" t="n"/>
      <c r="AD312" s="203" t="n"/>
      <c r="AE312" s="203" t="n"/>
      <c r="AF312" s="203" t="n"/>
      <c r="AG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  <c r="S313" s="203" t="n"/>
      <c r="T313" s="203" t="n"/>
      <c r="U313" s="203" t="n"/>
      <c r="V313" s="203" t="n"/>
      <c r="W313" s="203" t="n"/>
      <c r="X313" s="203" t="n"/>
      <c r="Y313" s="203" t="n"/>
      <c r="Z313" s="203" t="n"/>
      <c r="AA313" s="203" t="n"/>
      <c r="AB313" s="203" t="n"/>
      <c r="AC313" s="203" t="n"/>
      <c r="AD313" s="203" t="n"/>
      <c r="AE313" s="203" t="n"/>
      <c r="AF313" s="203" t="n"/>
      <c r="AG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  <c r="S314" s="203" t="n"/>
      <c r="T314" s="203" t="n"/>
      <c r="U314" s="203" t="n"/>
      <c r="V314" s="203" t="n"/>
      <c r="W314" s="203" t="n"/>
      <c r="X314" s="203" t="n"/>
      <c r="Y314" s="203" t="n"/>
      <c r="Z314" s="203" t="n"/>
      <c r="AA314" s="203" t="n"/>
      <c r="AB314" s="203" t="n"/>
      <c r="AC314" s="203" t="n"/>
      <c r="AD314" s="203" t="n"/>
      <c r="AE314" s="203" t="n"/>
      <c r="AF314" s="203" t="n"/>
      <c r="AG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  <c r="S315" s="203" t="n"/>
      <c r="T315" s="203" t="n"/>
      <c r="U315" s="203" t="n"/>
      <c r="V315" s="203" t="n"/>
      <c r="W315" s="203" t="n"/>
      <c r="X315" s="203" t="n"/>
      <c r="Y315" s="203" t="n"/>
      <c r="Z315" s="203" t="n"/>
      <c r="AA315" s="203" t="n"/>
      <c r="AB315" s="203" t="n"/>
      <c r="AC315" s="203" t="n"/>
      <c r="AD315" s="203" t="n"/>
      <c r="AE315" s="203" t="n"/>
      <c r="AF315" s="203" t="n"/>
      <c r="AG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  <c r="S316" s="203" t="n"/>
      <c r="T316" s="203" t="n"/>
      <c r="U316" s="203" t="n"/>
      <c r="V316" s="203" t="n"/>
      <c r="W316" s="203" t="n"/>
      <c r="X316" s="203" t="n"/>
      <c r="Y316" s="203" t="n"/>
      <c r="Z316" s="203" t="n"/>
      <c r="AA316" s="203" t="n"/>
      <c r="AB316" s="203" t="n"/>
      <c r="AC316" s="203" t="n"/>
      <c r="AD316" s="203" t="n"/>
      <c r="AE316" s="203" t="n"/>
      <c r="AF316" s="203" t="n"/>
      <c r="AG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  <c r="S317" s="203" t="n"/>
      <c r="T317" s="203" t="n"/>
      <c r="U317" s="203" t="n"/>
      <c r="V317" s="203" t="n"/>
      <c r="W317" s="203" t="n"/>
      <c r="X317" s="203" t="n"/>
      <c r="Y317" s="203" t="n"/>
      <c r="Z317" s="203" t="n"/>
      <c r="AA317" s="203" t="n"/>
      <c r="AB317" s="203" t="n"/>
      <c r="AC317" s="203" t="n"/>
      <c r="AD317" s="203" t="n"/>
      <c r="AE317" s="203" t="n"/>
      <c r="AF317" s="203" t="n"/>
      <c r="AG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  <c r="S318" s="203" t="n"/>
      <c r="T318" s="203" t="n"/>
      <c r="U318" s="203" t="n"/>
      <c r="V318" s="203" t="n"/>
      <c r="W318" s="203" t="n"/>
      <c r="X318" s="203" t="n"/>
      <c r="Y318" s="203" t="n"/>
      <c r="Z318" s="203" t="n"/>
      <c r="AA318" s="203" t="n"/>
      <c r="AB318" s="203" t="n"/>
      <c r="AC318" s="203" t="n"/>
      <c r="AD318" s="203" t="n"/>
      <c r="AE318" s="203" t="n"/>
      <c r="AF318" s="203" t="n"/>
      <c r="AG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  <c r="S319" s="203" t="n"/>
      <c r="T319" s="203" t="n"/>
      <c r="U319" s="203" t="n"/>
      <c r="V319" s="203" t="n"/>
      <c r="W319" s="203" t="n"/>
      <c r="X319" s="203" t="n"/>
      <c r="Y319" s="203" t="n"/>
      <c r="Z319" s="203" t="n"/>
      <c r="AA319" s="203" t="n"/>
      <c r="AB319" s="203" t="n"/>
      <c r="AC319" s="203" t="n"/>
      <c r="AD319" s="203" t="n"/>
      <c r="AE319" s="203" t="n"/>
      <c r="AF319" s="203" t="n"/>
      <c r="AG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  <c r="S320" s="203" t="n"/>
      <c r="T320" s="203" t="n"/>
      <c r="U320" s="203" t="n"/>
      <c r="V320" s="203" t="n"/>
      <c r="W320" s="203" t="n"/>
      <c r="X320" s="203" t="n"/>
      <c r="Y320" s="203" t="n"/>
      <c r="Z320" s="203" t="n"/>
      <c r="AA320" s="203" t="n"/>
      <c r="AB320" s="203" t="n"/>
      <c r="AC320" s="203" t="n"/>
      <c r="AD320" s="203" t="n"/>
      <c r="AE320" s="203" t="n"/>
      <c r="AF320" s="203" t="n"/>
      <c r="AG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  <c r="S321" s="203" t="n"/>
      <c r="T321" s="203" t="n"/>
      <c r="U321" s="203" t="n"/>
      <c r="V321" s="203" t="n"/>
      <c r="W321" s="203" t="n"/>
      <c r="X321" s="203" t="n"/>
      <c r="Y321" s="203" t="n"/>
      <c r="Z321" s="203" t="n"/>
      <c r="AA321" s="203" t="n"/>
      <c r="AB321" s="203" t="n"/>
      <c r="AC321" s="203" t="n"/>
      <c r="AD321" s="203" t="n"/>
      <c r="AE321" s="203" t="n"/>
      <c r="AF321" s="203" t="n"/>
      <c r="AG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  <c r="S322" s="203" t="n"/>
      <c r="T322" s="203" t="n"/>
      <c r="U322" s="203" t="n"/>
      <c r="V322" s="203" t="n"/>
      <c r="W322" s="203" t="n"/>
      <c r="X322" s="203" t="n"/>
      <c r="Y322" s="203" t="n"/>
      <c r="Z322" s="203" t="n"/>
      <c r="AA322" s="203" t="n"/>
      <c r="AB322" s="203" t="n"/>
      <c r="AC322" s="203" t="n"/>
      <c r="AD322" s="203" t="n"/>
      <c r="AE322" s="203" t="n"/>
      <c r="AF322" s="203" t="n"/>
      <c r="AG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  <c r="S323" s="203" t="n"/>
      <c r="T323" s="203" t="n"/>
      <c r="U323" s="203" t="n"/>
      <c r="V323" s="203" t="n"/>
      <c r="W323" s="203" t="n"/>
      <c r="X323" s="203" t="n"/>
      <c r="Y323" s="203" t="n"/>
      <c r="Z323" s="203" t="n"/>
      <c r="AA323" s="203" t="n"/>
      <c r="AB323" s="203" t="n"/>
      <c r="AC323" s="203" t="n"/>
      <c r="AD323" s="203" t="n"/>
      <c r="AE323" s="203" t="n"/>
      <c r="AF323" s="203" t="n"/>
      <c r="AG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  <c r="S324" s="203" t="n"/>
      <c r="T324" s="203" t="n"/>
      <c r="U324" s="203" t="n"/>
      <c r="V324" s="203" t="n"/>
      <c r="W324" s="203" t="n"/>
      <c r="X324" s="203" t="n"/>
      <c r="Y324" s="203" t="n"/>
      <c r="Z324" s="203" t="n"/>
      <c r="AA324" s="203" t="n"/>
      <c r="AB324" s="203" t="n"/>
      <c r="AC324" s="203" t="n"/>
      <c r="AD324" s="203" t="n"/>
      <c r="AE324" s="203" t="n"/>
      <c r="AF324" s="203" t="n"/>
      <c r="AG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  <c r="S325" s="203" t="n"/>
      <c r="T325" s="203" t="n"/>
      <c r="U325" s="203" t="n"/>
      <c r="V325" s="203" t="n"/>
      <c r="W325" s="203" t="n"/>
      <c r="X325" s="203" t="n"/>
      <c r="Y325" s="203" t="n"/>
      <c r="Z325" s="203" t="n"/>
      <c r="AA325" s="203" t="n"/>
      <c r="AB325" s="203" t="n"/>
      <c r="AC325" s="203" t="n"/>
      <c r="AD325" s="203" t="n"/>
      <c r="AE325" s="203" t="n"/>
      <c r="AF325" s="203" t="n"/>
      <c r="AG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  <c r="S326" s="203" t="n"/>
      <c r="T326" s="203" t="n"/>
      <c r="U326" s="203" t="n"/>
      <c r="V326" s="203" t="n"/>
      <c r="W326" s="203" t="n"/>
      <c r="X326" s="203" t="n"/>
      <c r="Y326" s="203" t="n"/>
      <c r="Z326" s="203" t="n"/>
      <c r="AA326" s="203" t="n"/>
      <c r="AB326" s="203" t="n"/>
      <c r="AC326" s="203" t="n"/>
      <c r="AD326" s="203" t="n"/>
      <c r="AE326" s="203" t="n"/>
      <c r="AF326" s="203" t="n"/>
      <c r="AG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  <c r="S327" s="203" t="n"/>
      <c r="T327" s="203" t="n"/>
      <c r="U327" s="203" t="n"/>
      <c r="V327" s="203" t="n"/>
      <c r="W327" s="203" t="n"/>
      <c r="X327" s="203" t="n"/>
      <c r="Y327" s="203" t="n"/>
      <c r="Z327" s="203" t="n"/>
      <c r="AA327" s="203" t="n"/>
      <c r="AB327" s="203" t="n"/>
      <c r="AC327" s="203" t="n"/>
      <c r="AD327" s="203" t="n"/>
      <c r="AE327" s="203" t="n"/>
      <c r="AF327" s="203" t="n"/>
      <c r="AG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  <c r="S328" s="203" t="n"/>
      <c r="T328" s="203" t="n"/>
      <c r="U328" s="203" t="n"/>
      <c r="V328" s="203" t="n"/>
      <c r="W328" s="203" t="n"/>
      <c r="X328" s="203" t="n"/>
      <c r="Y328" s="203" t="n"/>
      <c r="Z328" s="203" t="n"/>
      <c r="AA328" s="203" t="n"/>
      <c r="AB328" s="203" t="n"/>
      <c r="AC328" s="203" t="n"/>
      <c r="AD328" s="203" t="n"/>
      <c r="AE328" s="203" t="n"/>
      <c r="AF328" s="203" t="n"/>
      <c r="AG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  <c r="S329" s="203" t="n"/>
      <c r="T329" s="203" t="n"/>
      <c r="U329" s="203" t="n"/>
      <c r="V329" s="203" t="n"/>
      <c r="W329" s="203" t="n"/>
      <c r="X329" s="203" t="n"/>
      <c r="Y329" s="203" t="n"/>
      <c r="Z329" s="203" t="n"/>
      <c r="AA329" s="203" t="n"/>
      <c r="AB329" s="203" t="n"/>
      <c r="AC329" s="203" t="n"/>
      <c r="AD329" s="203" t="n"/>
      <c r="AE329" s="203" t="n"/>
      <c r="AF329" s="203" t="n"/>
      <c r="AG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  <c r="S330" s="203" t="n"/>
      <c r="T330" s="203" t="n"/>
      <c r="U330" s="203" t="n"/>
      <c r="V330" s="203" t="n"/>
      <c r="W330" s="203" t="n"/>
      <c r="X330" s="203" t="n"/>
      <c r="Y330" s="203" t="n"/>
      <c r="Z330" s="203" t="n"/>
      <c r="AA330" s="203" t="n"/>
      <c r="AB330" s="203" t="n"/>
      <c r="AC330" s="203" t="n"/>
      <c r="AD330" s="203" t="n"/>
      <c r="AE330" s="203" t="n"/>
      <c r="AF330" s="203" t="n"/>
      <c r="AG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  <c r="S331" s="203" t="n"/>
      <c r="T331" s="203" t="n"/>
      <c r="U331" s="203" t="n"/>
      <c r="V331" s="203" t="n"/>
      <c r="W331" s="203" t="n"/>
      <c r="X331" s="203" t="n"/>
      <c r="Y331" s="203" t="n"/>
      <c r="Z331" s="203" t="n"/>
      <c r="AA331" s="203" t="n"/>
      <c r="AB331" s="203" t="n"/>
      <c r="AC331" s="203" t="n"/>
      <c r="AD331" s="203" t="n"/>
      <c r="AE331" s="203" t="n"/>
      <c r="AF331" s="203" t="n"/>
      <c r="AG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  <c r="S332" s="203" t="n"/>
      <c r="T332" s="203" t="n"/>
      <c r="U332" s="203" t="n"/>
      <c r="V332" s="203" t="n"/>
      <c r="W332" s="203" t="n"/>
      <c r="X332" s="203" t="n"/>
      <c r="Y332" s="203" t="n"/>
      <c r="Z332" s="203" t="n"/>
      <c r="AA332" s="203" t="n"/>
      <c r="AB332" s="203" t="n"/>
      <c r="AC332" s="203" t="n"/>
      <c r="AD332" s="203" t="n"/>
      <c r="AE332" s="203" t="n"/>
      <c r="AF332" s="203" t="n"/>
      <c r="AG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  <c r="S333" s="203" t="n"/>
      <c r="T333" s="203" t="n"/>
      <c r="U333" s="203" t="n"/>
      <c r="V333" s="203" t="n"/>
      <c r="W333" s="203" t="n"/>
      <c r="X333" s="203" t="n"/>
      <c r="Y333" s="203" t="n"/>
      <c r="Z333" s="203" t="n"/>
      <c r="AA333" s="203" t="n"/>
      <c r="AB333" s="203" t="n"/>
      <c r="AC333" s="203" t="n"/>
      <c r="AD333" s="203" t="n"/>
      <c r="AE333" s="203" t="n"/>
      <c r="AF333" s="203" t="n"/>
      <c r="AG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  <c r="S334" s="203" t="n"/>
      <c r="T334" s="203" t="n"/>
      <c r="U334" s="203" t="n"/>
      <c r="V334" s="203" t="n"/>
      <c r="W334" s="203" t="n"/>
      <c r="X334" s="203" t="n"/>
      <c r="Y334" s="203" t="n"/>
      <c r="Z334" s="203" t="n"/>
      <c r="AA334" s="203" t="n"/>
      <c r="AB334" s="203" t="n"/>
      <c r="AC334" s="203" t="n"/>
      <c r="AD334" s="203" t="n"/>
      <c r="AE334" s="203" t="n"/>
      <c r="AF334" s="203" t="n"/>
      <c r="AG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  <c r="S335" s="203" t="n"/>
      <c r="T335" s="203" t="n"/>
      <c r="U335" s="203" t="n"/>
      <c r="V335" s="203" t="n"/>
      <c r="W335" s="203" t="n"/>
      <c r="X335" s="203" t="n"/>
      <c r="Y335" s="203" t="n"/>
      <c r="Z335" s="203" t="n"/>
      <c r="AA335" s="203" t="n"/>
      <c r="AB335" s="203" t="n"/>
      <c r="AC335" s="203" t="n"/>
      <c r="AD335" s="203" t="n"/>
      <c r="AE335" s="203" t="n"/>
      <c r="AF335" s="203" t="n"/>
      <c r="AG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  <c r="S336" s="203" t="n"/>
      <c r="T336" s="203" t="n"/>
      <c r="U336" s="203" t="n"/>
      <c r="V336" s="203" t="n"/>
      <c r="W336" s="203" t="n"/>
      <c r="X336" s="203" t="n"/>
      <c r="Y336" s="203" t="n"/>
      <c r="Z336" s="203" t="n"/>
      <c r="AA336" s="203" t="n"/>
      <c r="AB336" s="203" t="n"/>
      <c r="AC336" s="203" t="n"/>
      <c r="AD336" s="203" t="n"/>
      <c r="AE336" s="203" t="n"/>
      <c r="AF336" s="203" t="n"/>
      <c r="AG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  <c r="S337" s="203" t="n"/>
      <c r="T337" s="203" t="n"/>
      <c r="U337" s="203" t="n"/>
      <c r="V337" s="203" t="n"/>
      <c r="W337" s="203" t="n"/>
      <c r="X337" s="203" t="n"/>
      <c r="Y337" s="203" t="n"/>
      <c r="Z337" s="203" t="n"/>
      <c r="AA337" s="203" t="n"/>
      <c r="AB337" s="203" t="n"/>
      <c r="AC337" s="203" t="n"/>
      <c r="AD337" s="203" t="n"/>
      <c r="AE337" s="203" t="n"/>
      <c r="AF337" s="203" t="n"/>
      <c r="AG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  <c r="S338" s="203" t="n"/>
      <c r="T338" s="203" t="n"/>
      <c r="U338" s="203" t="n"/>
      <c r="V338" s="203" t="n"/>
      <c r="W338" s="203" t="n"/>
      <c r="X338" s="203" t="n"/>
      <c r="Y338" s="203" t="n"/>
      <c r="Z338" s="203" t="n"/>
      <c r="AA338" s="203" t="n"/>
      <c r="AB338" s="203" t="n"/>
      <c r="AC338" s="203" t="n"/>
      <c r="AD338" s="203" t="n"/>
      <c r="AE338" s="203" t="n"/>
      <c r="AF338" s="203" t="n"/>
      <c r="AG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  <c r="S339" s="203" t="n"/>
      <c r="T339" s="203" t="n"/>
      <c r="U339" s="203" t="n"/>
      <c r="V339" s="203" t="n"/>
      <c r="W339" s="203" t="n"/>
      <c r="X339" s="203" t="n"/>
      <c r="Y339" s="203" t="n"/>
      <c r="Z339" s="203" t="n"/>
      <c r="AA339" s="203" t="n"/>
      <c r="AB339" s="203" t="n"/>
      <c r="AC339" s="203" t="n"/>
      <c r="AD339" s="203" t="n"/>
      <c r="AE339" s="203" t="n"/>
      <c r="AF339" s="203" t="n"/>
      <c r="AG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  <c r="S340" s="203" t="n"/>
      <c r="T340" s="203" t="n"/>
      <c r="U340" s="203" t="n"/>
      <c r="V340" s="203" t="n"/>
      <c r="W340" s="203" t="n"/>
      <c r="X340" s="203" t="n"/>
      <c r="Y340" s="203" t="n"/>
      <c r="Z340" s="203" t="n"/>
      <c r="AA340" s="203" t="n"/>
      <c r="AB340" s="203" t="n"/>
      <c r="AC340" s="203" t="n"/>
      <c r="AD340" s="203" t="n"/>
      <c r="AE340" s="203" t="n"/>
      <c r="AF340" s="203" t="n"/>
      <c r="AG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  <c r="S341" s="203" t="n"/>
      <c r="T341" s="203" t="n"/>
      <c r="U341" s="203" t="n"/>
      <c r="V341" s="203" t="n"/>
      <c r="W341" s="203" t="n"/>
      <c r="X341" s="203" t="n"/>
      <c r="Y341" s="203" t="n"/>
      <c r="Z341" s="203" t="n"/>
      <c r="AA341" s="203" t="n"/>
      <c r="AB341" s="203" t="n"/>
      <c r="AC341" s="203" t="n"/>
      <c r="AD341" s="203" t="n"/>
      <c r="AE341" s="203" t="n"/>
      <c r="AF341" s="203" t="n"/>
      <c r="AG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  <c r="S342" s="203" t="n"/>
      <c r="T342" s="203" t="n"/>
      <c r="U342" s="203" t="n"/>
      <c r="V342" s="203" t="n"/>
      <c r="W342" s="203" t="n"/>
      <c r="X342" s="203" t="n"/>
      <c r="Y342" s="203" t="n"/>
      <c r="Z342" s="203" t="n"/>
      <c r="AA342" s="203" t="n"/>
      <c r="AB342" s="203" t="n"/>
      <c r="AC342" s="203" t="n"/>
      <c r="AD342" s="203" t="n"/>
      <c r="AE342" s="203" t="n"/>
      <c r="AF342" s="203" t="n"/>
      <c r="AG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  <c r="S343" s="203" t="n"/>
      <c r="T343" s="203" t="n"/>
      <c r="U343" s="203" t="n"/>
      <c r="V343" s="203" t="n"/>
      <c r="W343" s="203" t="n"/>
      <c r="X343" s="203" t="n"/>
      <c r="Y343" s="203" t="n"/>
      <c r="Z343" s="203" t="n"/>
      <c r="AA343" s="203" t="n"/>
      <c r="AB343" s="203" t="n"/>
      <c r="AC343" s="203" t="n"/>
      <c r="AD343" s="203" t="n"/>
      <c r="AE343" s="203" t="n"/>
      <c r="AF343" s="203" t="n"/>
      <c r="AG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  <c r="S344" s="203" t="n"/>
      <c r="T344" s="203" t="n"/>
      <c r="U344" s="203" t="n"/>
      <c r="V344" s="203" t="n"/>
      <c r="W344" s="203" t="n"/>
      <c r="X344" s="203" t="n"/>
      <c r="Y344" s="203" t="n"/>
      <c r="Z344" s="203" t="n"/>
      <c r="AA344" s="203" t="n"/>
      <c r="AB344" s="203" t="n"/>
      <c r="AC344" s="203" t="n"/>
      <c r="AD344" s="203" t="n"/>
      <c r="AE344" s="203" t="n"/>
      <c r="AF344" s="203" t="n"/>
      <c r="AG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  <c r="S345" s="203" t="n"/>
      <c r="T345" s="203" t="n"/>
      <c r="U345" s="203" t="n"/>
      <c r="V345" s="203" t="n"/>
      <c r="W345" s="203" t="n"/>
      <c r="X345" s="203" t="n"/>
      <c r="Y345" s="203" t="n"/>
      <c r="Z345" s="203" t="n"/>
      <c r="AA345" s="203" t="n"/>
      <c r="AB345" s="203" t="n"/>
      <c r="AC345" s="203" t="n"/>
      <c r="AD345" s="203" t="n"/>
      <c r="AE345" s="203" t="n"/>
      <c r="AF345" s="203" t="n"/>
      <c r="AG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  <c r="S346" s="203" t="n"/>
      <c r="T346" s="203" t="n"/>
      <c r="U346" s="203" t="n"/>
      <c r="V346" s="203" t="n"/>
      <c r="W346" s="203" t="n"/>
      <c r="X346" s="203" t="n"/>
      <c r="Y346" s="203" t="n"/>
      <c r="Z346" s="203" t="n"/>
      <c r="AA346" s="203" t="n"/>
      <c r="AB346" s="203" t="n"/>
      <c r="AC346" s="203" t="n"/>
      <c r="AD346" s="203" t="n"/>
      <c r="AE346" s="203" t="n"/>
      <c r="AF346" s="203" t="n"/>
      <c r="AG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  <c r="S347" s="203" t="n"/>
      <c r="T347" s="203" t="n"/>
      <c r="U347" s="203" t="n"/>
      <c r="V347" s="203" t="n"/>
      <c r="W347" s="203" t="n"/>
      <c r="X347" s="203" t="n"/>
      <c r="Y347" s="203" t="n"/>
      <c r="Z347" s="203" t="n"/>
      <c r="AA347" s="203" t="n"/>
      <c r="AB347" s="203" t="n"/>
      <c r="AC347" s="203" t="n"/>
      <c r="AD347" s="203" t="n"/>
      <c r="AE347" s="203" t="n"/>
      <c r="AF347" s="203" t="n"/>
      <c r="AG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  <c r="S348" s="203" t="n"/>
      <c r="T348" s="203" t="n"/>
      <c r="U348" s="203" t="n"/>
      <c r="V348" s="203" t="n"/>
      <c r="W348" s="203" t="n"/>
      <c r="X348" s="203" t="n"/>
      <c r="Y348" s="203" t="n"/>
      <c r="Z348" s="203" t="n"/>
      <c r="AA348" s="203" t="n"/>
      <c r="AB348" s="203" t="n"/>
      <c r="AC348" s="203" t="n"/>
      <c r="AD348" s="203" t="n"/>
      <c r="AE348" s="203" t="n"/>
      <c r="AF348" s="203" t="n"/>
      <c r="AG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  <c r="S349" s="203" t="n"/>
      <c r="T349" s="203" t="n"/>
      <c r="U349" s="203" t="n"/>
      <c r="V349" s="203" t="n"/>
      <c r="W349" s="203" t="n"/>
      <c r="X349" s="203" t="n"/>
      <c r="Y349" s="203" t="n"/>
      <c r="Z349" s="203" t="n"/>
      <c r="AA349" s="203" t="n"/>
      <c r="AB349" s="203" t="n"/>
      <c r="AC349" s="203" t="n"/>
      <c r="AD349" s="203" t="n"/>
      <c r="AE349" s="203" t="n"/>
      <c r="AF349" s="203" t="n"/>
      <c r="AG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  <c r="S350" s="203" t="n"/>
      <c r="T350" s="203" t="n"/>
      <c r="U350" s="203" t="n"/>
      <c r="V350" s="203" t="n"/>
      <c r="W350" s="203" t="n"/>
      <c r="X350" s="203" t="n"/>
      <c r="Y350" s="203" t="n"/>
      <c r="Z350" s="203" t="n"/>
      <c r="AA350" s="203" t="n"/>
      <c r="AB350" s="203" t="n"/>
      <c r="AC350" s="203" t="n"/>
      <c r="AD350" s="203" t="n"/>
      <c r="AE350" s="203" t="n"/>
      <c r="AF350" s="203" t="n"/>
      <c r="AG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  <c r="S351" s="203" t="n"/>
      <c r="T351" s="203" t="n"/>
      <c r="U351" s="203" t="n"/>
      <c r="V351" s="203" t="n"/>
      <c r="W351" s="203" t="n"/>
      <c r="X351" s="203" t="n"/>
      <c r="Y351" s="203" t="n"/>
      <c r="Z351" s="203" t="n"/>
      <c r="AA351" s="203" t="n"/>
      <c r="AB351" s="203" t="n"/>
      <c r="AC351" s="203" t="n"/>
      <c r="AD351" s="203" t="n"/>
      <c r="AE351" s="203" t="n"/>
      <c r="AF351" s="203" t="n"/>
      <c r="AG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  <c r="S352" s="203" t="n"/>
      <c r="T352" s="203" t="n"/>
      <c r="U352" s="203" t="n"/>
      <c r="V352" s="203" t="n"/>
      <c r="W352" s="203" t="n"/>
      <c r="X352" s="203" t="n"/>
      <c r="Y352" s="203" t="n"/>
      <c r="Z352" s="203" t="n"/>
      <c r="AA352" s="203" t="n"/>
      <c r="AB352" s="203" t="n"/>
      <c r="AC352" s="203" t="n"/>
      <c r="AD352" s="203" t="n"/>
      <c r="AE352" s="203" t="n"/>
      <c r="AF352" s="203" t="n"/>
      <c r="AG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  <c r="S353" s="203" t="n"/>
      <c r="T353" s="203" t="n"/>
      <c r="U353" s="203" t="n"/>
      <c r="V353" s="203" t="n"/>
      <c r="W353" s="203" t="n"/>
      <c r="X353" s="203" t="n"/>
      <c r="Y353" s="203" t="n"/>
      <c r="Z353" s="203" t="n"/>
      <c r="AA353" s="203" t="n"/>
      <c r="AB353" s="203" t="n"/>
      <c r="AC353" s="203" t="n"/>
      <c r="AD353" s="203" t="n"/>
      <c r="AE353" s="203" t="n"/>
      <c r="AF353" s="203" t="n"/>
      <c r="AG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  <c r="S354" s="203" t="n"/>
      <c r="T354" s="203" t="n"/>
      <c r="U354" s="203" t="n"/>
      <c r="V354" s="203" t="n"/>
      <c r="W354" s="203" t="n"/>
      <c r="X354" s="203" t="n"/>
      <c r="Y354" s="203" t="n"/>
      <c r="Z354" s="203" t="n"/>
      <c r="AA354" s="203" t="n"/>
      <c r="AB354" s="203" t="n"/>
      <c r="AC354" s="203" t="n"/>
      <c r="AD354" s="203" t="n"/>
      <c r="AE354" s="203" t="n"/>
      <c r="AF354" s="203" t="n"/>
      <c r="AG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  <c r="S355" s="203" t="n"/>
      <c r="T355" s="203" t="n"/>
      <c r="U355" s="203" t="n"/>
      <c r="V355" s="203" t="n"/>
      <c r="W355" s="203" t="n"/>
      <c r="X355" s="203" t="n"/>
      <c r="Y355" s="203" t="n"/>
      <c r="Z355" s="203" t="n"/>
      <c r="AA355" s="203" t="n"/>
      <c r="AB355" s="203" t="n"/>
      <c r="AC355" s="203" t="n"/>
      <c r="AD355" s="203" t="n"/>
      <c r="AE355" s="203" t="n"/>
      <c r="AF355" s="203" t="n"/>
      <c r="AG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  <c r="S356" s="203" t="n"/>
      <c r="T356" s="203" t="n"/>
      <c r="U356" s="203" t="n"/>
      <c r="V356" s="203" t="n"/>
      <c r="W356" s="203" t="n"/>
      <c r="X356" s="203" t="n"/>
      <c r="Y356" s="203" t="n"/>
      <c r="Z356" s="203" t="n"/>
      <c r="AA356" s="203" t="n"/>
      <c r="AB356" s="203" t="n"/>
      <c r="AC356" s="203" t="n"/>
      <c r="AD356" s="203" t="n"/>
      <c r="AE356" s="203" t="n"/>
      <c r="AF356" s="203" t="n"/>
      <c r="AG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  <c r="S357" s="203" t="n"/>
      <c r="T357" s="203" t="n"/>
      <c r="U357" s="203" t="n"/>
      <c r="V357" s="203" t="n"/>
      <c r="W357" s="203" t="n"/>
      <c r="X357" s="203" t="n"/>
      <c r="Y357" s="203" t="n"/>
      <c r="Z357" s="203" t="n"/>
      <c r="AA357" s="203" t="n"/>
      <c r="AB357" s="203" t="n"/>
      <c r="AC357" s="203" t="n"/>
      <c r="AD357" s="203" t="n"/>
      <c r="AE357" s="203" t="n"/>
      <c r="AF357" s="203" t="n"/>
      <c r="AG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  <c r="S358" s="203" t="n"/>
      <c r="T358" s="203" t="n"/>
      <c r="U358" s="203" t="n"/>
      <c r="V358" s="203" t="n"/>
      <c r="W358" s="203" t="n"/>
      <c r="X358" s="203" t="n"/>
      <c r="Y358" s="203" t="n"/>
      <c r="Z358" s="203" t="n"/>
      <c r="AA358" s="203" t="n"/>
      <c r="AB358" s="203" t="n"/>
      <c r="AC358" s="203" t="n"/>
      <c r="AD358" s="203" t="n"/>
      <c r="AE358" s="203" t="n"/>
      <c r="AF358" s="203" t="n"/>
      <c r="AG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  <c r="S359" s="203" t="n"/>
      <c r="T359" s="203" t="n"/>
      <c r="U359" s="203" t="n"/>
      <c r="V359" s="203" t="n"/>
      <c r="W359" s="203" t="n"/>
      <c r="X359" s="203" t="n"/>
      <c r="Y359" s="203" t="n"/>
      <c r="Z359" s="203" t="n"/>
      <c r="AA359" s="203" t="n"/>
      <c r="AB359" s="203" t="n"/>
      <c r="AC359" s="203" t="n"/>
      <c r="AD359" s="203" t="n"/>
      <c r="AE359" s="203" t="n"/>
      <c r="AF359" s="203" t="n"/>
      <c r="AG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  <c r="S360" s="203" t="n"/>
      <c r="T360" s="203" t="n"/>
      <c r="U360" s="203" t="n"/>
      <c r="V360" s="203" t="n"/>
      <c r="W360" s="203" t="n"/>
      <c r="X360" s="203" t="n"/>
      <c r="Y360" s="203" t="n"/>
      <c r="Z360" s="203" t="n"/>
      <c r="AA360" s="203" t="n"/>
      <c r="AB360" s="203" t="n"/>
      <c r="AC360" s="203" t="n"/>
      <c r="AD360" s="203" t="n"/>
      <c r="AE360" s="203" t="n"/>
      <c r="AF360" s="203" t="n"/>
      <c r="AG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  <c r="S361" s="203" t="n"/>
      <c r="T361" s="203" t="n"/>
      <c r="U361" s="203" t="n"/>
      <c r="V361" s="203" t="n"/>
      <c r="W361" s="203" t="n"/>
      <c r="X361" s="203" t="n"/>
      <c r="Y361" s="203" t="n"/>
      <c r="Z361" s="203" t="n"/>
      <c r="AA361" s="203" t="n"/>
      <c r="AB361" s="203" t="n"/>
      <c r="AC361" s="203" t="n"/>
      <c r="AD361" s="203" t="n"/>
      <c r="AE361" s="203" t="n"/>
      <c r="AF361" s="203" t="n"/>
      <c r="AG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  <c r="S362" s="203" t="n"/>
      <c r="T362" s="203" t="n"/>
      <c r="U362" s="203" t="n"/>
      <c r="V362" s="203" t="n"/>
      <c r="W362" s="203" t="n"/>
      <c r="X362" s="203" t="n"/>
      <c r="Y362" s="203" t="n"/>
      <c r="Z362" s="203" t="n"/>
      <c r="AA362" s="203" t="n"/>
      <c r="AB362" s="203" t="n"/>
      <c r="AC362" s="203" t="n"/>
      <c r="AD362" s="203" t="n"/>
      <c r="AE362" s="203" t="n"/>
      <c r="AF362" s="203" t="n"/>
      <c r="AG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  <c r="S363" s="203" t="n"/>
      <c r="T363" s="203" t="n"/>
      <c r="U363" s="203" t="n"/>
      <c r="V363" s="203" t="n"/>
      <c r="W363" s="203" t="n"/>
      <c r="X363" s="203" t="n"/>
      <c r="Y363" s="203" t="n"/>
      <c r="Z363" s="203" t="n"/>
      <c r="AA363" s="203" t="n"/>
      <c r="AB363" s="203" t="n"/>
      <c r="AC363" s="203" t="n"/>
      <c r="AD363" s="203" t="n"/>
      <c r="AE363" s="203" t="n"/>
      <c r="AF363" s="203" t="n"/>
      <c r="AG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  <c r="S364" s="203" t="n"/>
      <c r="T364" s="203" t="n"/>
      <c r="U364" s="203" t="n"/>
      <c r="V364" s="203" t="n"/>
      <c r="W364" s="203" t="n"/>
      <c r="X364" s="203" t="n"/>
      <c r="Y364" s="203" t="n"/>
      <c r="Z364" s="203" t="n"/>
      <c r="AA364" s="203" t="n"/>
      <c r="AB364" s="203" t="n"/>
      <c r="AC364" s="203" t="n"/>
      <c r="AD364" s="203" t="n"/>
      <c r="AE364" s="203" t="n"/>
      <c r="AF364" s="203" t="n"/>
      <c r="AG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  <c r="S365" s="203" t="n"/>
      <c r="T365" s="203" t="n"/>
      <c r="U365" s="203" t="n"/>
      <c r="V365" s="203" t="n"/>
      <c r="W365" s="203" t="n"/>
      <c r="X365" s="203" t="n"/>
      <c r="Y365" s="203" t="n"/>
      <c r="Z365" s="203" t="n"/>
      <c r="AA365" s="203" t="n"/>
      <c r="AB365" s="203" t="n"/>
      <c r="AC365" s="203" t="n"/>
      <c r="AD365" s="203" t="n"/>
      <c r="AE365" s="203" t="n"/>
      <c r="AF365" s="203" t="n"/>
      <c r="AG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  <c r="S366" s="203" t="n"/>
      <c r="T366" s="203" t="n"/>
      <c r="U366" s="203" t="n"/>
      <c r="V366" s="203" t="n"/>
      <c r="W366" s="203" t="n"/>
      <c r="X366" s="203" t="n"/>
      <c r="Y366" s="203" t="n"/>
      <c r="Z366" s="203" t="n"/>
      <c r="AA366" s="203" t="n"/>
      <c r="AB366" s="203" t="n"/>
      <c r="AC366" s="203" t="n"/>
      <c r="AD366" s="203" t="n"/>
      <c r="AE366" s="203" t="n"/>
      <c r="AF366" s="203" t="n"/>
      <c r="AG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  <c r="S367" s="203" t="n"/>
      <c r="T367" s="203" t="n"/>
      <c r="U367" s="203" t="n"/>
      <c r="V367" s="203" t="n"/>
      <c r="W367" s="203" t="n"/>
      <c r="X367" s="203" t="n"/>
      <c r="Y367" s="203" t="n"/>
      <c r="Z367" s="203" t="n"/>
      <c r="AA367" s="203" t="n"/>
      <c r="AB367" s="203" t="n"/>
      <c r="AC367" s="203" t="n"/>
      <c r="AD367" s="203" t="n"/>
      <c r="AE367" s="203" t="n"/>
      <c r="AF367" s="203" t="n"/>
      <c r="AG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  <c r="S368" s="203" t="n"/>
      <c r="T368" s="203" t="n"/>
      <c r="U368" s="203" t="n"/>
      <c r="V368" s="203" t="n"/>
      <c r="W368" s="203" t="n"/>
      <c r="X368" s="203" t="n"/>
      <c r="Y368" s="203" t="n"/>
      <c r="Z368" s="203" t="n"/>
      <c r="AA368" s="203" t="n"/>
      <c r="AB368" s="203" t="n"/>
      <c r="AC368" s="203" t="n"/>
      <c r="AD368" s="203" t="n"/>
      <c r="AE368" s="203" t="n"/>
      <c r="AF368" s="203" t="n"/>
      <c r="AG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  <c r="S369" s="203" t="n"/>
      <c r="T369" s="203" t="n"/>
      <c r="U369" s="203" t="n"/>
      <c r="V369" s="203" t="n"/>
      <c r="W369" s="203" t="n"/>
      <c r="X369" s="203" t="n"/>
      <c r="Y369" s="203" t="n"/>
      <c r="Z369" s="203" t="n"/>
      <c r="AA369" s="203" t="n"/>
      <c r="AB369" s="203" t="n"/>
      <c r="AC369" s="203" t="n"/>
      <c r="AD369" s="203" t="n"/>
      <c r="AE369" s="203" t="n"/>
      <c r="AF369" s="203" t="n"/>
      <c r="AG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  <c r="S370" s="203" t="n"/>
      <c r="T370" s="203" t="n"/>
      <c r="U370" s="203" t="n"/>
      <c r="V370" s="203" t="n"/>
      <c r="W370" s="203" t="n"/>
      <c r="X370" s="203" t="n"/>
      <c r="Y370" s="203" t="n"/>
      <c r="Z370" s="203" t="n"/>
      <c r="AA370" s="203" t="n"/>
      <c r="AB370" s="203" t="n"/>
      <c r="AC370" s="203" t="n"/>
      <c r="AD370" s="203" t="n"/>
      <c r="AE370" s="203" t="n"/>
      <c r="AF370" s="203" t="n"/>
      <c r="AG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  <c r="S371" s="203" t="n"/>
      <c r="T371" s="203" t="n"/>
      <c r="U371" s="203" t="n"/>
      <c r="V371" s="203" t="n"/>
      <c r="W371" s="203" t="n"/>
      <c r="X371" s="203" t="n"/>
      <c r="Y371" s="203" t="n"/>
      <c r="Z371" s="203" t="n"/>
      <c r="AA371" s="203" t="n"/>
      <c r="AB371" s="203" t="n"/>
      <c r="AC371" s="203" t="n"/>
      <c r="AD371" s="203" t="n"/>
      <c r="AE371" s="203" t="n"/>
      <c r="AF371" s="203" t="n"/>
      <c r="AG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  <c r="S372" s="203" t="n"/>
      <c r="T372" s="203" t="n"/>
      <c r="U372" s="203" t="n"/>
      <c r="V372" s="203" t="n"/>
      <c r="W372" s="203" t="n"/>
      <c r="X372" s="203" t="n"/>
      <c r="Y372" s="203" t="n"/>
      <c r="Z372" s="203" t="n"/>
      <c r="AA372" s="203" t="n"/>
      <c r="AB372" s="203" t="n"/>
      <c r="AC372" s="203" t="n"/>
      <c r="AD372" s="203" t="n"/>
      <c r="AE372" s="203" t="n"/>
      <c r="AF372" s="203" t="n"/>
      <c r="AG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  <c r="S373" s="203" t="n"/>
      <c r="T373" s="203" t="n"/>
      <c r="U373" s="203" t="n"/>
      <c r="V373" s="203" t="n"/>
      <c r="W373" s="203" t="n"/>
      <c r="X373" s="203" t="n"/>
      <c r="Y373" s="203" t="n"/>
      <c r="Z373" s="203" t="n"/>
      <c r="AA373" s="203" t="n"/>
      <c r="AB373" s="203" t="n"/>
      <c r="AC373" s="203" t="n"/>
      <c r="AD373" s="203" t="n"/>
      <c r="AE373" s="203" t="n"/>
      <c r="AF373" s="203" t="n"/>
      <c r="AG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  <c r="S374" s="203" t="n"/>
      <c r="T374" s="203" t="n"/>
      <c r="U374" s="203" t="n"/>
      <c r="V374" s="203" t="n"/>
      <c r="W374" s="203" t="n"/>
      <c r="X374" s="203" t="n"/>
      <c r="Y374" s="203" t="n"/>
      <c r="Z374" s="203" t="n"/>
      <c r="AA374" s="203" t="n"/>
      <c r="AB374" s="203" t="n"/>
      <c r="AC374" s="203" t="n"/>
      <c r="AD374" s="203" t="n"/>
      <c r="AE374" s="203" t="n"/>
      <c r="AF374" s="203" t="n"/>
      <c r="AG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  <c r="S375" s="203" t="n"/>
      <c r="T375" s="203" t="n"/>
      <c r="U375" s="203" t="n"/>
      <c r="V375" s="203" t="n"/>
      <c r="W375" s="203" t="n"/>
      <c r="X375" s="203" t="n"/>
      <c r="Y375" s="203" t="n"/>
      <c r="Z375" s="203" t="n"/>
      <c r="AA375" s="203" t="n"/>
      <c r="AB375" s="203" t="n"/>
      <c r="AC375" s="203" t="n"/>
      <c r="AD375" s="203" t="n"/>
      <c r="AE375" s="203" t="n"/>
      <c r="AF375" s="203" t="n"/>
      <c r="AG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  <c r="S376" s="203" t="n"/>
      <c r="T376" s="203" t="n"/>
      <c r="U376" s="203" t="n"/>
      <c r="V376" s="203" t="n"/>
      <c r="W376" s="203" t="n"/>
      <c r="X376" s="203" t="n"/>
      <c r="Y376" s="203" t="n"/>
      <c r="Z376" s="203" t="n"/>
      <c r="AA376" s="203" t="n"/>
      <c r="AB376" s="203" t="n"/>
      <c r="AC376" s="203" t="n"/>
      <c r="AD376" s="203" t="n"/>
      <c r="AE376" s="203" t="n"/>
      <c r="AF376" s="203" t="n"/>
      <c r="AG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  <c r="S377" s="203" t="n"/>
      <c r="T377" s="203" t="n"/>
      <c r="U377" s="203" t="n"/>
      <c r="V377" s="203" t="n"/>
      <c r="W377" s="203" t="n"/>
      <c r="X377" s="203" t="n"/>
      <c r="Y377" s="203" t="n"/>
      <c r="Z377" s="203" t="n"/>
      <c r="AA377" s="203" t="n"/>
      <c r="AB377" s="203" t="n"/>
      <c r="AC377" s="203" t="n"/>
      <c r="AD377" s="203" t="n"/>
      <c r="AE377" s="203" t="n"/>
      <c r="AF377" s="203" t="n"/>
      <c r="AG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  <c r="S378" s="203" t="n"/>
      <c r="T378" s="203" t="n"/>
      <c r="U378" s="203" t="n"/>
      <c r="V378" s="203" t="n"/>
      <c r="W378" s="203" t="n"/>
      <c r="X378" s="203" t="n"/>
      <c r="Y378" s="203" t="n"/>
      <c r="Z378" s="203" t="n"/>
      <c r="AA378" s="203" t="n"/>
      <c r="AB378" s="203" t="n"/>
      <c r="AC378" s="203" t="n"/>
      <c r="AD378" s="203" t="n"/>
      <c r="AE378" s="203" t="n"/>
      <c r="AF378" s="203" t="n"/>
      <c r="AG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  <c r="S379" s="203" t="n"/>
      <c r="T379" s="203" t="n"/>
      <c r="U379" s="203" t="n"/>
      <c r="V379" s="203" t="n"/>
      <c r="W379" s="203" t="n"/>
      <c r="X379" s="203" t="n"/>
      <c r="Y379" s="203" t="n"/>
      <c r="Z379" s="203" t="n"/>
      <c r="AA379" s="203" t="n"/>
      <c r="AB379" s="203" t="n"/>
      <c r="AC379" s="203" t="n"/>
      <c r="AD379" s="203" t="n"/>
      <c r="AE379" s="203" t="n"/>
      <c r="AF379" s="203" t="n"/>
      <c r="AG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  <c r="S380" s="203" t="n"/>
      <c r="T380" s="203" t="n"/>
      <c r="U380" s="203" t="n"/>
      <c r="V380" s="203" t="n"/>
      <c r="W380" s="203" t="n"/>
      <c r="X380" s="203" t="n"/>
      <c r="Y380" s="203" t="n"/>
      <c r="Z380" s="203" t="n"/>
      <c r="AA380" s="203" t="n"/>
      <c r="AB380" s="203" t="n"/>
      <c r="AC380" s="203" t="n"/>
      <c r="AD380" s="203" t="n"/>
      <c r="AE380" s="203" t="n"/>
      <c r="AF380" s="203" t="n"/>
      <c r="AG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  <c r="S381" s="203" t="n"/>
      <c r="T381" s="203" t="n"/>
      <c r="U381" s="203" t="n"/>
      <c r="V381" s="203" t="n"/>
      <c r="W381" s="203" t="n"/>
      <c r="X381" s="203" t="n"/>
      <c r="Y381" s="203" t="n"/>
      <c r="Z381" s="203" t="n"/>
      <c r="AA381" s="203" t="n"/>
      <c r="AB381" s="203" t="n"/>
      <c r="AC381" s="203" t="n"/>
      <c r="AD381" s="203" t="n"/>
      <c r="AE381" s="203" t="n"/>
      <c r="AF381" s="203" t="n"/>
      <c r="AG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  <c r="S382" s="203" t="n"/>
      <c r="T382" s="203" t="n"/>
      <c r="U382" s="203" t="n"/>
      <c r="V382" s="203" t="n"/>
      <c r="W382" s="203" t="n"/>
      <c r="X382" s="203" t="n"/>
      <c r="Y382" s="203" t="n"/>
      <c r="Z382" s="203" t="n"/>
      <c r="AA382" s="203" t="n"/>
      <c r="AB382" s="203" t="n"/>
      <c r="AC382" s="203" t="n"/>
      <c r="AD382" s="203" t="n"/>
      <c r="AE382" s="203" t="n"/>
      <c r="AF382" s="203" t="n"/>
      <c r="AG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  <c r="S383" s="203" t="n"/>
      <c r="T383" s="203" t="n"/>
      <c r="U383" s="203" t="n"/>
      <c r="V383" s="203" t="n"/>
      <c r="W383" s="203" t="n"/>
      <c r="X383" s="203" t="n"/>
      <c r="Y383" s="203" t="n"/>
      <c r="Z383" s="203" t="n"/>
      <c r="AA383" s="203" t="n"/>
      <c r="AB383" s="203" t="n"/>
      <c r="AC383" s="203" t="n"/>
      <c r="AD383" s="203" t="n"/>
      <c r="AE383" s="203" t="n"/>
      <c r="AF383" s="203" t="n"/>
      <c r="AG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  <c r="S384" s="203" t="n"/>
      <c r="T384" s="203" t="n"/>
      <c r="U384" s="203" t="n"/>
      <c r="V384" s="203" t="n"/>
      <c r="W384" s="203" t="n"/>
      <c r="X384" s="203" t="n"/>
      <c r="Y384" s="203" t="n"/>
      <c r="Z384" s="203" t="n"/>
      <c r="AA384" s="203" t="n"/>
      <c r="AB384" s="203" t="n"/>
      <c r="AC384" s="203" t="n"/>
      <c r="AD384" s="203" t="n"/>
      <c r="AE384" s="203" t="n"/>
      <c r="AF384" s="203" t="n"/>
      <c r="AG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  <c r="S385" s="203" t="n"/>
      <c r="T385" s="203" t="n"/>
      <c r="U385" s="203" t="n"/>
      <c r="V385" s="203" t="n"/>
      <c r="W385" s="203" t="n"/>
      <c r="X385" s="203" t="n"/>
      <c r="Y385" s="203" t="n"/>
      <c r="Z385" s="203" t="n"/>
      <c r="AA385" s="203" t="n"/>
      <c r="AB385" s="203" t="n"/>
      <c r="AC385" s="203" t="n"/>
      <c r="AD385" s="203" t="n"/>
      <c r="AE385" s="203" t="n"/>
      <c r="AF385" s="203" t="n"/>
      <c r="AG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  <c r="S386" s="203" t="n"/>
      <c r="T386" s="203" t="n"/>
      <c r="U386" s="203" t="n"/>
      <c r="V386" s="203" t="n"/>
      <c r="W386" s="203" t="n"/>
      <c r="X386" s="203" t="n"/>
      <c r="Y386" s="203" t="n"/>
      <c r="Z386" s="203" t="n"/>
      <c r="AA386" s="203" t="n"/>
      <c r="AB386" s="203" t="n"/>
      <c r="AC386" s="203" t="n"/>
      <c r="AD386" s="203" t="n"/>
      <c r="AE386" s="203" t="n"/>
      <c r="AF386" s="203" t="n"/>
      <c r="AG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  <c r="S387" s="203" t="n"/>
      <c r="T387" s="203" t="n"/>
      <c r="U387" s="203" t="n"/>
      <c r="V387" s="203" t="n"/>
      <c r="W387" s="203" t="n"/>
      <c r="X387" s="203" t="n"/>
      <c r="Y387" s="203" t="n"/>
      <c r="Z387" s="203" t="n"/>
      <c r="AA387" s="203" t="n"/>
      <c r="AB387" s="203" t="n"/>
      <c r="AC387" s="203" t="n"/>
      <c r="AD387" s="203" t="n"/>
      <c r="AE387" s="203" t="n"/>
      <c r="AF387" s="203" t="n"/>
      <c r="AG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  <c r="S388" s="203" t="n"/>
      <c r="T388" s="203" t="n"/>
      <c r="U388" s="203" t="n"/>
      <c r="V388" s="203" t="n"/>
      <c r="W388" s="203" t="n"/>
      <c r="X388" s="203" t="n"/>
      <c r="Y388" s="203" t="n"/>
      <c r="Z388" s="203" t="n"/>
      <c r="AA388" s="203" t="n"/>
      <c r="AB388" s="203" t="n"/>
      <c r="AC388" s="203" t="n"/>
      <c r="AD388" s="203" t="n"/>
      <c r="AE388" s="203" t="n"/>
      <c r="AF388" s="203" t="n"/>
      <c r="AG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  <c r="S389" s="203" t="n"/>
      <c r="T389" s="203" t="n"/>
      <c r="U389" s="203" t="n"/>
      <c r="V389" s="203" t="n"/>
      <c r="W389" s="203" t="n"/>
      <c r="X389" s="203" t="n"/>
      <c r="Y389" s="203" t="n"/>
      <c r="Z389" s="203" t="n"/>
      <c r="AA389" s="203" t="n"/>
      <c r="AB389" s="203" t="n"/>
      <c r="AC389" s="203" t="n"/>
      <c r="AD389" s="203" t="n"/>
      <c r="AE389" s="203" t="n"/>
      <c r="AF389" s="203" t="n"/>
      <c r="AG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  <c r="S390" s="203" t="n"/>
      <c r="T390" s="203" t="n"/>
      <c r="U390" s="203" t="n"/>
      <c r="V390" s="203" t="n"/>
      <c r="W390" s="203" t="n"/>
      <c r="X390" s="203" t="n"/>
      <c r="Y390" s="203" t="n"/>
      <c r="Z390" s="203" t="n"/>
      <c r="AA390" s="203" t="n"/>
      <c r="AB390" s="203" t="n"/>
      <c r="AC390" s="203" t="n"/>
      <c r="AD390" s="203" t="n"/>
      <c r="AE390" s="203" t="n"/>
      <c r="AF390" s="203" t="n"/>
      <c r="AG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  <c r="S391" s="203" t="n"/>
      <c r="T391" s="203" t="n"/>
      <c r="U391" s="203" t="n"/>
      <c r="V391" s="203" t="n"/>
      <c r="W391" s="203" t="n"/>
      <c r="X391" s="203" t="n"/>
      <c r="Y391" s="203" t="n"/>
      <c r="Z391" s="203" t="n"/>
      <c r="AA391" s="203" t="n"/>
      <c r="AB391" s="203" t="n"/>
      <c r="AC391" s="203" t="n"/>
      <c r="AD391" s="203" t="n"/>
      <c r="AE391" s="203" t="n"/>
      <c r="AF391" s="203" t="n"/>
      <c r="AG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  <c r="S392" s="203" t="n"/>
      <c r="T392" s="203" t="n"/>
      <c r="U392" s="203" t="n"/>
      <c r="V392" s="203" t="n"/>
      <c r="W392" s="203" t="n"/>
      <c r="X392" s="203" t="n"/>
      <c r="Y392" s="203" t="n"/>
      <c r="Z392" s="203" t="n"/>
      <c r="AA392" s="203" t="n"/>
      <c r="AB392" s="203" t="n"/>
      <c r="AC392" s="203" t="n"/>
      <c r="AD392" s="203" t="n"/>
      <c r="AE392" s="203" t="n"/>
      <c r="AF392" s="203" t="n"/>
      <c r="AG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  <c r="S393" s="203" t="n"/>
      <c r="T393" s="203" t="n"/>
      <c r="U393" s="203" t="n"/>
      <c r="V393" s="203" t="n"/>
      <c r="W393" s="203" t="n"/>
      <c r="X393" s="203" t="n"/>
      <c r="Y393" s="203" t="n"/>
      <c r="Z393" s="203" t="n"/>
      <c r="AA393" s="203" t="n"/>
      <c r="AB393" s="203" t="n"/>
      <c r="AC393" s="203" t="n"/>
      <c r="AD393" s="203" t="n"/>
      <c r="AE393" s="203" t="n"/>
      <c r="AF393" s="203" t="n"/>
      <c r="AG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  <c r="S394" s="203" t="n"/>
      <c r="T394" s="203" t="n"/>
      <c r="U394" s="203" t="n"/>
      <c r="V394" s="203" t="n"/>
      <c r="W394" s="203" t="n"/>
      <c r="X394" s="203" t="n"/>
      <c r="Y394" s="203" t="n"/>
      <c r="Z394" s="203" t="n"/>
      <c r="AA394" s="203" t="n"/>
      <c r="AB394" s="203" t="n"/>
      <c r="AC394" s="203" t="n"/>
      <c r="AD394" s="203" t="n"/>
      <c r="AE394" s="203" t="n"/>
      <c r="AF394" s="203" t="n"/>
      <c r="AG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  <c r="S395" s="203" t="n"/>
      <c r="T395" s="203" t="n"/>
      <c r="U395" s="203" t="n"/>
      <c r="V395" s="203" t="n"/>
      <c r="W395" s="203" t="n"/>
      <c r="X395" s="203" t="n"/>
      <c r="Y395" s="203" t="n"/>
      <c r="Z395" s="203" t="n"/>
      <c r="AA395" s="203" t="n"/>
      <c r="AB395" s="203" t="n"/>
      <c r="AC395" s="203" t="n"/>
      <c r="AD395" s="203" t="n"/>
      <c r="AE395" s="203" t="n"/>
      <c r="AF395" s="203" t="n"/>
      <c r="AG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  <c r="S396" s="203" t="n"/>
      <c r="T396" s="203" t="n"/>
      <c r="U396" s="203" t="n"/>
      <c r="V396" s="203" t="n"/>
      <c r="W396" s="203" t="n"/>
      <c r="X396" s="203" t="n"/>
      <c r="Y396" s="203" t="n"/>
      <c r="Z396" s="203" t="n"/>
      <c r="AA396" s="203" t="n"/>
      <c r="AB396" s="203" t="n"/>
      <c r="AC396" s="203" t="n"/>
      <c r="AD396" s="203" t="n"/>
      <c r="AE396" s="203" t="n"/>
      <c r="AF396" s="203" t="n"/>
      <c r="AG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  <c r="S397" s="203" t="n"/>
      <c r="T397" s="203" t="n"/>
      <c r="U397" s="203" t="n"/>
      <c r="V397" s="203" t="n"/>
      <c r="W397" s="203" t="n"/>
      <c r="X397" s="203" t="n"/>
      <c r="Y397" s="203" t="n"/>
      <c r="Z397" s="203" t="n"/>
      <c r="AA397" s="203" t="n"/>
      <c r="AB397" s="203" t="n"/>
      <c r="AC397" s="203" t="n"/>
      <c r="AD397" s="203" t="n"/>
      <c r="AE397" s="203" t="n"/>
      <c r="AF397" s="203" t="n"/>
      <c r="AG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  <c r="S398" s="203" t="n"/>
      <c r="T398" s="203" t="n"/>
      <c r="U398" s="203" t="n"/>
      <c r="V398" s="203" t="n"/>
      <c r="W398" s="203" t="n"/>
      <c r="X398" s="203" t="n"/>
      <c r="Y398" s="203" t="n"/>
      <c r="Z398" s="203" t="n"/>
      <c r="AA398" s="203" t="n"/>
      <c r="AB398" s="203" t="n"/>
      <c r="AC398" s="203" t="n"/>
      <c r="AD398" s="203" t="n"/>
      <c r="AE398" s="203" t="n"/>
      <c r="AF398" s="203" t="n"/>
      <c r="AG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  <c r="S399" s="203" t="n"/>
      <c r="T399" s="203" t="n"/>
      <c r="U399" s="203" t="n"/>
      <c r="V399" s="203" t="n"/>
      <c r="W399" s="203" t="n"/>
      <c r="X399" s="203" t="n"/>
      <c r="Y399" s="203" t="n"/>
      <c r="Z399" s="203" t="n"/>
      <c r="AA399" s="203" t="n"/>
      <c r="AB399" s="203" t="n"/>
      <c r="AC399" s="203" t="n"/>
      <c r="AD399" s="203" t="n"/>
      <c r="AE399" s="203" t="n"/>
      <c r="AF399" s="203" t="n"/>
      <c r="AG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  <c r="S400" s="203" t="n"/>
      <c r="T400" s="203" t="n"/>
      <c r="U400" s="203" t="n"/>
      <c r="V400" s="203" t="n"/>
      <c r="W400" s="203" t="n"/>
      <c r="X400" s="203" t="n"/>
      <c r="Y400" s="203" t="n"/>
      <c r="Z400" s="203" t="n"/>
      <c r="AA400" s="203" t="n"/>
      <c r="AB400" s="203" t="n"/>
      <c r="AC400" s="203" t="n"/>
      <c r="AD400" s="203" t="n"/>
      <c r="AE400" s="203" t="n"/>
      <c r="AF400" s="203" t="n"/>
      <c r="AG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  <c r="S401" s="203" t="n"/>
      <c r="T401" s="203" t="n"/>
      <c r="U401" s="203" t="n"/>
      <c r="V401" s="203" t="n"/>
      <c r="W401" s="203" t="n"/>
      <c r="X401" s="203" t="n"/>
      <c r="Y401" s="203" t="n"/>
      <c r="Z401" s="203" t="n"/>
      <c r="AA401" s="203" t="n"/>
      <c r="AB401" s="203" t="n"/>
      <c r="AC401" s="203" t="n"/>
      <c r="AD401" s="203" t="n"/>
      <c r="AE401" s="203" t="n"/>
      <c r="AF401" s="203" t="n"/>
      <c r="AG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  <c r="S402" s="203" t="n"/>
      <c r="T402" s="203" t="n"/>
      <c r="U402" s="203" t="n"/>
      <c r="V402" s="203" t="n"/>
      <c r="W402" s="203" t="n"/>
      <c r="X402" s="203" t="n"/>
      <c r="Y402" s="203" t="n"/>
      <c r="Z402" s="203" t="n"/>
      <c r="AA402" s="203" t="n"/>
      <c r="AB402" s="203" t="n"/>
      <c r="AC402" s="203" t="n"/>
      <c r="AD402" s="203" t="n"/>
      <c r="AE402" s="203" t="n"/>
      <c r="AF402" s="203" t="n"/>
      <c r="AG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  <c r="S403" s="203" t="n"/>
      <c r="T403" s="203" t="n"/>
      <c r="U403" s="203" t="n"/>
      <c r="V403" s="203" t="n"/>
      <c r="W403" s="203" t="n"/>
      <c r="X403" s="203" t="n"/>
      <c r="Y403" s="203" t="n"/>
      <c r="Z403" s="203" t="n"/>
      <c r="AA403" s="203" t="n"/>
      <c r="AB403" s="203" t="n"/>
      <c r="AC403" s="203" t="n"/>
      <c r="AD403" s="203" t="n"/>
      <c r="AE403" s="203" t="n"/>
      <c r="AF403" s="203" t="n"/>
      <c r="AG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  <c r="S404" s="203" t="n"/>
      <c r="T404" s="203" t="n"/>
      <c r="U404" s="203" t="n"/>
      <c r="V404" s="203" t="n"/>
      <c r="W404" s="203" t="n"/>
      <c r="X404" s="203" t="n"/>
      <c r="Y404" s="203" t="n"/>
      <c r="Z404" s="203" t="n"/>
      <c r="AA404" s="203" t="n"/>
      <c r="AB404" s="203" t="n"/>
      <c r="AC404" s="203" t="n"/>
      <c r="AD404" s="203" t="n"/>
      <c r="AE404" s="203" t="n"/>
      <c r="AF404" s="203" t="n"/>
      <c r="AG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  <c r="S405" s="203" t="n"/>
      <c r="T405" s="203" t="n"/>
      <c r="U405" s="203" t="n"/>
      <c r="V405" s="203" t="n"/>
      <c r="W405" s="203" t="n"/>
      <c r="X405" s="203" t="n"/>
      <c r="Y405" s="203" t="n"/>
      <c r="Z405" s="203" t="n"/>
      <c r="AA405" s="203" t="n"/>
      <c r="AB405" s="203" t="n"/>
      <c r="AC405" s="203" t="n"/>
      <c r="AD405" s="203" t="n"/>
      <c r="AE405" s="203" t="n"/>
      <c r="AF405" s="203" t="n"/>
      <c r="AG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  <c r="S406" s="203" t="n"/>
      <c r="T406" s="203" t="n"/>
      <c r="U406" s="203" t="n"/>
      <c r="V406" s="203" t="n"/>
      <c r="W406" s="203" t="n"/>
      <c r="X406" s="203" t="n"/>
      <c r="Y406" s="203" t="n"/>
      <c r="Z406" s="203" t="n"/>
      <c r="AA406" s="203" t="n"/>
      <c r="AB406" s="203" t="n"/>
      <c r="AC406" s="203" t="n"/>
      <c r="AD406" s="203" t="n"/>
      <c r="AE406" s="203" t="n"/>
      <c r="AF406" s="203" t="n"/>
      <c r="AG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  <c r="S407" s="203" t="n"/>
      <c r="T407" s="203" t="n"/>
      <c r="U407" s="203" t="n"/>
      <c r="V407" s="203" t="n"/>
      <c r="W407" s="203" t="n"/>
      <c r="X407" s="203" t="n"/>
      <c r="Y407" s="203" t="n"/>
      <c r="Z407" s="203" t="n"/>
      <c r="AA407" s="203" t="n"/>
      <c r="AB407" s="203" t="n"/>
      <c r="AC407" s="203" t="n"/>
      <c r="AD407" s="203" t="n"/>
      <c r="AE407" s="203" t="n"/>
      <c r="AF407" s="203" t="n"/>
      <c r="AG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  <c r="S408" s="203" t="n"/>
      <c r="T408" s="203" t="n"/>
      <c r="U408" s="203" t="n"/>
      <c r="V408" s="203" t="n"/>
      <c r="W408" s="203" t="n"/>
      <c r="X408" s="203" t="n"/>
      <c r="Y408" s="203" t="n"/>
      <c r="Z408" s="203" t="n"/>
      <c r="AA408" s="203" t="n"/>
      <c r="AB408" s="203" t="n"/>
      <c r="AC408" s="203" t="n"/>
      <c r="AD408" s="203" t="n"/>
      <c r="AE408" s="203" t="n"/>
      <c r="AF408" s="203" t="n"/>
      <c r="AG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  <c r="S409" s="203" t="n"/>
      <c r="T409" s="203" t="n"/>
      <c r="U409" s="203" t="n"/>
      <c r="V409" s="203" t="n"/>
      <c r="W409" s="203" t="n"/>
      <c r="X409" s="203" t="n"/>
      <c r="Y409" s="203" t="n"/>
      <c r="Z409" s="203" t="n"/>
      <c r="AA409" s="203" t="n"/>
      <c r="AB409" s="203" t="n"/>
      <c r="AC409" s="203" t="n"/>
      <c r="AD409" s="203" t="n"/>
      <c r="AE409" s="203" t="n"/>
      <c r="AF409" s="203" t="n"/>
      <c r="AG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  <c r="S410" s="203" t="n"/>
      <c r="T410" s="203" t="n"/>
      <c r="U410" s="203" t="n"/>
      <c r="V410" s="203" t="n"/>
      <c r="W410" s="203" t="n"/>
      <c r="X410" s="203" t="n"/>
      <c r="Y410" s="203" t="n"/>
      <c r="Z410" s="203" t="n"/>
      <c r="AA410" s="203" t="n"/>
      <c r="AB410" s="203" t="n"/>
      <c r="AC410" s="203" t="n"/>
      <c r="AD410" s="203" t="n"/>
      <c r="AE410" s="203" t="n"/>
      <c r="AF410" s="203" t="n"/>
      <c r="AG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  <c r="S411" s="203" t="n"/>
      <c r="T411" s="203" t="n"/>
      <c r="U411" s="203" t="n"/>
      <c r="V411" s="203" t="n"/>
      <c r="W411" s="203" t="n"/>
      <c r="X411" s="203" t="n"/>
      <c r="Y411" s="203" t="n"/>
      <c r="Z411" s="203" t="n"/>
      <c r="AA411" s="203" t="n"/>
      <c r="AB411" s="203" t="n"/>
      <c r="AC411" s="203" t="n"/>
      <c r="AD411" s="203" t="n"/>
      <c r="AE411" s="203" t="n"/>
      <c r="AF411" s="203" t="n"/>
      <c r="AG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  <c r="S412" s="203" t="n"/>
      <c r="T412" s="203" t="n"/>
      <c r="U412" s="203" t="n"/>
      <c r="V412" s="203" t="n"/>
      <c r="W412" s="203" t="n"/>
      <c r="X412" s="203" t="n"/>
      <c r="Y412" s="203" t="n"/>
      <c r="Z412" s="203" t="n"/>
      <c r="AA412" s="203" t="n"/>
      <c r="AB412" s="203" t="n"/>
      <c r="AC412" s="203" t="n"/>
      <c r="AD412" s="203" t="n"/>
      <c r="AE412" s="203" t="n"/>
      <c r="AF412" s="203" t="n"/>
      <c r="AG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  <c r="S413" s="203" t="n"/>
      <c r="T413" s="203" t="n"/>
      <c r="U413" s="203" t="n"/>
      <c r="V413" s="203" t="n"/>
      <c r="W413" s="203" t="n"/>
      <c r="X413" s="203" t="n"/>
      <c r="Y413" s="203" t="n"/>
      <c r="Z413" s="203" t="n"/>
      <c r="AA413" s="203" t="n"/>
      <c r="AB413" s="203" t="n"/>
      <c r="AC413" s="203" t="n"/>
      <c r="AD413" s="203" t="n"/>
      <c r="AE413" s="203" t="n"/>
      <c r="AF413" s="203" t="n"/>
      <c r="AG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  <c r="S414" s="203" t="n"/>
      <c r="T414" s="203" t="n"/>
      <c r="U414" s="203" t="n"/>
      <c r="V414" s="203" t="n"/>
      <c r="W414" s="203" t="n"/>
      <c r="X414" s="203" t="n"/>
      <c r="Y414" s="203" t="n"/>
      <c r="Z414" s="203" t="n"/>
      <c r="AA414" s="203" t="n"/>
      <c r="AB414" s="203" t="n"/>
      <c r="AC414" s="203" t="n"/>
      <c r="AD414" s="203" t="n"/>
      <c r="AE414" s="203" t="n"/>
      <c r="AF414" s="203" t="n"/>
      <c r="AG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  <c r="S415" s="203" t="n"/>
      <c r="T415" s="203" t="n"/>
      <c r="U415" s="203" t="n"/>
      <c r="V415" s="203" t="n"/>
      <c r="W415" s="203" t="n"/>
      <c r="X415" s="203" t="n"/>
      <c r="Y415" s="203" t="n"/>
      <c r="Z415" s="203" t="n"/>
      <c r="AA415" s="203" t="n"/>
      <c r="AB415" s="203" t="n"/>
      <c r="AC415" s="203" t="n"/>
      <c r="AD415" s="203" t="n"/>
      <c r="AE415" s="203" t="n"/>
      <c r="AF415" s="203" t="n"/>
      <c r="AG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  <c r="S416" s="203" t="n"/>
      <c r="T416" s="203" t="n"/>
      <c r="U416" s="203" t="n"/>
      <c r="V416" s="203" t="n"/>
      <c r="W416" s="203" t="n"/>
      <c r="X416" s="203" t="n"/>
      <c r="Y416" s="203" t="n"/>
      <c r="Z416" s="203" t="n"/>
      <c r="AA416" s="203" t="n"/>
      <c r="AB416" s="203" t="n"/>
      <c r="AC416" s="203" t="n"/>
      <c r="AD416" s="203" t="n"/>
      <c r="AE416" s="203" t="n"/>
      <c r="AF416" s="203" t="n"/>
      <c r="AG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  <c r="S417" s="203" t="n"/>
      <c r="T417" s="203" t="n"/>
      <c r="U417" s="203" t="n"/>
      <c r="V417" s="203" t="n"/>
      <c r="W417" s="203" t="n"/>
      <c r="X417" s="203" t="n"/>
      <c r="Y417" s="203" t="n"/>
      <c r="Z417" s="203" t="n"/>
      <c r="AA417" s="203" t="n"/>
      <c r="AB417" s="203" t="n"/>
      <c r="AC417" s="203" t="n"/>
      <c r="AD417" s="203" t="n"/>
      <c r="AE417" s="203" t="n"/>
      <c r="AF417" s="203" t="n"/>
      <c r="AG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  <c r="S418" s="203" t="n"/>
      <c r="T418" s="203" t="n"/>
      <c r="U418" s="203" t="n"/>
      <c r="V418" s="203" t="n"/>
      <c r="W418" s="203" t="n"/>
      <c r="X418" s="203" t="n"/>
      <c r="Y418" s="203" t="n"/>
      <c r="Z418" s="203" t="n"/>
      <c r="AA418" s="203" t="n"/>
      <c r="AB418" s="203" t="n"/>
      <c r="AC418" s="203" t="n"/>
      <c r="AD418" s="203" t="n"/>
      <c r="AE418" s="203" t="n"/>
      <c r="AF418" s="203" t="n"/>
      <c r="AG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  <c r="S419" s="203" t="n"/>
      <c r="T419" s="203" t="n"/>
      <c r="U419" s="203" t="n"/>
      <c r="V419" s="203" t="n"/>
      <c r="W419" s="203" t="n"/>
      <c r="X419" s="203" t="n"/>
      <c r="Y419" s="203" t="n"/>
      <c r="Z419" s="203" t="n"/>
      <c r="AA419" s="203" t="n"/>
      <c r="AB419" s="203" t="n"/>
      <c r="AC419" s="203" t="n"/>
      <c r="AD419" s="203" t="n"/>
      <c r="AE419" s="203" t="n"/>
      <c r="AF419" s="203" t="n"/>
      <c r="AG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  <c r="S420" s="203" t="n"/>
      <c r="T420" s="203" t="n"/>
      <c r="U420" s="203" t="n"/>
      <c r="V420" s="203" t="n"/>
      <c r="W420" s="203" t="n"/>
      <c r="X420" s="203" t="n"/>
      <c r="Y420" s="203" t="n"/>
      <c r="Z420" s="203" t="n"/>
      <c r="AA420" s="203" t="n"/>
      <c r="AB420" s="203" t="n"/>
      <c r="AC420" s="203" t="n"/>
      <c r="AD420" s="203" t="n"/>
      <c r="AE420" s="203" t="n"/>
      <c r="AF420" s="203" t="n"/>
      <c r="AG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  <c r="S421" s="203" t="n"/>
      <c r="T421" s="203" t="n"/>
      <c r="U421" s="203" t="n"/>
      <c r="V421" s="203" t="n"/>
      <c r="W421" s="203" t="n"/>
      <c r="X421" s="203" t="n"/>
      <c r="Y421" s="203" t="n"/>
      <c r="Z421" s="203" t="n"/>
      <c r="AA421" s="203" t="n"/>
      <c r="AB421" s="203" t="n"/>
      <c r="AC421" s="203" t="n"/>
      <c r="AD421" s="203" t="n"/>
      <c r="AE421" s="203" t="n"/>
      <c r="AF421" s="203" t="n"/>
      <c r="AG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  <c r="S422" s="203" t="n"/>
      <c r="T422" s="203" t="n"/>
      <c r="U422" s="203" t="n"/>
      <c r="V422" s="203" t="n"/>
      <c r="W422" s="203" t="n"/>
      <c r="X422" s="203" t="n"/>
      <c r="Y422" s="203" t="n"/>
      <c r="Z422" s="203" t="n"/>
      <c r="AA422" s="203" t="n"/>
      <c r="AB422" s="203" t="n"/>
      <c r="AC422" s="203" t="n"/>
      <c r="AD422" s="203" t="n"/>
      <c r="AE422" s="203" t="n"/>
      <c r="AF422" s="203" t="n"/>
      <c r="AG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  <c r="S423" s="203" t="n"/>
      <c r="T423" s="203" t="n"/>
      <c r="U423" s="203" t="n"/>
      <c r="V423" s="203" t="n"/>
      <c r="W423" s="203" t="n"/>
      <c r="X423" s="203" t="n"/>
      <c r="Y423" s="203" t="n"/>
      <c r="Z423" s="203" t="n"/>
      <c r="AA423" s="203" t="n"/>
      <c r="AB423" s="203" t="n"/>
      <c r="AC423" s="203" t="n"/>
      <c r="AD423" s="203" t="n"/>
      <c r="AE423" s="203" t="n"/>
      <c r="AF423" s="203" t="n"/>
      <c r="AG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  <c r="S424" s="203" t="n"/>
      <c r="T424" s="203" t="n"/>
      <c r="U424" s="203" t="n"/>
      <c r="V424" s="203" t="n"/>
      <c r="W424" s="203" t="n"/>
      <c r="X424" s="203" t="n"/>
      <c r="Y424" s="203" t="n"/>
      <c r="Z424" s="203" t="n"/>
      <c r="AA424" s="203" t="n"/>
      <c r="AB424" s="203" t="n"/>
      <c r="AC424" s="203" t="n"/>
      <c r="AD424" s="203" t="n"/>
      <c r="AE424" s="203" t="n"/>
      <c r="AF424" s="203" t="n"/>
      <c r="AG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  <c r="S425" s="203" t="n"/>
      <c r="T425" s="203" t="n"/>
      <c r="U425" s="203" t="n"/>
      <c r="V425" s="203" t="n"/>
      <c r="W425" s="203" t="n"/>
      <c r="X425" s="203" t="n"/>
      <c r="Y425" s="203" t="n"/>
      <c r="Z425" s="203" t="n"/>
      <c r="AA425" s="203" t="n"/>
      <c r="AB425" s="203" t="n"/>
      <c r="AC425" s="203" t="n"/>
      <c r="AD425" s="203" t="n"/>
      <c r="AE425" s="203" t="n"/>
      <c r="AF425" s="203" t="n"/>
      <c r="AG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  <c r="S426" s="203" t="n"/>
      <c r="T426" s="203" t="n"/>
      <c r="U426" s="203" t="n"/>
      <c r="V426" s="203" t="n"/>
      <c r="W426" s="203" t="n"/>
      <c r="X426" s="203" t="n"/>
      <c r="Y426" s="203" t="n"/>
      <c r="Z426" s="203" t="n"/>
      <c r="AA426" s="203" t="n"/>
      <c r="AB426" s="203" t="n"/>
      <c r="AC426" s="203" t="n"/>
      <c r="AD426" s="203" t="n"/>
      <c r="AE426" s="203" t="n"/>
      <c r="AF426" s="203" t="n"/>
      <c r="AG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  <c r="S427" s="203" t="n"/>
      <c r="T427" s="203" t="n"/>
      <c r="U427" s="203" t="n"/>
      <c r="V427" s="203" t="n"/>
      <c r="W427" s="203" t="n"/>
      <c r="X427" s="203" t="n"/>
      <c r="Y427" s="203" t="n"/>
      <c r="Z427" s="203" t="n"/>
      <c r="AA427" s="203" t="n"/>
      <c r="AB427" s="203" t="n"/>
      <c r="AC427" s="203" t="n"/>
      <c r="AD427" s="203" t="n"/>
      <c r="AE427" s="203" t="n"/>
      <c r="AF427" s="203" t="n"/>
      <c r="AG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  <c r="S428" s="203" t="n"/>
      <c r="T428" s="203" t="n"/>
      <c r="U428" s="203" t="n"/>
      <c r="V428" s="203" t="n"/>
      <c r="W428" s="203" t="n"/>
      <c r="X428" s="203" t="n"/>
      <c r="Y428" s="203" t="n"/>
      <c r="Z428" s="203" t="n"/>
      <c r="AA428" s="203" t="n"/>
      <c r="AB428" s="203" t="n"/>
      <c r="AC428" s="203" t="n"/>
      <c r="AD428" s="203" t="n"/>
      <c r="AE428" s="203" t="n"/>
      <c r="AF428" s="203" t="n"/>
      <c r="AG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  <c r="S429" s="203" t="n"/>
      <c r="T429" s="203" t="n"/>
      <c r="U429" s="203" t="n"/>
      <c r="V429" s="203" t="n"/>
      <c r="W429" s="203" t="n"/>
      <c r="X429" s="203" t="n"/>
      <c r="Y429" s="203" t="n"/>
      <c r="Z429" s="203" t="n"/>
      <c r="AA429" s="203" t="n"/>
      <c r="AB429" s="203" t="n"/>
      <c r="AC429" s="203" t="n"/>
      <c r="AD429" s="203" t="n"/>
      <c r="AE429" s="203" t="n"/>
      <c r="AF429" s="203" t="n"/>
      <c r="AG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  <c r="S430" s="203" t="n"/>
      <c r="T430" s="203" t="n"/>
      <c r="U430" s="203" t="n"/>
      <c r="V430" s="203" t="n"/>
      <c r="W430" s="203" t="n"/>
      <c r="X430" s="203" t="n"/>
      <c r="Y430" s="203" t="n"/>
      <c r="Z430" s="203" t="n"/>
      <c r="AA430" s="203" t="n"/>
      <c r="AB430" s="203" t="n"/>
      <c r="AC430" s="203" t="n"/>
      <c r="AD430" s="203" t="n"/>
      <c r="AE430" s="203" t="n"/>
      <c r="AF430" s="203" t="n"/>
      <c r="AG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  <c r="S431" s="203" t="n"/>
      <c r="T431" s="203" t="n"/>
      <c r="U431" s="203" t="n"/>
      <c r="V431" s="203" t="n"/>
      <c r="W431" s="203" t="n"/>
      <c r="X431" s="203" t="n"/>
      <c r="Y431" s="203" t="n"/>
      <c r="Z431" s="203" t="n"/>
      <c r="AA431" s="203" t="n"/>
      <c r="AB431" s="203" t="n"/>
      <c r="AC431" s="203" t="n"/>
      <c r="AD431" s="203" t="n"/>
      <c r="AE431" s="203" t="n"/>
      <c r="AF431" s="203" t="n"/>
      <c r="AG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  <c r="S432" s="203" t="n"/>
      <c r="T432" s="203" t="n"/>
      <c r="U432" s="203" t="n"/>
      <c r="V432" s="203" t="n"/>
      <c r="W432" s="203" t="n"/>
      <c r="X432" s="203" t="n"/>
      <c r="Y432" s="203" t="n"/>
      <c r="Z432" s="203" t="n"/>
      <c r="AA432" s="203" t="n"/>
      <c r="AB432" s="203" t="n"/>
      <c r="AC432" s="203" t="n"/>
      <c r="AD432" s="203" t="n"/>
      <c r="AE432" s="203" t="n"/>
      <c r="AF432" s="203" t="n"/>
      <c r="AG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  <c r="S433" s="203" t="n"/>
      <c r="T433" s="203" t="n"/>
      <c r="U433" s="203" t="n"/>
      <c r="V433" s="203" t="n"/>
      <c r="W433" s="203" t="n"/>
      <c r="X433" s="203" t="n"/>
      <c r="Y433" s="203" t="n"/>
      <c r="Z433" s="203" t="n"/>
      <c r="AA433" s="203" t="n"/>
      <c r="AB433" s="203" t="n"/>
      <c r="AC433" s="203" t="n"/>
      <c r="AD433" s="203" t="n"/>
      <c r="AE433" s="203" t="n"/>
      <c r="AF433" s="203" t="n"/>
      <c r="AG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  <c r="S434" s="203" t="n"/>
      <c r="T434" s="203" t="n"/>
      <c r="U434" s="203" t="n"/>
      <c r="V434" s="203" t="n"/>
      <c r="W434" s="203" t="n"/>
      <c r="X434" s="203" t="n"/>
      <c r="Y434" s="203" t="n"/>
      <c r="Z434" s="203" t="n"/>
      <c r="AA434" s="203" t="n"/>
      <c r="AB434" s="203" t="n"/>
      <c r="AC434" s="203" t="n"/>
      <c r="AD434" s="203" t="n"/>
      <c r="AE434" s="203" t="n"/>
      <c r="AF434" s="203" t="n"/>
      <c r="AG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  <c r="S435" s="203" t="n"/>
      <c r="T435" s="203" t="n"/>
      <c r="U435" s="203" t="n"/>
      <c r="V435" s="203" t="n"/>
      <c r="W435" s="203" t="n"/>
      <c r="X435" s="203" t="n"/>
      <c r="Y435" s="203" t="n"/>
      <c r="Z435" s="203" t="n"/>
      <c r="AA435" s="203" t="n"/>
      <c r="AB435" s="203" t="n"/>
      <c r="AC435" s="203" t="n"/>
      <c r="AD435" s="203" t="n"/>
      <c r="AE435" s="203" t="n"/>
      <c r="AF435" s="203" t="n"/>
      <c r="AG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  <c r="S436" s="203" t="n"/>
      <c r="T436" s="203" t="n"/>
      <c r="U436" s="203" t="n"/>
      <c r="V436" s="203" t="n"/>
      <c r="W436" s="203" t="n"/>
      <c r="X436" s="203" t="n"/>
      <c r="Y436" s="203" t="n"/>
      <c r="Z436" s="203" t="n"/>
      <c r="AA436" s="203" t="n"/>
      <c r="AB436" s="203" t="n"/>
      <c r="AC436" s="203" t="n"/>
      <c r="AD436" s="203" t="n"/>
      <c r="AE436" s="203" t="n"/>
      <c r="AF436" s="203" t="n"/>
      <c r="AG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  <c r="S437" s="203" t="n"/>
      <c r="T437" s="203" t="n"/>
      <c r="U437" s="203" t="n"/>
      <c r="V437" s="203" t="n"/>
      <c r="W437" s="203" t="n"/>
      <c r="X437" s="203" t="n"/>
      <c r="Y437" s="203" t="n"/>
      <c r="Z437" s="203" t="n"/>
      <c r="AA437" s="203" t="n"/>
      <c r="AB437" s="203" t="n"/>
      <c r="AC437" s="203" t="n"/>
      <c r="AD437" s="203" t="n"/>
      <c r="AE437" s="203" t="n"/>
      <c r="AF437" s="203" t="n"/>
      <c r="AG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  <c r="S438" s="203" t="n"/>
      <c r="T438" s="203" t="n"/>
      <c r="U438" s="203" t="n"/>
      <c r="V438" s="203" t="n"/>
      <c r="W438" s="203" t="n"/>
      <c r="X438" s="203" t="n"/>
      <c r="Y438" s="203" t="n"/>
      <c r="Z438" s="203" t="n"/>
      <c r="AA438" s="203" t="n"/>
      <c r="AB438" s="203" t="n"/>
      <c r="AC438" s="203" t="n"/>
      <c r="AD438" s="203" t="n"/>
      <c r="AE438" s="203" t="n"/>
      <c r="AF438" s="203" t="n"/>
      <c r="AG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  <c r="S439" s="203" t="n"/>
      <c r="T439" s="203" t="n"/>
      <c r="U439" s="203" t="n"/>
      <c r="V439" s="203" t="n"/>
      <c r="W439" s="203" t="n"/>
      <c r="X439" s="203" t="n"/>
      <c r="Y439" s="203" t="n"/>
      <c r="Z439" s="203" t="n"/>
      <c r="AA439" s="203" t="n"/>
      <c r="AB439" s="203" t="n"/>
      <c r="AC439" s="203" t="n"/>
      <c r="AD439" s="203" t="n"/>
      <c r="AE439" s="203" t="n"/>
      <c r="AF439" s="203" t="n"/>
      <c r="AG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  <c r="S440" s="203" t="n"/>
      <c r="T440" s="203" t="n"/>
      <c r="U440" s="203" t="n"/>
      <c r="V440" s="203" t="n"/>
      <c r="W440" s="203" t="n"/>
      <c r="X440" s="203" t="n"/>
      <c r="Y440" s="203" t="n"/>
      <c r="Z440" s="203" t="n"/>
      <c r="AA440" s="203" t="n"/>
      <c r="AB440" s="203" t="n"/>
      <c r="AC440" s="203" t="n"/>
      <c r="AD440" s="203" t="n"/>
      <c r="AE440" s="203" t="n"/>
      <c r="AF440" s="203" t="n"/>
      <c r="AG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  <c r="S441" s="203" t="n"/>
      <c r="T441" s="203" t="n"/>
      <c r="U441" s="203" t="n"/>
      <c r="V441" s="203" t="n"/>
      <c r="W441" s="203" t="n"/>
      <c r="X441" s="203" t="n"/>
      <c r="Y441" s="203" t="n"/>
      <c r="Z441" s="203" t="n"/>
      <c r="AA441" s="203" t="n"/>
      <c r="AB441" s="203" t="n"/>
      <c r="AC441" s="203" t="n"/>
      <c r="AD441" s="203" t="n"/>
      <c r="AE441" s="203" t="n"/>
      <c r="AF441" s="203" t="n"/>
      <c r="AG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  <c r="S442" s="203" t="n"/>
      <c r="T442" s="203" t="n"/>
      <c r="U442" s="203" t="n"/>
      <c r="V442" s="203" t="n"/>
      <c r="W442" s="203" t="n"/>
      <c r="X442" s="203" t="n"/>
      <c r="Y442" s="203" t="n"/>
      <c r="Z442" s="203" t="n"/>
      <c r="AA442" s="203" t="n"/>
      <c r="AB442" s="203" t="n"/>
      <c r="AC442" s="203" t="n"/>
      <c r="AD442" s="203" t="n"/>
      <c r="AE442" s="203" t="n"/>
      <c r="AF442" s="203" t="n"/>
      <c r="AG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  <c r="S443" s="203" t="n"/>
      <c r="T443" s="203" t="n"/>
      <c r="U443" s="203" t="n"/>
      <c r="V443" s="203" t="n"/>
      <c r="W443" s="203" t="n"/>
      <c r="X443" s="203" t="n"/>
      <c r="Y443" s="203" t="n"/>
      <c r="Z443" s="203" t="n"/>
      <c r="AA443" s="203" t="n"/>
      <c r="AB443" s="203" t="n"/>
      <c r="AC443" s="203" t="n"/>
      <c r="AD443" s="203" t="n"/>
      <c r="AE443" s="203" t="n"/>
      <c r="AF443" s="203" t="n"/>
      <c r="AG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  <c r="S444" s="203" t="n"/>
      <c r="T444" s="203" t="n"/>
      <c r="U444" s="203" t="n"/>
      <c r="V444" s="203" t="n"/>
      <c r="W444" s="203" t="n"/>
      <c r="X444" s="203" t="n"/>
      <c r="Y444" s="203" t="n"/>
      <c r="Z444" s="203" t="n"/>
      <c r="AA444" s="203" t="n"/>
      <c r="AB444" s="203" t="n"/>
      <c r="AC444" s="203" t="n"/>
      <c r="AD444" s="203" t="n"/>
      <c r="AE444" s="203" t="n"/>
      <c r="AF444" s="203" t="n"/>
      <c r="AG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  <c r="S445" s="203" t="n"/>
      <c r="T445" s="203" t="n"/>
      <c r="U445" s="203" t="n"/>
      <c r="V445" s="203" t="n"/>
      <c r="W445" s="203" t="n"/>
      <c r="X445" s="203" t="n"/>
      <c r="Y445" s="203" t="n"/>
      <c r="Z445" s="203" t="n"/>
      <c r="AA445" s="203" t="n"/>
      <c r="AB445" s="203" t="n"/>
      <c r="AC445" s="203" t="n"/>
      <c r="AD445" s="203" t="n"/>
      <c r="AE445" s="203" t="n"/>
      <c r="AF445" s="203" t="n"/>
      <c r="AG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  <c r="S446" s="203" t="n"/>
      <c r="T446" s="203" t="n"/>
      <c r="U446" s="203" t="n"/>
      <c r="V446" s="203" t="n"/>
      <c r="W446" s="203" t="n"/>
      <c r="X446" s="203" t="n"/>
      <c r="Y446" s="203" t="n"/>
      <c r="Z446" s="203" t="n"/>
      <c r="AA446" s="203" t="n"/>
      <c r="AB446" s="203" t="n"/>
      <c r="AC446" s="203" t="n"/>
      <c r="AD446" s="203" t="n"/>
      <c r="AE446" s="203" t="n"/>
      <c r="AF446" s="203" t="n"/>
      <c r="AG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  <c r="S447" s="203" t="n"/>
      <c r="T447" s="203" t="n"/>
      <c r="U447" s="203" t="n"/>
      <c r="V447" s="203" t="n"/>
      <c r="W447" s="203" t="n"/>
      <c r="X447" s="203" t="n"/>
      <c r="Y447" s="203" t="n"/>
      <c r="Z447" s="203" t="n"/>
      <c r="AA447" s="203" t="n"/>
      <c r="AB447" s="203" t="n"/>
      <c r="AC447" s="203" t="n"/>
      <c r="AD447" s="203" t="n"/>
      <c r="AE447" s="203" t="n"/>
      <c r="AF447" s="203" t="n"/>
      <c r="AG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  <c r="S448" s="203" t="n"/>
      <c r="T448" s="203" t="n"/>
      <c r="U448" s="203" t="n"/>
      <c r="V448" s="203" t="n"/>
      <c r="W448" s="203" t="n"/>
      <c r="X448" s="203" t="n"/>
      <c r="Y448" s="203" t="n"/>
      <c r="Z448" s="203" t="n"/>
      <c r="AA448" s="203" t="n"/>
      <c r="AB448" s="203" t="n"/>
      <c r="AC448" s="203" t="n"/>
      <c r="AD448" s="203" t="n"/>
      <c r="AE448" s="203" t="n"/>
      <c r="AF448" s="203" t="n"/>
      <c r="AG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  <c r="S449" s="203" t="n"/>
      <c r="T449" s="203" t="n"/>
      <c r="U449" s="203" t="n"/>
      <c r="V449" s="203" t="n"/>
      <c r="W449" s="203" t="n"/>
      <c r="X449" s="203" t="n"/>
      <c r="Y449" s="203" t="n"/>
      <c r="Z449" s="203" t="n"/>
      <c r="AA449" s="203" t="n"/>
      <c r="AB449" s="203" t="n"/>
      <c r="AC449" s="203" t="n"/>
      <c r="AD449" s="203" t="n"/>
      <c r="AE449" s="203" t="n"/>
      <c r="AF449" s="203" t="n"/>
      <c r="AG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  <c r="S450" s="203" t="n"/>
      <c r="T450" s="203" t="n"/>
      <c r="U450" s="203" t="n"/>
      <c r="V450" s="203" t="n"/>
      <c r="W450" s="203" t="n"/>
      <c r="X450" s="203" t="n"/>
      <c r="Y450" s="203" t="n"/>
      <c r="Z450" s="203" t="n"/>
      <c r="AA450" s="203" t="n"/>
      <c r="AB450" s="203" t="n"/>
      <c r="AC450" s="203" t="n"/>
      <c r="AD450" s="203" t="n"/>
      <c r="AE450" s="203" t="n"/>
      <c r="AF450" s="203" t="n"/>
      <c r="AG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  <c r="S451" s="203" t="n"/>
      <c r="T451" s="203" t="n"/>
      <c r="U451" s="203" t="n"/>
      <c r="V451" s="203" t="n"/>
      <c r="W451" s="203" t="n"/>
      <c r="X451" s="203" t="n"/>
      <c r="Y451" s="203" t="n"/>
      <c r="Z451" s="203" t="n"/>
      <c r="AA451" s="203" t="n"/>
      <c r="AB451" s="203" t="n"/>
      <c r="AC451" s="203" t="n"/>
      <c r="AD451" s="203" t="n"/>
      <c r="AE451" s="203" t="n"/>
      <c r="AF451" s="203" t="n"/>
      <c r="AG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  <c r="S452" s="203" t="n"/>
      <c r="T452" s="203" t="n"/>
      <c r="U452" s="203" t="n"/>
      <c r="V452" s="203" t="n"/>
      <c r="W452" s="203" t="n"/>
      <c r="X452" s="203" t="n"/>
      <c r="Y452" s="203" t="n"/>
      <c r="Z452" s="203" t="n"/>
      <c r="AA452" s="203" t="n"/>
      <c r="AB452" s="203" t="n"/>
      <c r="AC452" s="203" t="n"/>
      <c r="AD452" s="203" t="n"/>
      <c r="AE452" s="203" t="n"/>
      <c r="AF452" s="203" t="n"/>
      <c r="AG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  <c r="S453" s="203" t="n"/>
      <c r="T453" s="203" t="n"/>
      <c r="U453" s="203" t="n"/>
      <c r="V453" s="203" t="n"/>
      <c r="W453" s="203" t="n"/>
      <c r="X453" s="203" t="n"/>
      <c r="Y453" s="203" t="n"/>
      <c r="Z453" s="203" t="n"/>
      <c r="AA453" s="203" t="n"/>
      <c r="AB453" s="203" t="n"/>
      <c r="AC453" s="203" t="n"/>
      <c r="AD453" s="203" t="n"/>
      <c r="AE453" s="203" t="n"/>
      <c r="AF453" s="203" t="n"/>
      <c r="AG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  <c r="S454" s="203" t="n"/>
      <c r="T454" s="203" t="n"/>
      <c r="U454" s="203" t="n"/>
      <c r="V454" s="203" t="n"/>
      <c r="W454" s="203" t="n"/>
      <c r="X454" s="203" t="n"/>
      <c r="Y454" s="203" t="n"/>
      <c r="Z454" s="203" t="n"/>
      <c r="AA454" s="203" t="n"/>
      <c r="AB454" s="203" t="n"/>
      <c r="AC454" s="203" t="n"/>
      <c r="AD454" s="203" t="n"/>
      <c r="AE454" s="203" t="n"/>
      <c r="AF454" s="203" t="n"/>
      <c r="AG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  <c r="S455" s="203" t="n"/>
      <c r="T455" s="203" t="n"/>
      <c r="U455" s="203" t="n"/>
      <c r="V455" s="203" t="n"/>
      <c r="W455" s="203" t="n"/>
      <c r="X455" s="203" t="n"/>
      <c r="Y455" s="203" t="n"/>
      <c r="Z455" s="203" t="n"/>
      <c r="AA455" s="203" t="n"/>
      <c r="AB455" s="203" t="n"/>
      <c r="AC455" s="203" t="n"/>
      <c r="AD455" s="203" t="n"/>
      <c r="AE455" s="203" t="n"/>
      <c r="AF455" s="203" t="n"/>
      <c r="AG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  <c r="S456" s="203" t="n"/>
      <c r="T456" s="203" t="n"/>
      <c r="U456" s="203" t="n"/>
      <c r="V456" s="203" t="n"/>
      <c r="W456" s="203" t="n"/>
      <c r="X456" s="203" t="n"/>
      <c r="Y456" s="203" t="n"/>
      <c r="Z456" s="203" t="n"/>
      <c r="AA456" s="203" t="n"/>
      <c r="AB456" s="203" t="n"/>
      <c r="AC456" s="203" t="n"/>
      <c r="AD456" s="203" t="n"/>
      <c r="AE456" s="203" t="n"/>
      <c r="AF456" s="203" t="n"/>
      <c r="AG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  <c r="S457" s="203" t="n"/>
      <c r="T457" s="203" t="n"/>
      <c r="U457" s="203" t="n"/>
      <c r="V457" s="203" t="n"/>
      <c r="W457" s="203" t="n"/>
      <c r="X457" s="203" t="n"/>
      <c r="Y457" s="203" t="n"/>
      <c r="Z457" s="203" t="n"/>
      <c r="AA457" s="203" t="n"/>
      <c r="AB457" s="203" t="n"/>
      <c r="AC457" s="203" t="n"/>
      <c r="AD457" s="203" t="n"/>
      <c r="AE457" s="203" t="n"/>
      <c r="AF457" s="203" t="n"/>
      <c r="AG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  <c r="S458" s="203" t="n"/>
      <c r="T458" s="203" t="n"/>
      <c r="U458" s="203" t="n"/>
      <c r="V458" s="203" t="n"/>
      <c r="W458" s="203" t="n"/>
      <c r="X458" s="203" t="n"/>
      <c r="Y458" s="203" t="n"/>
      <c r="Z458" s="203" t="n"/>
      <c r="AA458" s="203" t="n"/>
      <c r="AB458" s="203" t="n"/>
      <c r="AC458" s="203" t="n"/>
      <c r="AD458" s="203" t="n"/>
      <c r="AE458" s="203" t="n"/>
      <c r="AF458" s="203" t="n"/>
      <c r="AG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  <c r="S459" s="203" t="n"/>
      <c r="T459" s="203" t="n"/>
      <c r="U459" s="203" t="n"/>
      <c r="V459" s="203" t="n"/>
      <c r="W459" s="203" t="n"/>
      <c r="X459" s="203" t="n"/>
      <c r="Y459" s="203" t="n"/>
      <c r="Z459" s="203" t="n"/>
      <c r="AA459" s="203" t="n"/>
      <c r="AB459" s="203" t="n"/>
      <c r="AC459" s="203" t="n"/>
      <c r="AD459" s="203" t="n"/>
      <c r="AE459" s="203" t="n"/>
      <c r="AF459" s="203" t="n"/>
      <c r="AG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  <c r="S460" s="203" t="n"/>
      <c r="T460" s="203" t="n"/>
      <c r="U460" s="203" t="n"/>
      <c r="V460" s="203" t="n"/>
      <c r="W460" s="203" t="n"/>
      <c r="X460" s="203" t="n"/>
      <c r="Y460" s="203" t="n"/>
      <c r="Z460" s="203" t="n"/>
      <c r="AA460" s="203" t="n"/>
      <c r="AB460" s="203" t="n"/>
      <c r="AC460" s="203" t="n"/>
      <c r="AD460" s="203" t="n"/>
      <c r="AE460" s="203" t="n"/>
      <c r="AF460" s="203" t="n"/>
      <c r="AG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  <c r="S461" s="203" t="n"/>
      <c r="T461" s="203" t="n"/>
      <c r="U461" s="203" t="n"/>
      <c r="V461" s="203" t="n"/>
      <c r="W461" s="203" t="n"/>
      <c r="X461" s="203" t="n"/>
      <c r="Y461" s="203" t="n"/>
      <c r="Z461" s="203" t="n"/>
      <c r="AA461" s="203" t="n"/>
      <c r="AB461" s="203" t="n"/>
      <c r="AC461" s="203" t="n"/>
      <c r="AD461" s="203" t="n"/>
      <c r="AE461" s="203" t="n"/>
      <c r="AF461" s="203" t="n"/>
      <c r="AG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  <c r="S462" s="203" t="n"/>
      <c r="T462" s="203" t="n"/>
      <c r="U462" s="203" t="n"/>
      <c r="V462" s="203" t="n"/>
      <c r="W462" s="203" t="n"/>
      <c r="X462" s="203" t="n"/>
      <c r="Y462" s="203" t="n"/>
      <c r="Z462" s="203" t="n"/>
      <c r="AA462" s="203" t="n"/>
      <c r="AB462" s="203" t="n"/>
      <c r="AC462" s="203" t="n"/>
      <c r="AD462" s="203" t="n"/>
      <c r="AE462" s="203" t="n"/>
      <c r="AF462" s="203" t="n"/>
      <c r="AG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  <c r="S463" s="203" t="n"/>
      <c r="T463" s="203" t="n"/>
      <c r="U463" s="203" t="n"/>
      <c r="V463" s="203" t="n"/>
      <c r="W463" s="203" t="n"/>
      <c r="X463" s="203" t="n"/>
      <c r="Y463" s="203" t="n"/>
      <c r="Z463" s="203" t="n"/>
      <c r="AA463" s="203" t="n"/>
      <c r="AB463" s="203" t="n"/>
      <c r="AC463" s="203" t="n"/>
      <c r="AD463" s="203" t="n"/>
      <c r="AE463" s="203" t="n"/>
      <c r="AF463" s="203" t="n"/>
      <c r="AG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  <c r="S464" s="203" t="n"/>
      <c r="T464" s="203" t="n"/>
      <c r="U464" s="203" t="n"/>
      <c r="V464" s="203" t="n"/>
      <c r="W464" s="203" t="n"/>
      <c r="X464" s="203" t="n"/>
      <c r="Y464" s="203" t="n"/>
      <c r="Z464" s="203" t="n"/>
      <c r="AA464" s="203" t="n"/>
      <c r="AB464" s="203" t="n"/>
      <c r="AC464" s="203" t="n"/>
      <c r="AD464" s="203" t="n"/>
      <c r="AE464" s="203" t="n"/>
      <c r="AF464" s="203" t="n"/>
      <c r="AG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  <c r="S465" s="203" t="n"/>
      <c r="T465" s="203" t="n"/>
      <c r="U465" s="203" t="n"/>
      <c r="V465" s="203" t="n"/>
      <c r="W465" s="203" t="n"/>
      <c r="X465" s="203" t="n"/>
      <c r="Y465" s="203" t="n"/>
      <c r="Z465" s="203" t="n"/>
      <c r="AA465" s="203" t="n"/>
      <c r="AB465" s="203" t="n"/>
      <c r="AC465" s="203" t="n"/>
      <c r="AD465" s="203" t="n"/>
      <c r="AE465" s="203" t="n"/>
      <c r="AF465" s="203" t="n"/>
      <c r="AG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  <c r="S466" s="203" t="n"/>
      <c r="T466" s="203" t="n"/>
      <c r="U466" s="203" t="n"/>
      <c r="V466" s="203" t="n"/>
      <c r="W466" s="203" t="n"/>
      <c r="X466" s="203" t="n"/>
      <c r="Y466" s="203" t="n"/>
      <c r="Z466" s="203" t="n"/>
      <c r="AA466" s="203" t="n"/>
      <c r="AB466" s="203" t="n"/>
      <c r="AC466" s="203" t="n"/>
      <c r="AD466" s="203" t="n"/>
      <c r="AE466" s="203" t="n"/>
      <c r="AF466" s="203" t="n"/>
      <c r="AG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  <c r="S467" s="203" t="n"/>
      <c r="T467" s="203" t="n"/>
      <c r="U467" s="203" t="n"/>
      <c r="V467" s="203" t="n"/>
      <c r="W467" s="203" t="n"/>
      <c r="X467" s="203" t="n"/>
      <c r="Y467" s="203" t="n"/>
      <c r="Z467" s="203" t="n"/>
      <c r="AA467" s="203" t="n"/>
      <c r="AB467" s="203" t="n"/>
      <c r="AC467" s="203" t="n"/>
      <c r="AD467" s="203" t="n"/>
      <c r="AE467" s="203" t="n"/>
      <c r="AF467" s="203" t="n"/>
      <c r="AG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  <c r="S468" s="203" t="n"/>
      <c r="T468" s="203" t="n"/>
      <c r="U468" s="203" t="n"/>
      <c r="V468" s="203" t="n"/>
      <c r="W468" s="203" t="n"/>
      <c r="X468" s="203" t="n"/>
      <c r="Y468" s="203" t="n"/>
      <c r="Z468" s="203" t="n"/>
      <c r="AA468" s="203" t="n"/>
      <c r="AB468" s="203" t="n"/>
      <c r="AC468" s="203" t="n"/>
      <c r="AD468" s="203" t="n"/>
      <c r="AE468" s="203" t="n"/>
      <c r="AF468" s="203" t="n"/>
      <c r="AG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  <c r="S469" s="203" t="n"/>
      <c r="T469" s="203" t="n"/>
      <c r="U469" s="203" t="n"/>
      <c r="V469" s="203" t="n"/>
      <c r="W469" s="203" t="n"/>
      <c r="X469" s="203" t="n"/>
      <c r="Y469" s="203" t="n"/>
      <c r="Z469" s="203" t="n"/>
      <c r="AA469" s="203" t="n"/>
      <c r="AB469" s="203" t="n"/>
      <c r="AC469" s="203" t="n"/>
      <c r="AD469" s="203" t="n"/>
      <c r="AE469" s="203" t="n"/>
      <c r="AF469" s="203" t="n"/>
      <c r="AG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  <c r="S470" s="203" t="n"/>
      <c r="T470" s="203" t="n"/>
      <c r="U470" s="203" t="n"/>
      <c r="V470" s="203" t="n"/>
      <c r="W470" s="203" t="n"/>
      <c r="X470" s="203" t="n"/>
      <c r="Y470" s="203" t="n"/>
      <c r="Z470" s="203" t="n"/>
      <c r="AA470" s="203" t="n"/>
      <c r="AB470" s="203" t="n"/>
      <c r="AC470" s="203" t="n"/>
      <c r="AD470" s="203" t="n"/>
      <c r="AE470" s="203" t="n"/>
      <c r="AF470" s="203" t="n"/>
      <c r="AG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  <c r="S471" s="203" t="n"/>
      <c r="T471" s="203" t="n"/>
      <c r="U471" s="203" t="n"/>
      <c r="V471" s="203" t="n"/>
      <c r="W471" s="203" t="n"/>
      <c r="X471" s="203" t="n"/>
      <c r="Y471" s="203" t="n"/>
      <c r="Z471" s="203" t="n"/>
      <c r="AA471" s="203" t="n"/>
      <c r="AB471" s="203" t="n"/>
      <c r="AC471" s="203" t="n"/>
      <c r="AD471" s="203" t="n"/>
      <c r="AE471" s="203" t="n"/>
      <c r="AF471" s="203" t="n"/>
      <c r="AG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  <c r="S472" s="203" t="n"/>
      <c r="T472" s="203" t="n"/>
      <c r="U472" s="203" t="n"/>
      <c r="V472" s="203" t="n"/>
      <c r="W472" s="203" t="n"/>
      <c r="X472" s="203" t="n"/>
      <c r="Y472" s="203" t="n"/>
      <c r="Z472" s="203" t="n"/>
      <c r="AA472" s="203" t="n"/>
      <c r="AB472" s="203" t="n"/>
      <c r="AC472" s="203" t="n"/>
      <c r="AD472" s="203" t="n"/>
      <c r="AE472" s="203" t="n"/>
      <c r="AF472" s="203" t="n"/>
      <c r="AG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  <c r="S473" s="203" t="n"/>
      <c r="T473" s="203" t="n"/>
      <c r="U473" s="203" t="n"/>
      <c r="V473" s="203" t="n"/>
      <c r="W473" s="203" t="n"/>
      <c r="X473" s="203" t="n"/>
      <c r="Y473" s="203" t="n"/>
      <c r="Z473" s="203" t="n"/>
      <c r="AA473" s="203" t="n"/>
      <c r="AB473" s="203" t="n"/>
      <c r="AC473" s="203" t="n"/>
      <c r="AD473" s="203" t="n"/>
      <c r="AE473" s="203" t="n"/>
      <c r="AF473" s="203" t="n"/>
      <c r="AG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  <c r="S474" s="203" t="n"/>
      <c r="T474" s="203" t="n"/>
      <c r="U474" s="203" t="n"/>
      <c r="V474" s="203" t="n"/>
      <c r="W474" s="203" t="n"/>
      <c r="X474" s="203" t="n"/>
      <c r="Y474" s="203" t="n"/>
      <c r="Z474" s="203" t="n"/>
      <c r="AA474" s="203" t="n"/>
      <c r="AB474" s="203" t="n"/>
      <c r="AC474" s="203" t="n"/>
      <c r="AD474" s="203" t="n"/>
      <c r="AE474" s="203" t="n"/>
      <c r="AF474" s="203" t="n"/>
      <c r="AG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  <c r="S475" s="203" t="n"/>
      <c r="T475" s="203" t="n"/>
      <c r="U475" s="203" t="n"/>
      <c r="V475" s="203" t="n"/>
      <c r="W475" s="203" t="n"/>
      <c r="X475" s="203" t="n"/>
      <c r="Y475" s="203" t="n"/>
      <c r="Z475" s="203" t="n"/>
      <c r="AA475" s="203" t="n"/>
      <c r="AB475" s="203" t="n"/>
      <c r="AC475" s="203" t="n"/>
      <c r="AD475" s="203" t="n"/>
      <c r="AE475" s="203" t="n"/>
      <c r="AF475" s="203" t="n"/>
      <c r="AG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  <c r="S476" s="203" t="n"/>
      <c r="T476" s="203" t="n"/>
      <c r="U476" s="203" t="n"/>
      <c r="V476" s="203" t="n"/>
      <c r="W476" s="203" t="n"/>
      <c r="X476" s="203" t="n"/>
      <c r="Y476" s="203" t="n"/>
      <c r="Z476" s="203" t="n"/>
      <c r="AA476" s="203" t="n"/>
      <c r="AB476" s="203" t="n"/>
      <c r="AC476" s="203" t="n"/>
      <c r="AD476" s="203" t="n"/>
      <c r="AE476" s="203" t="n"/>
      <c r="AF476" s="203" t="n"/>
      <c r="AG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  <c r="S477" s="203" t="n"/>
      <c r="T477" s="203" t="n"/>
      <c r="U477" s="203" t="n"/>
      <c r="V477" s="203" t="n"/>
      <c r="W477" s="203" t="n"/>
      <c r="X477" s="203" t="n"/>
      <c r="Y477" s="203" t="n"/>
      <c r="Z477" s="203" t="n"/>
      <c r="AA477" s="203" t="n"/>
      <c r="AB477" s="203" t="n"/>
      <c r="AC477" s="203" t="n"/>
      <c r="AD477" s="203" t="n"/>
      <c r="AE477" s="203" t="n"/>
      <c r="AF477" s="203" t="n"/>
      <c r="AG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  <c r="S478" s="203" t="n"/>
      <c r="T478" s="203" t="n"/>
      <c r="U478" s="203" t="n"/>
      <c r="V478" s="203" t="n"/>
      <c r="W478" s="203" t="n"/>
      <c r="X478" s="203" t="n"/>
      <c r="Y478" s="203" t="n"/>
      <c r="Z478" s="203" t="n"/>
      <c r="AA478" s="203" t="n"/>
      <c r="AB478" s="203" t="n"/>
      <c r="AC478" s="203" t="n"/>
      <c r="AD478" s="203" t="n"/>
      <c r="AE478" s="203" t="n"/>
      <c r="AF478" s="203" t="n"/>
      <c r="AG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  <c r="S479" s="203" t="n"/>
      <c r="T479" s="203" t="n"/>
      <c r="U479" s="203" t="n"/>
      <c r="V479" s="203" t="n"/>
      <c r="W479" s="203" t="n"/>
      <c r="X479" s="203" t="n"/>
      <c r="Y479" s="203" t="n"/>
      <c r="Z479" s="203" t="n"/>
      <c r="AA479" s="203" t="n"/>
      <c r="AB479" s="203" t="n"/>
      <c r="AC479" s="203" t="n"/>
      <c r="AD479" s="203" t="n"/>
      <c r="AE479" s="203" t="n"/>
      <c r="AF479" s="203" t="n"/>
      <c r="AG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  <c r="S480" s="203" t="n"/>
      <c r="T480" s="203" t="n"/>
      <c r="U480" s="203" t="n"/>
      <c r="V480" s="203" t="n"/>
      <c r="W480" s="203" t="n"/>
      <c r="X480" s="203" t="n"/>
      <c r="Y480" s="203" t="n"/>
      <c r="Z480" s="203" t="n"/>
      <c r="AA480" s="203" t="n"/>
      <c r="AB480" s="203" t="n"/>
      <c r="AC480" s="203" t="n"/>
      <c r="AD480" s="203" t="n"/>
      <c r="AE480" s="203" t="n"/>
      <c r="AF480" s="203" t="n"/>
      <c r="AG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  <c r="S481" s="203" t="n"/>
      <c r="T481" s="203" t="n"/>
      <c r="U481" s="203" t="n"/>
      <c r="V481" s="203" t="n"/>
      <c r="W481" s="203" t="n"/>
      <c r="X481" s="203" t="n"/>
      <c r="Y481" s="203" t="n"/>
      <c r="Z481" s="203" t="n"/>
      <c r="AA481" s="203" t="n"/>
      <c r="AB481" s="203" t="n"/>
      <c r="AC481" s="203" t="n"/>
      <c r="AD481" s="203" t="n"/>
      <c r="AE481" s="203" t="n"/>
      <c r="AF481" s="203" t="n"/>
      <c r="AG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  <c r="S482" s="203" t="n"/>
      <c r="T482" s="203" t="n"/>
      <c r="U482" s="203" t="n"/>
      <c r="V482" s="203" t="n"/>
      <c r="W482" s="203" t="n"/>
      <c r="X482" s="203" t="n"/>
      <c r="Y482" s="203" t="n"/>
      <c r="Z482" s="203" t="n"/>
      <c r="AA482" s="203" t="n"/>
      <c r="AB482" s="203" t="n"/>
      <c r="AC482" s="203" t="n"/>
      <c r="AD482" s="203" t="n"/>
      <c r="AE482" s="203" t="n"/>
      <c r="AF482" s="203" t="n"/>
      <c r="AG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  <c r="S483" s="203" t="n"/>
      <c r="T483" s="203" t="n"/>
      <c r="U483" s="203" t="n"/>
      <c r="V483" s="203" t="n"/>
      <c r="W483" s="203" t="n"/>
      <c r="X483" s="203" t="n"/>
      <c r="Y483" s="203" t="n"/>
      <c r="Z483" s="203" t="n"/>
      <c r="AA483" s="203" t="n"/>
      <c r="AB483" s="203" t="n"/>
      <c r="AC483" s="203" t="n"/>
      <c r="AD483" s="203" t="n"/>
      <c r="AE483" s="203" t="n"/>
      <c r="AF483" s="203" t="n"/>
      <c r="AG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  <c r="S484" s="203" t="n"/>
      <c r="T484" s="203" t="n"/>
      <c r="U484" s="203" t="n"/>
      <c r="V484" s="203" t="n"/>
      <c r="W484" s="203" t="n"/>
      <c r="X484" s="203" t="n"/>
      <c r="Y484" s="203" t="n"/>
      <c r="Z484" s="203" t="n"/>
      <c r="AA484" s="203" t="n"/>
      <c r="AB484" s="203" t="n"/>
      <c r="AC484" s="203" t="n"/>
      <c r="AD484" s="203" t="n"/>
      <c r="AE484" s="203" t="n"/>
      <c r="AF484" s="203" t="n"/>
      <c r="AG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  <c r="S485" s="203" t="n"/>
      <c r="T485" s="203" t="n"/>
      <c r="U485" s="203" t="n"/>
      <c r="V485" s="203" t="n"/>
      <c r="W485" s="203" t="n"/>
      <c r="X485" s="203" t="n"/>
      <c r="Y485" s="203" t="n"/>
      <c r="Z485" s="203" t="n"/>
      <c r="AA485" s="203" t="n"/>
      <c r="AB485" s="203" t="n"/>
      <c r="AC485" s="203" t="n"/>
      <c r="AD485" s="203" t="n"/>
      <c r="AE485" s="203" t="n"/>
      <c r="AF485" s="203" t="n"/>
      <c r="AG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  <c r="S486" s="203" t="n"/>
      <c r="T486" s="203" t="n"/>
      <c r="U486" s="203" t="n"/>
      <c r="V486" s="203" t="n"/>
      <c r="W486" s="203" t="n"/>
      <c r="X486" s="203" t="n"/>
      <c r="Y486" s="203" t="n"/>
      <c r="Z486" s="203" t="n"/>
      <c r="AA486" s="203" t="n"/>
      <c r="AB486" s="203" t="n"/>
      <c r="AC486" s="203" t="n"/>
      <c r="AD486" s="203" t="n"/>
      <c r="AE486" s="203" t="n"/>
      <c r="AF486" s="203" t="n"/>
      <c r="AG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  <c r="S487" s="203" t="n"/>
      <c r="T487" s="203" t="n"/>
      <c r="U487" s="203" t="n"/>
      <c r="V487" s="203" t="n"/>
      <c r="W487" s="203" t="n"/>
      <c r="X487" s="203" t="n"/>
      <c r="Y487" s="203" t="n"/>
      <c r="Z487" s="203" t="n"/>
      <c r="AA487" s="203" t="n"/>
      <c r="AB487" s="203" t="n"/>
      <c r="AC487" s="203" t="n"/>
      <c r="AD487" s="203" t="n"/>
      <c r="AE487" s="203" t="n"/>
      <c r="AF487" s="203" t="n"/>
      <c r="AG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  <c r="S488" s="203" t="n"/>
      <c r="T488" s="203" t="n"/>
      <c r="U488" s="203" t="n"/>
      <c r="V488" s="203" t="n"/>
      <c r="W488" s="203" t="n"/>
      <c r="X488" s="203" t="n"/>
      <c r="Y488" s="203" t="n"/>
      <c r="Z488" s="203" t="n"/>
      <c r="AA488" s="203" t="n"/>
      <c r="AB488" s="203" t="n"/>
      <c r="AC488" s="203" t="n"/>
      <c r="AD488" s="203" t="n"/>
      <c r="AE488" s="203" t="n"/>
      <c r="AF488" s="203" t="n"/>
      <c r="AG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  <c r="S489" s="203" t="n"/>
      <c r="T489" s="203" t="n"/>
      <c r="U489" s="203" t="n"/>
      <c r="V489" s="203" t="n"/>
      <c r="W489" s="203" t="n"/>
      <c r="X489" s="203" t="n"/>
      <c r="Y489" s="203" t="n"/>
      <c r="Z489" s="203" t="n"/>
      <c r="AA489" s="203" t="n"/>
      <c r="AB489" s="203" t="n"/>
      <c r="AC489" s="203" t="n"/>
      <c r="AD489" s="203" t="n"/>
      <c r="AE489" s="203" t="n"/>
      <c r="AF489" s="203" t="n"/>
      <c r="AG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  <c r="S490" s="203" t="n"/>
      <c r="T490" s="203" t="n"/>
      <c r="U490" s="203" t="n"/>
      <c r="V490" s="203" t="n"/>
      <c r="W490" s="203" t="n"/>
      <c r="X490" s="203" t="n"/>
      <c r="Y490" s="203" t="n"/>
      <c r="Z490" s="203" t="n"/>
      <c r="AA490" s="203" t="n"/>
      <c r="AB490" s="203" t="n"/>
      <c r="AC490" s="203" t="n"/>
      <c r="AD490" s="203" t="n"/>
      <c r="AE490" s="203" t="n"/>
      <c r="AF490" s="203" t="n"/>
      <c r="AG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  <c r="S491" s="203" t="n"/>
      <c r="T491" s="203" t="n"/>
      <c r="U491" s="203" t="n"/>
      <c r="V491" s="203" t="n"/>
      <c r="W491" s="203" t="n"/>
      <c r="X491" s="203" t="n"/>
      <c r="Y491" s="203" t="n"/>
      <c r="Z491" s="203" t="n"/>
      <c r="AA491" s="203" t="n"/>
      <c r="AB491" s="203" t="n"/>
      <c r="AC491" s="203" t="n"/>
      <c r="AD491" s="203" t="n"/>
      <c r="AE491" s="203" t="n"/>
      <c r="AF491" s="203" t="n"/>
      <c r="AG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  <c r="S492" s="203" t="n"/>
      <c r="T492" s="203" t="n"/>
      <c r="U492" s="203" t="n"/>
      <c r="V492" s="203" t="n"/>
      <c r="W492" s="203" t="n"/>
      <c r="X492" s="203" t="n"/>
      <c r="Y492" s="203" t="n"/>
      <c r="Z492" s="203" t="n"/>
      <c r="AA492" s="203" t="n"/>
      <c r="AB492" s="203" t="n"/>
      <c r="AC492" s="203" t="n"/>
      <c r="AD492" s="203" t="n"/>
      <c r="AE492" s="203" t="n"/>
      <c r="AF492" s="203" t="n"/>
      <c r="AG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  <c r="S493" s="203" t="n"/>
      <c r="T493" s="203" t="n"/>
      <c r="U493" s="203" t="n"/>
      <c r="V493" s="203" t="n"/>
      <c r="W493" s="203" t="n"/>
      <c r="X493" s="203" t="n"/>
      <c r="Y493" s="203" t="n"/>
      <c r="Z493" s="203" t="n"/>
      <c r="AA493" s="203" t="n"/>
      <c r="AB493" s="203" t="n"/>
      <c r="AC493" s="203" t="n"/>
      <c r="AD493" s="203" t="n"/>
      <c r="AE493" s="203" t="n"/>
      <c r="AF493" s="203" t="n"/>
      <c r="AG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  <c r="S494" s="203" t="n"/>
      <c r="T494" s="203" t="n"/>
      <c r="U494" s="203" t="n"/>
      <c r="V494" s="203" t="n"/>
      <c r="W494" s="203" t="n"/>
      <c r="X494" s="203" t="n"/>
      <c r="Y494" s="203" t="n"/>
      <c r="Z494" s="203" t="n"/>
      <c r="AA494" s="203" t="n"/>
      <c r="AB494" s="203" t="n"/>
      <c r="AC494" s="203" t="n"/>
      <c r="AD494" s="203" t="n"/>
      <c r="AE494" s="203" t="n"/>
      <c r="AF494" s="203" t="n"/>
      <c r="AG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  <c r="S495" s="203" t="n"/>
      <c r="T495" s="203" t="n"/>
      <c r="U495" s="203" t="n"/>
      <c r="V495" s="203" t="n"/>
      <c r="W495" s="203" t="n"/>
      <c r="X495" s="203" t="n"/>
      <c r="Y495" s="203" t="n"/>
      <c r="Z495" s="203" t="n"/>
      <c r="AA495" s="203" t="n"/>
      <c r="AB495" s="203" t="n"/>
      <c r="AC495" s="203" t="n"/>
      <c r="AD495" s="203" t="n"/>
      <c r="AE495" s="203" t="n"/>
      <c r="AF495" s="203" t="n"/>
      <c r="AG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  <c r="S496" s="203" t="n"/>
      <c r="T496" s="203" t="n"/>
      <c r="U496" s="203" t="n"/>
      <c r="V496" s="203" t="n"/>
      <c r="W496" s="203" t="n"/>
      <c r="X496" s="203" t="n"/>
      <c r="Y496" s="203" t="n"/>
      <c r="Z496" s="203" t="n"/>
      <c r="AA496" s="203" t="n"/>
      <c r="AB496" s="203" t="n"/>
      <c r="AC496" s="203" t="n"/>
      <c r="AD496" s="203" t="n"/>
      <c r="AE496" s="203" t="n"/>
      <c r="AF496" s="203" t="n"/>
      <c r="AG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  <c r="S497" s="203" t="n"/>
      <c r="T497" s="203" t="n"/>
      <c r="U497" s="203" t="n"/>
      <c r="V497" s="203" t="n"/>
      <c r="W497" s="203" t="n"/>
      <c r="X497" s="203" t="n"/>
      <c r="Y497" s="203" t="n"/>
      <c r="Z497" s="203" t="n"/>
      <c r="AA497" s="203" t="n"/>
      <c r="AB497" s="203" t="n"/>
      <c r="AC497" s="203" t="n"/>
      <c r="AD497" s="203" t="n"/>
      <c r="AE497" s="203" t="n"/>
      <c r="AF497" s="203" t="n"/>
      <c r="AG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  <c r="S498" s="203" t="n"/>
      <c r="T498" s="203" t="n"/>
      <c r="U498" s="203" t="n"/>
      <c r="V498" s="203" t="n"/>
      <c r="W498" s="203" t="n"/>
      <c r="X498" s="203" t="n"/>
      <c r="Y498" s="203" t="n"/>
      <c r="Z498" s="203" t="n"/>
      <c r="AA498" s="203" t="n"/>
      <c r="AB498" s="203" t="n"/>
      <c r="AC498" s="203" t="n"/>
      <c r="AD498" s="203" t="n"/>
      <c r="AE498" s="203" t="n"/>
      <c r="AF498" s="203" t="n"/>
      <c r="AG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  <c r="S499" s="203" t="n"/>
      <c r="T499" s="203" t="n"/>
      <c r="U499" s="203" t="n"/>
      <c r="V499" s="203" t="n"/>
      <c r="W499" s="203" t="n"/>
      <c r="X499" s="203" t="n"/>
      <c r="Y499" s="203" t="n"/>
      <c r="Z499" s="203" t="n"/>
      <c r="AA499" s="203" t="n"/>
      <c r="AB499" s="203" t="n"/>
      <c r="AC499" s="203" t="n"/>
      <c r="AD499" s="203" t="n"/>
      <c r="AE499" s="203" t="n"/>
      <c r="AF499" s="203" t="n"/>
      <c r="AG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  <c r="S500" s="203" t="n"/>
      <c r="T500" s="203" t="n"/>
      <c r="U500" s="203" t="n"/>
      <c r="V500" s="203" t="n"/>
      <c r="W500" s="203" t="n"/>
      <c r="X500" s="203" t="n"/>
      <c r="Y500" s="203" t="n"/>
      <c r="Z500" s="203" t="n"/>
      <c r="AA500" s="203" t="n"/>
      <c r="AB500" s="203" t="n"/>
      <c r="AC500" s="203" t="n"/>
      <c r="AD500" s="203" t="n"/>
      <c r="AE500" s="203" t="n"/>
      <c r="AF500" s="203" t="n"/>
      <c r="AG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  <c r="S501" s="203" t="n"/>
      <c r="T501" s="203" t="n"/>
      <c r="U501" s="203" t="n"/>
      <c r="V501" s="203" t="n"/>
      <c r="W501" s="203" t="n"/>
      <c r="X501" s="203" t="n"/>
      <c r="Y501" s="203" t="n"/>
      <c r="Z501" s="203" t="n"/>
      <c r="AA501" s="203" t="n"/>
      <c r="AB501" s="203" t="n"/>
      <c r="AC501" s="203" t="n"/>
      <c r="AD501" s="203" t="n"/>
      <c r="AE501" s="203" t="n"/>
      <c r="AF501" s="203" t="n"/>
      <c r="AG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  <c r="S502" s="203" t="n"/>
      <c r="T502" s="203" t="n"/>
      <c r="U502" s="203" t="n"/>
      <c r="V502" s="203" t="n"/>
      <c r="W502" s="203" t="n"/>
      <c r="X502" s="203" t="n"/>
      <c r="Y502" s="203" t="n"/>
      <c r="Z502" s="203" t="n"/>
      <c r="AA502" s="203" t="n"/>
      <c r="AB502" s="203" t="n"/>
      <c r="AC502" s="203" t="n"/>
      <c r="AD502" s="203" t="n"/>
      <c r="AE502" s="203" t="n"/>
      <c r="AF502" s="203" t="n"/>
      <c r="AG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  <c r="S503" s="203" t="n"/>
      <c r="T503" s="203" t="n"/>
      <c r="U503" s="203" t="n"/>
      <c r="V503" s="203" t="n"/>
      <c r="W503" s="203" t="n"/>
      <c r="X503" s="203" t="n"/>
      <c r="Y503" s="203" t="n"/>
      <c r="Z503" s="203" t="n"/>
      <c r="AA503" s="203" t="n"/>
      <c r="AB503" s="203" t="n"/>
      <c r="AC503" s="203" t="n"/>
      <c r="AD503" s="203" t="n"/>
      <c r="AE503" s="203" t="n"/>
      <c r="AF503" s="203" t="n"/>
      <c r="AG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  <c r="S504" s="203" t="n"/>
      <c r="T504" s="203" t="n"/>
      <c r="U504" s="203" t="n"/>
      <c r="V504" s="203" t="n"/>
      <c r="W504" s="203" t="n"/>
      <c r="X504" s="203" t="n"/>
      <c r="Y504" s="203" t="n"/>
      <c r="Z504" s="203" t="n"/>
      <c r="AA504" s="203" t="n"/>
      <c r="AB504" s="203" t="n"/>
      <c r="AC504" s="203" t="n"/>
      <c r="AD504" s="203" t="n"/>
      <c r="AE504" s="203" t="n"/>
      <c r="AF504" s="203" t="n"/>
      <c r="AG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  <c r="S505" s="203" t="n"/>
      <c r="T505" s="203" t="n"/>
      <c r="U505" s="203" t="n"/>
      <c r="V505" s="203" t="n"/>
      <c r="W505" s="203" t="n"/>
      <c r="X505" s="203" t="n"/>
      <c r="Y505" s="203" t="n"/>
      <c r="Z505" s="203" t="n"/>
      <c r="AA505" s="203" t="n"/>
      <c r="AB505" s="203" t="n"/>
      <c r="AC505" s="203" t="n"/>
      <c r="AD505" s="203" t="n"/>
      <c r="AE505" s="203" t="n"/>
      <c r="AF505" s="203" t="n"/>
      <c r="AG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  <c r="S506" s="203" t="n"/>
      <c r="T506" s="203" t="n"/>
      <c r="U506" s="203" t="n"/>
      <c r="V506" s="203" t="n"/>
      <c r="W506" s="203" t="n"/>
      <c r="X506" s="203" t="n"/>
      <c r="Y506" s="203" t="n"/>
      <c r="Z506" s="203" t="n"/>
      <c r="AA506" s="203" t="n"/>
      <c r="AB506" s="203" t="n"/>
      <c r="AC506" s="203" t="n"/>
      <c r="AD506" s="203" t="n"/>
      <c r="AE506" s="203" t="n"/>
      <c r="AF506" s="203" t="n"/>
      <c r="AG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  <c r="S507" s="203" t="n"/>
      <c r="T507" s="203" t="n"/>
      <c r="U507" s="203" t="n"/>
      <c r="V507" s="203" t="n"/>
      <c r="W507" s="203" t="n"/>
      <c r="X507" s="203" t="n"/>
      <c r="Y507" s="203" t="n"/>
      <c r="Z507" s="203" t="n"/>
      <c r="AA507" s="203" t="n"/>
      <c r="AB507" s="203" t="n"/>
      <c r="AC507" s="203" t="n"/>
      <c r="AD507" s="203" t="n"/>
      <c r="AE507" s="203" t="n"/>
      <c r="AF507" s="203" t="n"/>
      <c r="AG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  <c r="S508" s="203" t="n"/>
      <c r="T508" s="203" t="n"/>
      <c r="U508" s="203" t="n"/>
      <c r="V508" s="203" t="n"/>
      <c r="W508" s="203" t="n"/>
      <c r="X508" s="203" t="n"/>
      <c r="Y508" s="203" t="n"/>
      <c r="Z508" s="203" t="n"/>
      <c r="AA508" s="203" t="n"/>
      <c r="AB508" s="203" t="n"/>
      <c r="AC508" s="203" t="n"/>
      <c r="AD508" s="203" t="n"/>
      <c r="AE508" s="203" t="n"/>
      <c r="AF508" s="203" t="n"/>
      <c r="AG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  <c r="S509" s="203" t="n"/>
      <c r="T509" s="203" t="n"/>
      <c r="U509" s="203" t="n"/>
      <c r="V509" s="203" t="n"/>
      <c r="W509" s="203" t="n"/>
      <c r="X509" s="203" t="n"/>
      <c r="Y509" s="203" t="n"/>
      <c r="Z509" s="203" t="n"/>
      <c r="AA509" s="203" t="n"/>
      <c r="AB509" s="203" t="n"/>
      <c r="AC509" s="203" t="n"/>
      <c r="AD509" s="203" t="n"/>
      <c r="AE509" s="203" t="n"/>
      <c r="AF509" s="203" t="n"/>
      <c r="AG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  <c r="S510" s="203" t="n"/>
      <c r="T510" s="203" t="n"/>
      <c r="U510" s="203" t="n"/>
      <c r="V510" s="203" t="n"/>
      <c r="W510" s="203" t="n"/>
      <c r="X510" s="203" t="n"/>
      <c r="Y510" s="203" t="n"/>
      <c r="Z510" s="203" t="n"/>
      <c r="AA510" s="203" t="n"/>
      <c r="AB510" s="203" t="n"/>
      <c r="AC510" s="203" t="n"/>
      <c r="AD510" s="203" t="n"/>
      <c r="AE510" s="203" t="n"/>
      <c r="AF510" s="203" t="n"/>
      <c r="AG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  <c r="S511" s="203" t="n"/>
      <c r="T511" s="203" t="n"/>
      <c r="U511" s="203" t="n"/>
      <c r="V511" s="203" t="n"/>
      <c r="W511" s="203" t="n"/>
      <c r="X511" s="203" t="n"/>
      <c r="Y511" s="203" t="n"/>
      <c r="Z511" s="203" t="n"/>
      <c r="AA511" s="203" t="n"/>
      <c r="AB511" s="203" t="n"/>
      <c r="AC511" s="203" t="n"/>
      <c r="AD511" s="203" t="n"/>
      <c r="AE511" s="203" t="n"/>
      <c r="AF511" s="203" t="n"/>
      <c r="AG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  <c r="S512" s="203" t="n"/>
      <c r="T512" s="203" t="n"/>
      <c r="U512" s="203" t="n"/>
      <c r="V512" s="203" t="n"/>
      <c r="W512" s="203" t="n"/>
      <c r="X512" s="203" t="n"/>
      <c r="Y512" s="203" t="n"/>
      <c r="Z512" s="203" t="n"/>
      <c r="AA512" s="203" t="n"/>
      <c r="AB512" s="203" t="n"/>
      <c r="AC512" s="203" t="n"/>
      <c r="AD512" s="203" t="n"/>
      <c r="AE512" s="203" t="n"/>
      <c r="AF512" s="203" t="n"/>
      <c r="AG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  <c r="S513" s="203" t="n"/>
      <c r="T513" s="203" t="n"/>
      <c r="U513" s="203" t="n"/>
      <c r="V513" s="203" t="n"/>
      <c r="W513" s="203" t="n"/>
      <c r="X513" s="203" t="n"/>
      <c r="Y513" s="203" t="n"/>
      <c r="Z513" s="203" t="n"/>
      <c r="AA513" s="203" t="n"/>
      <c r="AB513" s="203" t="n"/>
      <c r="AC513" s="203" t="n"/>
      <c r="AD513" s="203" t="n"/>
      <c r="AE513" s="203" t="n"/>
      <c r="AF513" s="203" t="n"/>
      <c r="AG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  <c r="S514" s="203" t="n"/>
      <c r="T514" s="203" t="n"/>
      <c r="U514" s="203" t="n"/>
      <c r="V514" s="203" t="n"/>
      <c r="W514" s="203" t="n"/>
      <c r="X514" s="203" t="n"/>
      <c r="Y514" s="203" t="n"/>
      <c r="Z514" s="203" t="n"/>
      <c r="AA514" s="203" t="n"/>
      <c r="AB514" s="203" t="n"/>
      <c r="AC514" s="203" t="n"/>
      <c r="AD514" s="203" t="n"/>
      <c r="AE514" s="203" t="n"/>
      <c r="AF514" s="203" t="n"/>
      <c r="AG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  <c r="S515" s="203" t="n"/>
      <c r="T515" s="203" t="n"/>
      <c r="U515" s="203" t="n"/>
      <c r="V515" s="203" t="n"/>
      <c r="W515" s="203" t="n"/>
      <c r="X515" s="203" t="n"/>
      <c r="Y515" s="203" t="n"/>
      <c r="Z515" s="203" t="n"/>
      <c r="AA515" s="203" t="n"/>
      <c r="AB515" s="203" t="n"/>
      <c r="AC515" s="203" t="n"/>
      <c r="AD515" s="203" t="n"/>
      <c r="AE515" s="203" t="n"/>
      <c r="AF515" s="203" t="n"/>
      <c r="AG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  <c r="S516" s="203" t="n"/>
      <c r="T516" s="203" t="n"/>
      <c r="U516" s="203" t="n"/>
      <c r="V516" s="203" t="n"/>
      <c r="W516" s="203" t="n"/>
      <c r="X516" s="203" t="n"/>
      <c r="Y516" s="203" t="n"/>
      <c r="Z516" s="203" t="n"/>
      <c r="AA516" s="203" t="n"/>
      <c r="AB516" s="203" t="n"/>
      <c r="AC516" s="203" t="n"/>
      <c r="AD516" s="203" t="n"/>
      <c r="AE516" s="203" t="n"/>
      <c r="AF516" s="203" t="n"/>
      <c r="AG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  <c r="S517" s="203" t="n"/>
      <c r="T517" s="203" t="n"/>
      <c r="U517" s="203" t="n"/>
      <c r="V517" s="203" t="n"/>
      <c r="W517" s="203" t="n"/>
      <c r="X517" s="203" t="n"/>
      <c r="Y517" s="203" t="n"/>
      <c r="Z517" s="203" t="n"/>
      <c r="AA517" s="203" t="n"/>
      <c r="AB517" s="203" t="n"/>
      <c r="AC517" s="203" t="n"/>
      <c r="AD517" s="203" t="n"/>
      <c r="AE517" s="203" t="n"/>
      <c r="AF517" s="203" t="n"/>
      <c r="AG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  <c r="S518" s="203" t="n"/>
      <c r="T518" s="203" t="n"/>
      <c r="U518" s="203" t="n"/>
      <c r="V518" s="203" t="n"/>
      <c r="W518" s="203" t="n"/>
      <c r="X518" s="203" t="n"/>
      <c r="Y518" s="203" t="n"/>
      <c r="Z518" s="203" t="n"/>
      <c r="AA518" s="203" t="n"/>
      <c r="AB518" s="203" t="n"/>
      <c r="AC518" s="203" t="n"/>
      <c r="AD518" s="203" t="n"/>
      <c r="AE518" s="203" t="n"/>
      <c r="AF518" s="203" t="n"/>
      <c r="AG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  <c r="S519" s="203" t="n"/>
      <c r="T519" s="203" t="n"/>
      <c r="U519" s="203" t="n"/>
      <c r="V519" s="203" t="n"/>
      <c r="W519" s="203" t="n"/>
      <c r="X519" s="203" t="n"/>
      <c r="Y519" s="203" t="n"/>
      <c r="Z519" s="203" t="n"/>
      <c r="AA519" s="203" t="n"/>
      <c r="AB519" s="203" t="n"/>
      <c r="AC519" s="203" t="n"/>
      <c r="AD519" s="203" t="n"/>
      <c r="AE519" s="203" t="n"/>
      <c r="AF519" s="203" t="n"/>
      <c r="AG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  <c r="S520" s="203" t="n"/>
      <c r="T520" s="203" t="n"/>
      <c r="U520" s="203" t="n"/>
      <c r="V520" s="203" t="n"/>
      <c r="W520" s="203" t="n"/>
      <c r="X520" s="203" t="n"/>
      <c r="Y520" s="203" t="n"/>
      <c r="Z520" s="203" t="n"/>
      <c r="AA520" s="203" t="n"/>
      <c r="AB520" s="203" t="n"/>
      <c r="AC520" s="203" t="n"/>
      <c r="AD520" s="203" t="n"/>
      <c r="AE520" s="203" t="n"/>
      <c r="AF520" s="203" t="n"/>
      <c r="AG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  <c r="S521" s="203" t="n"/>
      <c r="T521" s="203" t="n"/>
      <c r="U521" s="203" t="n"/>
      <c r="V521" s="203" t="n"/>
      <c r="W521" s="203" t="n"/>
      <c r="X521" s="203" t="n"/>
      <c r="Y521" s="203" t="n"/>
      <c r="Z521" s="203" t="n"/>
      <c r="AA521" s="203" t="n"/>
      <c r="AB521" s="203" t="n"/>
      <c r="AC521" s="203" t="n"/>
      <c r="AD521" s="203" t="n"/>
      <c r="AE521" s="203" t="n"/>
      <c r="AF521" s="203" t="n"/>
      <c r="AG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  <c r="S522" s="203" t="n"/>
      <c r="T522" s="203" t="n"/>
      <c r="U522" s="203" t="n"/>
      <c r="V522" s="203" t="n"/>
      <c r="W522" s="203" t="n"/>
      <c r="X522" s="203" t="n"/>
      <c r="Y522" s="203" t="n"/>
      <c r="Z522" s="203" t="n"/>
      <c r="AA522" s="203" t="n"/>
      <c r="AB522" s="203" t="n"/>
      <c r="AC522" s="203" t="n"/>
      <c r="AD522" s="203" t="n"/>
      <c r="AE522" s="203" t="n"/>
      <c r="AF522" s="203" t="n"/>
      <c r="AG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  <c r="S523" s="203" t="n"/>
      <c r="T523" s="203" t="n"/>
      <c r="U523" s="203" t="n"/>
      <c r="V523" s="203" t="n"/>
      <c r="W523" s="203" t="n"/>
      <c r="X523" s="203" t="n"/>
      <c r="Y523" s="203" t="n"/>
      <c r="Z523" s="203" t="n"/>
      <c r="AA523" s="203" t="n"/>
      <c r="AB523" s="203" t="n"/>
      <c r="AC523" s="203" t="n"/>
      <c r="AD523" s="203" t="n"/>
      <c r="AE523" s="203" t="n"/>
      <c r="AF523" s="203" t="n"/>
      <c r="AG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  <c r="S524" s="203" t="n"/>
      <c r="T524" s="203" t="n"/>
      <c r="U524" s="203" t="n"/>
      <c r="V524" s="203" t="n"/>
      <c r="W524" s="203" t="n"/>
      <c r="X524" s="203" t="n"/>
      <c r="Y524" s="203" t="n"/>
      <c r="Z524" s="203" t="n"/>
      <c r="AA524" s="203" t="n"/>
      <c r="AB524" s="203" t="n"/>
      <c r="AC524" s="203" t="n"/>
      <c r="AD524" s="203" t="n"/>
      <c r="AE524" s="203" t="n"/>
      <c r="AF524" s="203" t="n"/>
      <c r="AG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  <c r="S525" s="203" t="n"/>
      <c r="T525" s="203" t="n"/>
      <c r="U525" s="203" t="n"/>
      <c r="V525" s="203" t="n"/>
      <c r="W525" s="203" t="n"/>
      <c r="X525" s="203" t="n"/>
      <c r="Y525" s="203" t="n"/>
      <c r="Z525" s="203" t="n"/>
      <c r="AA525" s="203" t="n"/>
      <c r="AB525" s="203" t="n"/>
      <c r="AC525" s="203" t="n"/>
      <c r="AD525" s="203" t="n"/>
      <c r="AE525" s="203" t="n"/>
      <c r="AF525" s="203" t="n"/>
      <c r="AG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  <c r="S526" s="203" t="n"/>
      <c r="T526" s="203" t="n"/>
      <c r="U526" s="203" t="n"/>
      <c r="V526" s="203" t="n"/>
      <c r="W526" s="203" t="n"/>
      <c r="X526" s="203" t="n"/>
      <c r="Y526" s="203" t="n"/>
      <c r="Z526" s="203" t="n"/>
      <c r="AA526" s="203" t="n"/>
      <c r="AB526" s="203" t="n"/>
      <c r="AC526" s="203" t="n"/>
      <c r="AD526" s="203" t="n"/>
      <c r="AE526" s="203" t="n"/>
      <c r="AF526" s="203" t="n"/>
      <c r="AG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  <c r="S527" s="203" t="n"/>
      <c r="T527" s="203" t="n"/>
      <c r="U527" s="203" t="n"/>
      <c r="V527" s="203" t="n"/>
      <c r="W527" s="203" t="n"/>
      <c r="X527" s="203" t="n"/>
      <c r="Y527" s="203" t="n"/>
      <c r="Z527" s="203" t="n"/>
      <c r="AA527" s="203" t="n"/>
      <c r="AB527" s="203" t="n"/>
      <c r="AC527" s="203" t="n"/>
      <c r="AD527" s="203" t="n"/>
      <c r="AE527" s="203" t="n"/>
      <c r="AF527" s="203" t="n"/>
      <c r="AG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  <c r="S528" s="203" t="n"/>
      <c r="T528" s="203" t="n"/>
      <c r="U528" s="203" t="n"/>
      <c r="V528" s="203" t="n"/>
      <c r="W528" s="203" t="n"/>
      <c r="X528" s="203" t="n"/>
      <c r="Y528" s="203" t="n"/>
      <c r="Z528" s="203" t="n"/>
      <c r="AA528" s="203" t="n"/>
      <c r="AB528" s="203" t="n"/>
      <c r="AC528" s="203" t="n"/>
      <c r="AD528" s="203" t="n"/>
      <c r="AE528" s="203" t="n"/>
      <c r="AF528" s="203" t="n"/>
      <c r="AG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  <c r="S529" s="203" t="n"/>
      <c r="T529" s="203" t="n"/>
      <c r="U529" s="203" t="n"/>
      <c r="V529" s="203" t="n"/>
      <c r="W529" s="203" t="n"/>
      <c r="X529" s="203" t="n"/>
      <c r="Y529" s="203" t="n"/>
      <c r="Z529" s="203" t="n"/>
      <c r="AA529" s="203" t="n"/>
      <c r="AB529" s="203" t="n"/>
      <c r="AC529" s="203" t="n"/>
      <c r="AD529" s="203" t="n"/>
      <c r="AE529" s="203" t="n"/>
      <c r="AF529" s="203" t="n"/>
      <c r="AG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  <c r="S530" s="203" t="n"/>
      <c r="T530" s="203" t="n"/>
      <c r="U530" s="203" t="n"/>
      <c r="V530" s="203" t="n"/>
      <c r="W530" s="203" t="n"/>
      <c r="X530" s="203" t="n"/>
      <c r="Y530" s="203" t="n"/>
      <c r="Z530" s="203" t="n"/>
      <c r="AA530" s="203" t="n"/>
      <c r="AB530" s="203" t="n"/>
      <c r="AC530" s="203" t="n"/>
      <c r="AD530" s="203" t="n"/>
      <c r="AE530" s="203" t="n"/>
      <c r="AF530" s="203" t="n"/>
      <c r="AG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  <c r="S531" s="203" t="n"/>
      <c r="T531" s="203" t="n"/>
      <c r="U531" s="203" t="n"/>
      <c r="V531" s="203" t="n"/>
      <c r="W531" s="203" t="n"/>
      <c r="X531" s="203" t="n"/>
      <c r="Y531" s="203" t="n"/>
      <c r="Z531" s="203" t="n"/>
      <c r="AA531" s="203" t="n"/>
      <c r="AB531" s="203" t="n"/>
      <c r="AC531" s="203" t="n"/>
      <c r="AD531" s="203" t="n"/>
      <c r="AE531" s="203" t="n"/>
      <c r="AF531" s="203" t="n"/>
      <c r="AG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  <c r="S532" s="203" t="n"/>
      <c r="T532" s="203" t="n"/>
      <c r="U532" s="203" t="n"/>
      <c r="V532" s="203" t="n"/>
      <c r="W532" s="203" t="n"/>
      <c r="X532" s="203" t="n"/>
      <c r="Y532" s="203" t="n"/>
      <c r="Z532" s="203" t="n"/>
      <c r="AA532" s="203" t="n"/>
      <c r="AB532" s="203" t="n"/>
      <c r="AC532" s="203" t="n"/>
      <c r="AD532" s="203" t="n"/>
      <c r="AE532" s="203" t="n"/>
      <c r="AF532" s="203" t="n"/>
      <c r="AG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  <c r="S533" s="203" t="n"/>
      <c r="T533" s="203" t="n"/>
      <c r="U533" s="203" t="n"/>
      <c r="V533" s="203" t="n"/>
      <c r="W533" s="203" t="n"/>
      <c r="X533" s="203" t="n"/>
      <c r="Y533" s="203" t="n"/>
      <c r="Z533" s="203" t="n"/>
      <c r="AA533" s="203" t="n"/>
      <c r="AB533" s="203" t="n"/>
      <c r="AC533" s="203" t="n"/>
      <c r="AD533" s="203" t="n"/>
      <c r="AE533" s="203" t="n"/>
      <c r="AF533" s="203" t="n"/>
      <c r="AG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  <c r="S534" s="203" t="n"/>
      <c r="T534" s="203" t="n"/>
      <c r="U534" s="203" t="n"/>
      <c r="V534" s="203" t="n"/>
      <c r="W534" s="203" t="n"/>
      <c r="X534" s="203" t="n"/>
      <c r="Y534" s="203" t="n"/>
      <c r="Z534" s="203" t="n"/>
      <c r="AA534" s="203" t="n"/>
      <c r="AB534" s="203" t="n"/>
      <c r="AC534" s="203" t="n"/>
      <c r="AD534" s="203" t="n"/>
      <c r="AE534" s="203" t="n"/>
      <c r="AF534" s="203" t="n"/>
      <c r="AG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  <c r="S535" s="203" t="n"/>
      <c r="T535" s="203" t="n"/>
      <c r="U535" s="203" t="n"/>
      <c r="V535" s="203" t="n"/>
      <c r="W535" s="203" t="n"/>
      <c r="X535" s="203" t="n"/>
      <c r="Y535" s="203" t="n"/>
      <c r="Z535" s="203" t="n"/>
      <c r="AA535" s="203" t="n"/>
      <c r="AB535" s="203" t="n"/>
      <c r="AC535" s="203" t="n"/>
      <c r="AD535" s="203" t="n"/>
      <c r="AE535" s="203" t="n"/>
      <c r="AF535" s="203" t="n"/>
      <c r="AG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  <c r="S536" s="203" t="n"/>
      <c r="T536" s="203" t="n"/>
      <c r="U536" s="203" t="n"/>
      <c r="V536" s="203" t="n"/>
      <c r="W536" s="203" t="n"/>
      <c r="X536" s="203" t="n"/>
      <c r="Y536" s="203" t="n"/>
      <c r="Z536" s="203" t="n"/>
      <c r="AA536" s="203" t="n"/>
      <c r="AB536" s="203" t="n"/>
      <c r="AC536" s="203" t="n"/>
      <c r="AD536" s="203" t="n"/>
      <c r="AE536" s="203" t="n"/>
      <c r="AF536" s="203" t="n"/>
      <c r="AG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  <c r="S537" s="203" t="n"/>
      <c r="T537" s="203" t="n"/>
      <c r="U537" s="203" t="n"/>
      <c r="V537" s="203" t="n"/>
      <c r="W537" s="203" t="n"/>
      <c r="X537" s="203" t="n"/>
      <c r="Y537" s="203" t="n"/>
      <c r="Z537" s="203" t="n"/>
      <c r="AA537" s="203" t="n"/>
      <c r="AB537" s="203" t="n"/>
      <c r="AC537" s="203" t="n"/>
      <c r="AD537" s="203" t="n"/>
      <c r="AE537" s="203" t="n"/>
      <c r="AF537" s="203" t="n"/>
      <c r="AG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  <c r="S538" s="203" t="n"/>
      <c r="T538" s="203" t="n"/>
      <c r="U538" s="203" t="n"/>
      <c r="V538" s="203" t="n"/>
      <c r="W538" s="203" t="n"/>
      <c r="X538" s="203" t="n"/>
      <c r="Y538" s="203" t="n"/>
      <c r="Z538" s="203" t="n"/>
      <c r="AA538" s="203" t="n"/>
      <c r="AB538" s="203" t="n"/>
      <c r="AC538" s="203" t="n"/>
      <c r="AD538" s="203" t="n"/>
      <c r="AE538" s="203" t="n"/>
      <c r="AF538" s="203" t="n"/>
      <c r="AG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  <c r="S539" s="203" t="n"/>
      <c r="T539" s="203" t="n"/>
      <c r="U539" s="203" t="n"/>
      <c r="V539" s="203" t="n"/>
      <c r="W539" s="203" t="n"/>
      <c r="X539" s="203" t="n"/>
      <c r="Y539" s="203" t="n"/>
      <c r="Z539" s="203" t="n"/>
      <c r="AA539" s="203" t="n"/>
      <c r="AB539" s="203" t="n"/>
      <c r="AC539" s="203" t="n"/>
      <c r="AD539" s="203" t="n"/>
      <c r="AE539" s="203" t="n"/>
      <c r="AF539" s="203" t="n"/>
      <c r="AG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03" t="n"/>
      <c r="T540" s="203" t="n"/>
      <c r="U540" s="203" t="n"/>
      <c r="V540" s="203" t="n"/>
      <c r="W540" s="203" t="n"/>
      <c r="X540" s="203" t="n"/>
      <c r="Y540" s="203" t="n"/>
      <c r="Z540" s="203" t="n"/>
      <c r="AA540" s="203" t="n"/>
      <c r="AB540" s="203" t="n"/>
      <c r="AC540" s="203" t="n"/>
      <c r="AD540" s="203" t="n"/>
      <c r="AE540" s="203" t="n"/>
      <c r="AF540" s="203" t="n"/>
      <c r="AG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03" t="n"/>
      <c r="T541" s="203" t="n"/>
      <c r="U541" s="203" t="n"/>
      <c r="V541" s="203" t="n"/>
      <c r="W541" s="203" t="n"/>
      <c r="X541" s="203" t="n"/>
      <c r="Y541" s="203" t="n"/>
      <c r="Z541" s="203" t="n"/>
      <c r="AA541" s="203" t="n"/>
      <c r="AB541" s="203" t="n"/>
      <c r="AC541" s="203" t="n"/>
      <c r="AD541" s="203" t="n"/>
      <c r="AE541" s="203" t="n"/>
      <c r="AF541" s="203" t="n"/>
      <c r="AG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03" t="n"/>
      <c r="T542" s="203" t="n"/>
      <c r="U542" s="203" t="n"/>
      <c r="V542" s="203" t="n"/>
      <c r="W542" s="203" t="n"/>
      <c r="X542" s="203" t="n"/>
      <c r="Y542" s="203" t="n"/>
      <c r="Z542" s="203" t="n"/>
      <c r="AA542" s="203" t="n"/>
      <c r="AB542" s="203" t="n"/>
      <c r="AC542" s="203" t="n"/>
      <c r="AD542" s="203" t="n"/>
      <c r="AE542" s="203" t="n"/>
      <c r="AF542" s="203" t="n"/>
      <c r="AG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03" t="n"/>
      <c r="T543" s="203" t="n"/>
      <c r="U543" s="203" t="n"/>
      <c r="V543" s="203" t="n"/>
      <c r="W543" s="203" t="n"/>
      <c r="X543" s="203" t="n"/>
      <c r="Y543" s="203" t="n"/>
      <c r="Z543" s="203" t="n"/>
      <c r="AA543" s="203" t="n"/>
      <c r="AB543" s="203" t="n"/>
      <c r="AC543" s="203" t="n"/>
      <c r="AD543" s="203" t="n"/>
      <c r="AE543" s="203" t="n"/>
      <c r="AF543" s="203" t="n"/>
      <c r="AG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03" t="n"/>
      <c r="T544" s="203" t="n"/>
      <c r="U544" s="203" t="n"/>
      <c r="V544" s="203" t="n"/>
      <c r="W544" s="203" t="n"/>
      <c r="X544" s="203" t="n"/>
      <c r="Y544" s="203" t="n"/>
      <c r="Z544" s="203" t="n"/>
      <c r="AA544" s="203" t="n"/>
      <c r="AB544" s="203" t="n"/>
      <c r="AC544" s="203" t="n"/>
      <c r="AD544" s="203" t="n"/>
      <c r="AE544" s="203" t="n"/>
      <c r="AF544" s="203" t="n"/>
      <c r="AG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03" t="n"/>
      <c r="T545" s="203" t="n"/>
      <c r="U545" s="203" t="n"/>
      <c r="V545" s="203" t="n"/>
      <c r="W545" s="203" t="n"/>
      <c r="X545" s="203" t="n"/>
      <c r="Y545" s="203" t="n"/>
      <c r="Z545" s="203" t="n"/>
      <c r="AA545" s="203" t="n"/>
      <c r="AB545" s="203" t="n"/>
      <c r="AC545" s="203" t="n"/>
      <c r="AD545" s="203" t="n"/>
      <c r="AE545" s="203" t="n"/>
      <c r="AF545" s="203" t="n"/>
      <c r="AG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03" t="n"/>
      <c r="T546" s="203" t="n"/>
      <c r="U546" s="203" t="n"/>
      <c r="V546" s="203" t="n"/>
      <c r="W546" s="203" t="n"/>
      <c r="X546" s="203" t="n"/>
      <c r="Y546" s="203" t="n"/>
      <c r="Z546" s="203" t="n"/>
      <c r="AA546" s="203" t="n"/>
      <c r="AB546" s="203" t="n"/>
      <c r="AC546" s="203" t="n"/>
      <c r="AD546" s="203" t="n"/>
      <c r="AE546" s="203" t="n"/>
      <c r="AF546" s="203" t="n"/>
      <c r="AG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03" t="n"/>
      <c r="T547" s="203" t="n"/>
      <c r="U547" s="203" t="n"/>
      <c r="V547" s="203" t="n"/>
      <c r="W547" s="203" t="n"/>
      <c r="X547" s="203" t="n"/>
      <c r="Y547" s="203" t="n"/>
      <c r="Z547" s="203" t="n"/>
      <c r="AA547" s="203" t="n"/>
      <c r="AB547" s="203" t="n"/>
      <c r="AC547" s="203" t="n"/>
      <c r="AD547" s="203" t="n"/>
      <c r="AE547" s="203" t="n"/>
      <c r="AF547" s="203" t="n"/>
      <c r="AG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03" t="n"/>
      <c r="T548" s="203" t="n"/>
      <c r="U548" s="203" t="n"/>
      <c r="V548" s="203" t="n"/>
      <c r="W548" s="203" t="n"/>
      <c r="X548" s="203" t="n"/>
      <c r="Y548" s="203" t="n"/>
      <c r="Z548" s="203" t="n"/>
      <c r="AA548" s="203" t="n"/>
      <c r="AB548" s="203" t="n"/>
      <c r="AC548" s="203" t="n"/>
      <c r="AD548" s="203" t="n"/>
      <c r="AE548" s="203" t="n"/>
      <c r="AF548" s="203" t="n"/>
      <c r="AG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03" t="n"/>
      <c r="T549" s="203" t="n"/>
      <c r="U549" s="203" t="n"/>
      <c r="V549" s="203" t="n"/>
      <c r="W549" s="203" t="n"/>
      <c r="X549" s="203" t="n"/>
      <c r="Y549" s="203" t="n"/>
      <c r="Z549" s="203" t="n"/>
      <c r="AA549" s="203" t="n"/>
      <c r="AB549" s="203" t="n"/>
      <c r="AC549" s="203" t="n"/>
      <c r="AD549" s="203" t="n"/>
      <c r="AE549" s="203" t="n"/>
      <c r="AF549" s="203" t="n"/>
      <c r="AG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03" t="n"/>
      <c r="T550" s="203" t="n"/>
      <c r="U550" s="203" t="n"/>
      <c r="V550" s="203" t="n"/>
      <c r="W550" s="203" t="n"/>
      <c r="X550" s="203" t="n"/>
      <c r="Y550" s="203" t="n"/>
      <c r="Z550" s="203" t="n"/>
      <c r="AA550" s="203" t="n"/>
      <c r="AB550" s="203" t="n"/>
      <c r="AC550" s="203" t="n"/>
      <c r="AD550" s="203" t="n"/>
      <c r="AE550" s="203" t="n"/>
      <c r="AF550" s="203" t="n"/>
      <c r="AG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03" t="n"/>
      <c r="T551" s="203" t="n"/>
      <c r="U551" s="203" t="n"/>
      <c r="V551" s="203" t="n"/>
      <c r="W551" s="203" t="n"/>
      <c r="X551" s="203" t="n"/>
      <c r="Y551" s="203" t="n"/>
      <c r="Z551" s="203" t="n"/>
      <c r="AA551" s="203" t="n"/>
      <c r="AB551" s="203" t="n"/>
      <c r="AC551" s="203" t="n"/>
      <c r="AD551" s="203" t="n"/>
      <c r="AE551" s="203" t="n"/>
      <c r="AF551" s="203" t="n"/>
      <c r="AG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03" t="n"/>
      <c r="T552" s="203" t="n"/>
      <c r="U552" s="203" t="n"/>
      <c r="V552" s="203" t="n"/>
      <c r="W552" s="203" t="n"/>
      <c r="X552" s="203" t="n"/>
      <c r="Y552" s="203" t="n"/>
      <c r="Z552" s="203" t="n"/>
      <c r="AA552" s="203" t="n"/>
      <c r="AB552" s="203" t="n"/>
      <c r="AC552" s="203" t="n"/>
      <c r="AD552" s="203" t="n"/>
      <c r="AE552" s="203" t="n"/>
      <c r="AF552" s="203" t="n"/>
      <c r="AG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03" t="n"/>
      <c r="T553" s="203" t="n"/>
      <c r="U553" s="203" t="n"/>
      <c r="V553" s="203" t="n"/>
      <c r="W553" s="203" t="n"/>
      <c r="X553" s="203" t="n"/>
      <c r="Y553" s="203" t="n"/>
      <c r="Z553" s="203" t="n"/>
      <c r="AA553" s="203" t="n"/>
      <c r="AB553" s="203" t="n"/>
      <c r="AC553" s="203" t="n"/>
      <c r="AD553" s="203" t="n"/>
      <c r="AE553" s="203" t="n"/>
      <c r="AF553" s="203" t="n"/>
      <c r="AG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03" t="n"/>
      <c r="T554" s="203" t="n"/>
      <c r="U554" s="203" t="n"/>
      <c r="V554" s="203" t="n"/>
      <c r="W554" s="203" t="n"/>
      <c r="X554" s="203" t="n"/>
      <c r="Y554" s="203" t="n"/>
      <c r="Z554" s="203" t="n"/>
      <c r="AA554" s="203" t="n"/>
      <c r="AB554" s="203" t="n"/>
      <c r="AC554" s="203" t="n"/>
      <c r="AD554" s="203" t="n"/>
      <c r="AE554" s="203" t="n"/>
      <c r="AF554" s="203" t="n"/>
      <c r="AG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03" t="n"/>
      <c r="T555" s="203" t="n"/>
      <c r="U555" s="203" t="n"/>
      <c r="V555" s="203" t="n"/>
      <c r="W555" s="203" t="n"/>
      <c r="X555" s="203" t="n"/>
      <c r="Y555" s="203" t="n"/>
      <c r="Z555" s="203" t="n"/>
      <c r="AA555" s="203" t="n"/>
      <c r="AB555" s="203" t="n"/>
      <c r="AC555" s="203" t="n"/>
      <c r="AD555" s="203" t="n"/>
      <c r="AE555" s="203" t="n"/>
      <c r="AF555" s="203" t="n"/>
      <c r="AG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03" t="n"/>
      <c r="T556" s="203" t="n"/>
      <c r="U556" s="203" t="n"/>
      <c r="V556" s="203" t="n"/>
      <c r="W556" s="203" t="n"/>
      <c r="X556" s="203" t="n"/>
      <c r="Y556" s="203" t="n"/>
      <c r="Z556" s="203" t="n"/>
      <c r="AA556" s="203" t="n"/>
      <c r="AB556" s="203" t="n"/>
      <c r="AC556" s="203" t="n"/>
      <c r="AD556" s="203" t="n"/>
      <c r="AE556" s="203" t="n"/>
      <c r="AF556" s="203" t="n"/>
      <c r="AG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03" t="n"/>
      <c r="T557" s="203" t="n"/>
      <c r="U557" s="203" t="n"/>
      <c r="V557" s="203" t="n"/>
      <c r="W557" s="203" t="n"/>
      <c r="X557" s="203" t="n"/>
      <c r="Y557" s="203" t="n"/>
      <c r="Z557" s="203" t="n"/>
      <c r="AA557" s="203" t="n"/>
      <c r="AB557" s="203" t="n"/>
      <c r="AC557" s="203" t="n"/>
      <c r="AD557" s="203" t="n"/>
      <c r="AE557" s="203" t="n"/>
      <c r="AF557" s="203" t="n"/>
      <c r="AG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03" t="n"/>
      <c r="T558" s="203" t="n"/>
      <c r="U558" s="203" t="n"/>
      <c r="V558" s="203" t="n"/>
      <c r="W558" s="203" t="n"/>
      <c r="X558" s="203" t="n"/>
      <c r="Y558" s="203" t="n"/>
      <c r="Z558" s="203" t="n"/>
      <c r="AA558" s="203" t="n"/>
      <c r="AB558" s="203" t="n"/>
      <c r="AC558" s="203" t="n"/>
      <c r="AD558" s="203" t="n"/>
      <c r="AE558" s="203" t="n"/>
      <c r="AF558" s="203" t="n"/>
      <c r="AG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03" t="n"/>
      <c r="T559" s="203" t="n"/>
      <c r="U559" s="203" t="n"/>
      <c r="V559" s="203" t="n"/>
      <c r="W559" s="203" t="n"/>
      <c r="X559" s="203" t="n"/>
      <c r="Y559" s="203" t="n"/>
      <c r="Z559" s="203" t="n"/>
      <c r="AA559" s="203" t="n"/>
      <c r="AB559" s="203" t="n"/>
      <c r="AC559" s="203" t="n"/>
      <c r="AD559" s="203" t="n"/>
      <c r="AE559" s="203" t="n"/>
      <c r="AF559" s="203" t="n"/>
      <c r="AG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03" t="n"/>
      <c r="T560" s="203" t="n"/>
      <c r="U560" s="203" t="n"/>
      <c r="V560" s="203" t="n"/>
      <c r="W560" s="203" t="n"/>
      <c r="X560" s="203" t="n"/>
      <c r="Y560" s="203" t="n"/>
      <c r="Z560" s="203" t="n"/>
      <c r="AA560" s="203" t="n"/>
      <c r="AB560" s="203" t="n"/>
      <c r="AC560" s="203" t="n"/>
      <c r="AD560" s="203" t="n"/>
      <c r="AE560" s="203" t="n"/>
      <c r="AF560" s="203" t="n"/>
      <c r="AG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03" t="n"/>
      <c r="T561" s="203" t="n"/>
      <c r="U561" s="203" t="n"/>
      <c r="V561" s="203" t="n"/>
      <c r="W561" s="203" t="n"/>
      <c r="X561" s="203" t="n"/>
      <c r="Y561" s="203" t="n"/>
      <c r="Z561" s="203" t="n"/>
      <c r="AA561" s="203" t="n"/>
      <c r="AB561" s="203" t="n"/>
      <c r="AC561" s="203" t="n"/>
      <c r="AD561" s="203" t="n"/>
      <c r="AE561" s="203" t="n"/>
      <c r="AF561" s="203" t="n"/>
      <c r="AG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03" t="n"/>
      <c r="T562" s="203" t="n"/>
      <c r="U562" s="203" t="n"/>
      <c r="V562" s="203" t="n"/>
      <c r="W562" s="203" t="n"/>
      <c r="X562" s="203" t="n"/>
      <c r="Y562" s="203" t="n"/>
      <c r="Z562" s="203" t="n"/>
      <c r="AA562" s="203" t="n"/>
      <c r="AB562" s="203" t="n"/>
      <c r="AC562" s="203" t="n"/>
      <c r="AD562" s="203" t="n"/>
      <c r="AE562" s="203" t="n"/>
      <c r="AF562" s="203" t="n"/>
      <c r="AG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03" t="n"/>
      <c r="T563" s="203" t="n"/>
      <c r="U563" s="203" t="n"/>
      <c r="V563" s="203" t="n"/>
      <c r="W563" s="203" t="n"/>
      <c r="X563" s="203" t="n"/>
      <c r="Y563" s="203" t="n"/>
      <c r="Z563" s="203" t="n"/>
      <c r="AA563" s="203" t="n"/>
      <c r="AB563" s="203" t="n"/>
      <c r="AC563" s="203" t="n"/>
      <c r="AD563" s="203" t="n"/>
      <c r="AE563" s="203" t="n"/>
      <c r="AF563" s="203" t="n"/>
      <c r="AG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03" t="n"/>
      <c r="T564" s="203" t="n"/>
      <c r="U564" s="203" t="n"/>
      <c r="V564" s="203" t="n"/>
      <c r="W564" s="203" t="n"/>
      <c r="X564" s="203" t="n"/>
      <c r="Y564" s="203" t="n"/>
      <c r="Z564" s="203" t="n"/>
      <c r="AA564" s="203" t="n"/>
      <c r="AB564" s="203" t="n"/>
      <c r="AC564" s="203" t="n"/>
      <c r="AD564" s="203" t="n"/>
      <c r="AE564" s="203" t="n"/>
      <c r="AF564" s="203" t="n"/>
      <c r="AG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03" t="n"/>
      <c r="T565" s="203" t="n"/>
      <c r="U565" s="203" t="n"/>
      <c r="V565" s="203" t="n"/>
      <c r="W565" s="203" t="n"/>
      <c r="X565" s="203" t="n"/>
      <c r="Y565" s="203" t="n"/>
      <c r="Z565" s="203" t="n"/>
      <c r="AA565" s="203" t="n"/>
      <c r="AB565" s="203" t="n"/>
      <c r="AC565" s="203" t="n"/>
      <c r="AD565" s="203" t="n"/>
      <c r="AE565" s="203" t="n"/>
      <c r="AF565" s="203" t="n"/>
      <c r="AG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03" t="n"/>
      <c r="T566" s="203" t="n"/>
      <c r="U566" s="203" t="n"/>
      <c r="V566" s="203" t="n"/>
      <c r="W566" s="203" t="n"/>
      <c r="X566" s="203" t="n"/>
      <c r="Y566" s="203" t="n"/>
      <c r="Z566" s="203" t="n"/>
      <c r="AA566" s="203" t="n"/>
      <c r="AB566" s="203" t="n"/>
      <c r="AC566" s="203" t="n"/>
      <c r="AD566" s="203" t="n"/>
      <c r="AE566" s="203" t="n"/>
      <c r="AF566" s="203" t="n"/>
      <c r="AG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03" t="n"/>
      <c r="T567" s="203" t="n"/>
      <c r="U567" s="203" t="n"/>
      <c r="V567" s="203" t="n"/>
      <c r="W567" s="203" t="n"/>
      <c r="X567" s="203" t="n"/>
      <c r="Y567" s="203" t="n"/>
      <c r="Z567" s="203" t="n"/>
      <c r="AA567" s="203" t="n"/>
      <c r="AB567" s="203" t="n"/>
      <c r="AC567" s="203" t="n"/>
      <c r="AD567" s="203" t="n"/>
      <c r="AE567" s="203" t="n"/>
      <c r="AF567" s="203" t="n"/>
      <c r="AG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03" t="n"/>
      <c r="T568" s="203" t="n"/>
      <c r="U568" s="203" t="n"/>
      <c r="V568" s="203" t="n"/>
      <c r="W568" s="203" t="n"/>
      <c r="X568" s="203" t="n"/>
      <c r="Y568" s="203" t="n"/>
      <c r="Z568" s="203" t="n"/>
      <c r="AA568" s="203" t="n"/>
      <c r="AB568" s="203" t="n"/>
      <c r="AC568" s="203" t="n"/>
      <c r="AD568" s="203" t="n"/>
      <c r="AE568" s="203" t="n"/>
      <c r="AF568" s="203" t="n"/>
      <c r="AG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03" t="n"/>
      <c r="T569" s="203" t="n"/>
      <c r="U569" s="203" t="n"/>
      <c r="V569" s="203" t="n"/>
      <c r="W569" s="203" t="n"/>
      <c r="X569" s="203" t="n"/>
      <c r="Y569" s="203" t="n"/>
      <c r="Z569" s="203" t="n"/>
      <c r="AA569" s="203" t="n"/>
      <c r="AB569" s="203" t="n"/>
      <c r="AC569" s="203" t="n"/>
      <c r="AD569" s="203" t="n"/>
      <c r="AE569" s="203" t="n"/>
      <c r="AF569" s="203" t="n"/>
      <c r="AG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03" t="n"/>
      <c r="T570" s="203" t="n"/>
      <c r="U570" s="203" t="n"/>
      <c r="V570" s="203" t="n"/>
      <c r="W570" s="203" t="n"/>
      <c r="X570" s="203" t="n"/>
      <c r="Y570" s="203" t="n"/>
      <c r="Z570" s="203" t="n"/>
      <c r="AA570" s="203" t="n"/>
      <c r="AB570" s="203" t="n"/>
      <c r="AC570" s="203" t="n"/>
      <c r="AD570" s="203" t="n"/>
      <c r="AE570" s="203" t="n"/>
      <c r="AF570" s="203" t="n"/>
      <c r="AG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03" t="n"/>
      <c r="T571" s="203" t="n"/>
      <c r="U571" s="203" t="n"/>
      <c r="V571" s="203" t="n"/>
      <c r="W571" s="203" t="n"/>
      <c r="X571" s="203" t="n"/>
      <c r="Y571" s="203" t="n"/>
      <c r="Z571" s="203" t="n"/>
      <c r="AA571" s="203" t="n"/>
      <c r="AB571" s="203" t="n"/>
      <c r="AC571" s="203" t="n"/>
      <c r="AD571" s="203" t="n"/>
      <c r="AE571" s="203" t="n"/>
      <c r="AF571" s="203" t="n"/>
      <c r="AG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03" t="n"/>
      <c r="T572" s="203" t="n"/>
      <c r="U572" s="203" t="n"/>
      <c r="V572" s="203" t="n"/>
      <c r="W572" s="203" t="n"/>
      <c r="X572" s="203" t="n"/>
      <c r="Y572" s="203" t="n"/>
      <c r="Z572" s="203" t="n"/>
      <c r="AA572" s="203" t="n"/>
      <c r="AB572" s="203" t="n"/>
      <c r="AC572" s="203" t="n"/>
      <c r="AD572" s="203" t="n"/>
      <c r="AE572" s="203" t="n"/>
      <c r="AF572" s="203" t="n"/>
      <c r="AG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03" t="n"/>
      <c r="T573" s="203" t="n"/>
      <c r="U573" s="203" t="n"/>
      <c r="V573" s="203" t="n"/>
      <c r="W573" s="203" t="n"/>
      <c r="X573" s="203" t="n"/>
      <c r="Y573" s="203" t="n"/>
      <c r="Z573" s="203" t="n"/>
      <c r="AA573" s="203" t="n"/>
      <c r="AB573" s="203" t="n"/>
      <c r="AC573" s="203" t="n"/>
      <c r="AD573" s="203" t="n"/>
      <c r="AE573" s="203" t="n"/>
      <c r="AF573" s="203" t="n"/>
      <c r="AG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03" t="n"/>
      <c r="T574" s="203" t="n"/>
      <c r="U574" s="203" t="n"/>
      <c r="V574" s="203" t="n"/>
      <c r="W574" s="203" t="n"/>
      <c r="X574" s="203" t="n"/>
      <c r="Y574" s="203" t="n"/>
      <c r="Z574" s="203" t="n"/>
      <c r="AA574" s="203" t="n"/>
      <c r="AB574" s="203" t="n"/>
      <c r="AC574" s="203" t="n"/>
      <c r="AD574" s="203" t="n"/>
      <c r="AE574" s="203" t="n"/>
      <c r="AF574" s="203" t="n"/>
      <c r="AG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03" t="n"/>
      <c r="T575" s="203" t="n"/>
      <c r="U575" s="203" t="n"/>
      <c r="V575" s="203" t="n"/>
      <c r="W575" s="203" t="n"/>
      <c r="X575" s="203" t="n"/>
      <c r="Y575" s="203" t="n"/>
      <c r="Z575" s="203" t="n"/>
      <c r="AA575" s="203" t="n"/>
      <c r="AB575" s="203" t="n"/>
      <c r="AC575" s="203" t="n"/>
      <c r="AD575" s="203" t="n"/>
      <c r="AE575" s="203" t="n"/>
      <c r="AF575" s="203" t="n"/>
      <c r="AG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03" t="n"/>
      <c r="T576" s="203" t="n"/>
      <c r="U576" s="203" t="n"/>
      <c r="V576" s="203" t="n"/>
      <c r="W576" s="203" t="n"/>
      <c r="X576" s="203" t="n"/>
      <c r="Y576" s="203" t="n"/>
      <c r="Z576" s="203" t="n"/>
      <c r="AA576" s="203" t="n"/>
      <c r="AB576" s="203" t="n"/>
      <c r="AC576" s="203" t="n"/>
      <c r="AD576" s="203" t="n"/>
      <c r="AE576" s="203" t="n"/>
      <c r="AF576" s="203" t="n"/>
      <c r="AG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03" t="n"/>
      <c r="T577" s="203" t="n"/>
      <c r="U577" s="203" t="n"/>
      <c r="V577" s="203" t="n"/>
      <c r="W577" s="203" t="n"/>
      <c r="X577" s="203" t="n"/>
      <c r="Y577" s="203" t="n"/>
      <c r="Z577" s="203" t="n"/>
      <c r="AA577" s="203" t="n"/>
      <c r="AB577" s="203" t="n"/>
      <c r="AC577" s="203" t="n"/>
      <c r="AD577" s="203" t="n"/>
      <c r="AE577" s="203" t="n"/>
      <c r="AF577" s="203" t="n"/>
      <c r="AG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03" t="n"/>
      <c r="T578" s="203" t="n"/>
      <c r="U578" s="203" t="n"/>
      <c r="V578" s="203" t="n"/>
      <c r="W578" s="203" t="n"/>
      <c r="X578" s="203" t="n"/>
      <c r="Y578" s="203" t="n"/>
      <c r="Z578" s="203" t="n"/>
      <c r="AA578" s="203" t="n"/>
      <c r="AB578" s="203" t="n"/>
      <c r="AC578" s="203" t="n"/>
      <c r="AD578" s="203" t="n"/>
      <c r="AE578" s="203" t="n"/>
      <c r="AF578" s="203" t="n"/>
      <c r="AG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03" t="n"/>
      <c r="T579" s="203" t="n"/>
      <c r="U579" s="203" t="n"/>
      <c r="V579" s="203" t="n"/>
      <c r="W579" s="203" t="n"/>
      <c r="X579" s="203" t="n"/>
      <c r="Y579" s="203" t="n"/>
      <c r="Z579" s="203" t="n"/>
      <c r="AA579" s="203" t="n"/>
      <c r="AB579" s="203" t="n"/>
      <c r="AC579" s="203" t="n"/>
      <c r="AD579" s="203" t="n"/>
      <c r="AE579" s="203" t="n"/>
      <c r="AF579" s="203" t="n"/>
      <c r="AG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03" t="n"/>
      <c r="T580" s="203" t="n"/>
      <c r="U580" s="203" t="n"/>
      <c r="V580" s="203" t="n"/>
      <c r="W580" s="203" t="n"/>
      <c r="X580" s="203" t="n"/>
      <c r="Y580" s="203" t="n"/>
      <c r="Z580" s="203" t="n"/>
      <c r="AA580" s="203" t="n"/>
      <c r="AB580" s="203" t="n"/>
      <c r="AC580" s="203" t="n"/>
      <c r="AD580" s="203" t="n"/>
      <c r="AE580" s="203" t="n"/>
      <c r="AF580" s="203" t="n"/>
      <c r="AG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03" t="n"/>
      <c r="T581" s="203" t="n"/>
      <c r="U581" s="203" t="n"/>
      <c r="V581" s="203" t="n"/>
      <c r="W581" s="203" t="n"/>
      <c r="X581" s="203" t="n"/>
      <c r="Y581" s="203" t="n"/>
      <c r="Z581" s="203" t="n"/>
      <c r="AA581" s="203" t="n"/>
      <c r="AB581" s="203" t="n"/>
      <c r="AC581" s="203" t="n"/>
      <c r="AD581" s="203" t="n"/>
      <c r="AE581" s="203" t="n"/>
      <c r="AF581" s="203" t="n"/>
      <c r="AG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03" t="n"/>
      <c r="T582" s="203" t="n"/>
      <c r="U582" s="203" t="n"/>
      <c r="V582" s="203" t="n"/>
      <c r="W582" s="203" t="n"/>
      <c r="X582" s="203" t="n"/>
      <c r="Y582" s="203" t="n"/>
      <c r="Z582" s="203" t="n"/>
      <c r="AA582" s="203" t="n"/>
      <c r="AB582" s="203" t="n"/>
      <c r="AC582" s="203" t="n"/>
      <c r="AD582" s="203" t="n"/>
      <c r="AE582" s="203" t="n"/>
      <c r="AF582" s="203" t="n"/>
      <c r="AG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03" t="n"/>
      <c r="T583" s="203" t="n"/>
      <c r="U583" s="203" t="n"/>
      <c r="V583" s="203" t="n"/>
      <c r="W583" s="203" t="n"/>
      <c r="X583" s="203" t="n"/>
      <c r="Y583" s="203" t="n"/>
      <c r="Z583" s="203" t="n"/>
      <c r="AA583" s="203" t="n"/>
      <c r="AB583" s="203" t="n"/>
      <c r="AC583" s="203" t="n"/>
      <c r="AD583" s="203" t="n"/>
      <c r="AE583" s="203" t="n"/>
      <c r="AF583" s="203" t="n"/>
      <c r="AG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03" t="n"/>
      <c r="T584" s="203" t="n"/>
      <c r="U584" s="203" t="n"/>
      <c r="V584" s="203" t="n"/>
      <c r="W584" s="203" t="n"/>
      <c r="X584" s="203" t="n"/>
      <c r="Y584" s="203" t="n"/>
      <c r="Z584" s="203" t="n"/>
      <c r="AA584" s="203" t="n"/>
      <c r="AB584" s="203" t="n"/>
      <c r="AC584" s="203" t="n"/>
      <c r="AD584" s="203" t="n"/>
      <c r="AE584" s="203" t="n"/>
      <c r="AF584" s="203" t="n"/>
      <c r="AG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03" t="n"/>
      <c r="T585" s="203" t="n"/>
      <c r="U585" s="203" t="n"/>
      <c r="V585" s="203" t="n"/>
      <c r="W585" s="203" t="n"/>
      <c r="X585" s="203" t="n"/>
      <c r="Y585" s="203" t="n"/>
      <c r="Z585" s="203" t="n"/>
      <c r="AA585" s="203" t="n"/>
      <c r="AB585" s="203" t="n"/>
      <c r="AC585" s="203" t="n"/>
      <c r="AD585" s="203" t="n"/>
      <c r="AE585" s="203" t="n"/>
      <c r="AF585" s="203" t="n"/>
      <c r="AG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03" t="n"/>
      <c r="T586" s="203" t="n"/>
      <c r="U586" s="203" t="n"/>
      <c r="V586" s="203" t="n"/>
      <c r="W586" s="203" t="n"/>
      <c r="X586" s="203" t="n"/>
      <c r="Y586" s="203" t="n"/>
      <c r="Z586" s="203" t="n"/>
      <c r="AA586" s="203" t="n"/>
      <c r="AB586" s="203" t="n"/>
      <c r="AC586" s="203" t="n"/>
      <c r="AD586" s="203" t="n"/>
      <c r="AE586" s="203" t="n"/>
      <c r="AF586" s="203" t="n"/>
      <c r="AG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03" t="n"/>
      <c r="T587" s="203" t="n"/>
      <c r="U587" s="203" t="n"/>
      <c r="V587" s="203" t="n"/>
      <c r="W587" s="203" t="n"/>
      <c r="X587" s="203" t="n"/>
      <c r="Y587" s="203" t="n"/>
      <c r="Z587" s="203" t="n"/>
      <c r="AA587" s="203" t="n"/>
      <c r="AB587" s="203" t="n"/>
      <c r="AC587" s="203" t="n"/>
      <c r="AD587" s="203" t="n"/>
      <c r="AE587" s="203" t="n"/>
      <c r="AF587" s="203" t="n"/>
      <c r="AG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03" t="n"/>
      <c r="T588" s="203" t="n"/>
      <c r="U588" s="203" t="n"/>
      <c r="V588" s="203" t="n"/>
      <c r="W588" s="203" t="n"/>
      <c r="X588" s="203" t="n"/>
      <c r="Y588" s="203" t="n"/>
      <c r="Z588" s="203" t="n"/>
      <c r="AA588" s="203" t="n"/>
      <c r="AB588" s="203" t="n"/>
      <c r="AC588" s="203" t="n"/>
      <c r="AD588" s="203" t="n"/>
      <c r="AE588" s="203" t="n"/>
      <c r="AF588" s="203" t="n"/>
      <c r="AG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03" t="n"/>
      <c r="T589" s="203" t="n"/>
      <c r="U589" s="203" t="n"/>
      <c r="V589" s="203" t="n"/>
      <c r="W589" s="203" t="n"/>
      <c r="X589" s="203" t="n"/>
      <c r="Y589" s="203" t="n"/>
      <c r="Z589" s="203" t="n"/>
      <c r="AA589" s="203" t="n"/>
      <c r="AB589" s="203" t="n"/>
      <c r="AC589" s="203" t="n"/>
      <c r="AD589" s="203" t="n"/>
      <c r="AE589" s="203" t="n"/>
      <c r="AF589" s="203" t="n"/>
      <c r="AG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03" t="n"/>
      <c r="T590" s="203" t="n"/>
      <c r="U590" s="203" t="n"/>
      <c r="V590" s="203" t="n"/>
      <c r="W590" s="203" t="n"/>
      <c r="X590" s="203" t="n"/>
      <c r="Y590" s="203" t="n"/>
      <c r="Z590" s="203" t="n"/>
      <c r="AA590" s="203" t="n"/>
      <c r="AB590" s="203" t="n"/>
      <c r="AC590" s="203" t="n"/>
      <c r="AD590" s="203" t="n"/>
      <c r="AE590" s="203" t="n"/>
      <c r="AF590" s="203" t="n"/>
      <c r="AG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03" t="n"/>
      <c r="T591" s="203" t="n"/>
      <c r="U591" s="203" t="n"/>
      <c r="V591" s="203" t="n"/>
      <c r="W591" s="203" t="n"/>
      <c r="X591" s="203" t="n"/>
      <c r="Y591" s="203" t="n"/>
      <c r="Z591" s="203" t="n"/>
      <c r="AA591" s="203" t="n"/>
      <c r="AB591" s="203" t="n"/>
      <c r="AC591" s="203" t="n"/>
      <c r="AD591" s="203" t="n"/>
      <c r="AE591" s="203" t="n"/>
      <c r="AF591" s="203" t="n"/>
      <c r="AG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03" t="n"/>
      <c r="T592" s="203" t="n"/>
      <c r="U592" s="203" t="n"/>
      <c r="V592" s="203" t="n"/>
      <c r="W592" s="203" t="n"/>
      <c r="X592" s="203" t="n"/>
      <c r="Y592" s="203" t="n"/>
      <c r="Z592" s="203" t="n"/>
      <c r="AA592" s="203" t="n"/>
      <c r="AB592" s="203" t="n"/>
      <c r="AC592" s="203" t="n"/>
      <c r="AD592" s="203" t="n"/>
      <c r="AE592" s="203" t="n"/>
      <c r="AF592" s="203" t="n"/>
      <c r="AG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03" t="n"/>
      <c r="T593" s="203" t="n"/>
      <c r="U593" s="203" t="n"/>
      <c r="V593" s="203" t="n"/>
      <c r="W593" s="203" t="n"/>
      <c r="X593" s="203" t="n"/>
      <c r="Y593" s="203" t="n"/>
      <c r="Z593" s="203" t="n"/>
      <c r="AA593" s="203" t="n"/>
      <c r="AB593" s="203" t="n"/>
      <c r="AC593" s="203" t="n"/>
      <c r="AD593" s="203" t="n"/>
      <c r="AE593" s="203" t="n"/>
      <c r="AF593" s="203" t="n"/>
      <c r="AG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03" t="n"/>
      <c r="T594" s="203" t="n"/>
      <c r="U594" s="203" t="n"/>
      <c r="V594" s="203" t="n"/>
      <c r="W594" s="203" t="n"/>
      <c r="X594" s="203" t="n"/>
      <c r="Y594" s="203" t="n"/>
      <c r="Z594" s="203" t="n"/>
      <c r="AA594" s="203" t="n"/>
      <c r="AB594" s="203" t="n"/>
      <c r="AC594" s="203" t="n"/>
      <c r="AD594" s="203" t="n"/>
      <c r="AE594" s="203" t="n"/>
      <c r="AF594" s="203" t="n"/>
      <c r="AG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03" t="n"/>
      <c r="T595" s="203" t="n"/>
      <c r="U595" s="203" t="n"/>
      <c r="V595" s="203" t="n"/>
      <c r="W595" s="203" t="n"/>
      <c r="X595" s="203" t="n"/>
      <c r="Y595" s="203" t="n"/>
      <c r="Z595" s="203" t="n"/>
      <c r="AA595" s="203" t="n"/>
      <c r="AB595" s="203" t="n"/>
      <c r="AC595" s="203" t="n"/>
      <c r="AD595" s="203" t="n"/>
      <c r="AE595" s="203" t="n"/>
      <c r="AF595" s="203" t="n"/>
      <c r="AG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03" t="n"/>
      <c r="T596" s="203" t="n"/>
      <c r="U596" s="203" t="n"/>
      <c r="V596" s="203" t="n"/>
      <c r="W596" s="203" t="n"/>
      <c r="X596" s="203" t="n"/>
      <c r="Y596" s="203" t="n"/>
      <c r="Z596" s="203" t="n"/>
      <c r="AA596" s="203" t="n"/>
      <c r="AB596" s="203" t="n"/>
      <c r="AC596" s="203" t="n"/>
      <c r="AD596" s="203" t="n"/>
      <c r="AE596" s="203" t="n"/>
      <c r="AF596" s="203" t="n"/>
      <c r="AG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03" t="n"/>
      <c r="T597" s="203" t="n"/>
      <c r="U597" s="203" t="n"/>
      <c r="V597" s="203" t="n"/>
      <c r="W597" s="203" t="n"/>
      <c r="X597" s="203" t="n"/>
      <c r="Y597" s="203" t="n"/>
      <c r="Z597" s="203" t="n"/>
      <c r="AA597" s="203" t="n"/>
      <c r="AB597" s="203" t="n"/>
      <c r="AC597" s="203" t="n"/>
      <c r="AD597" s="203" t="n"/>
      <c r="AE597" s="203" t="n"/>
      <c r="AF597" s="203" t="n"/>
      <c r="AG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03" t="n"/>
      <c r="T598" s="203" t="n"/>
      <c r="U598" s="203" t="n"/>
      <c r="V598" s="203" t="n"/>
      <c r="W598" s="203" t="n"/>
      <c r="X598" s="203" t="n"/>
      <c r="Y598" s="203" t="n"/>
      <c r="Z598" s="203" t="n"/>
      <c r="AA598" s="203" t="n"/>
      <c r="AB598" s="203" t="n"/>
      <c r="AC598" s="203" t="n"/>
      <c r="AD598" s="203" t="n"/>
      <c r="AE598" s="203" t="n"/>
      <c r="AF598" s="203" t="n"/>
      <c r="AG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03" t="n"/>
      <c r="T599" s="203" t="n"/>
      <c r="U599" s="203" t="n"/>
      <c r="V599" s="203" t="n"/>
      <c r="W599" s="203" t="n"/>
      <c r="X599" s="203" t="n"/>
      <c r="Y599" s="203" t="n"/>
      <c r="Z599" s="203" t="n"/>
      <c r="AA599" s="203" t="n"/>
      <c r="AB599" s="203" t="n"/>
      <c r="AC599" s="203" t="n"/>
      <c r="AD599" s="203" t="n"/>
      <c r="AE599" s="203" t="n"/>
      <c r="AF599" s="203" t="n"/>
      <c r="AG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03" t="n"/>
      <c r="T600" s="203" t="n"/>
      <c r="U600" s="203" t="n"/>
      <c r="V600" s="203" t="n"/>
      <c r="W600" s="203" t="n"/>
      <c r="X600" s="203" t="n"/>
      <c r="Y600" s="203" t="n"/>
      <c r="Z600" s="203" t="n"/>
      <c r="AA600" s="203" t="n"/>
      <c r="AB600" s="203" t="n"/>
      <c r="AC600" s="203" t="n"/>
      <c r="AD600" s="203" t="n"/>
      <c r="AE600" s="203" t="n"/>
      <c r="AF600" s="203" t="n"/>
      <c r="AG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03" t="n"/>
      <c r="T601" s="203" t="n"/>
      <c r="U601" s="203" t="n"/>
      <c r="V601" s="203" t="n"/>
      <c r="W601" s="203" t="n"/>
      <c r="X601" s="203" t="n"/>
      <c r="Y601" s="203" t="n"/>
      <c r="Z601" s="203" t="n"/>
      <c r="AA601" s="203" t="n"/>
      <c r="AB601" s="203" t="n"/>
      <c r="AC601" s="203" t="n"/>
      <c r="AD601" s="203" t="n"/>
      <c r="AE601" s="203" t="n"/>
      <c r="AF601" s="203" t="n"/>
      <c r="AG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03" t="n"/>
      <c r="T602" s="203" t="n"/>
      <c r="U602" s="203" t="n"/>
      <c r="V602" s="203" t="n"/>
      <c r="W602" s="203" t="n"/>
      <c r="X602" s="203" t="n"/>
      <c r="Y602" s="203" t="n"/>
      <c r="Z602" s="203" t="n"/>
      <c r="AA602" s="203" t="n"/>
      <c r="AB602" s="203" t="n"/>
      <c r="AC602" s="203" t="n"/>
      <c r="AD602" s="203" t="n"/>
      <c r="AE602" s="203" t="n"/>
      <c r="AF602" s="203" t="n"/>
      <c r="AG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03" t="n"/>
      <c r="T603" s="203" t="n"/>
      <c r="U603" s="203" t="n"/>
      <c r="V603" s="203" t="n"/>
      <c r="W603" s="203" t="n"/>
      <c r="X603" s="203" t="n"/>
      <c r="Y603" s="203" t="n"/>
      <c r="Z603" s="203" t="n"/>
      <c r="AA603" s="203" t="n"/>
      <c r="AB603" s="203" t="n"/>
      <c r="AC603" s="203" t="n"/>
      <c r="AD603" s="203" t="n"/>
      <c r="AE603" s="203" t="n"/>
      <c r="AF603" s="203" t="n"/>
      <c r="AG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03" t="n"/>
      <c r="T604" s="203" t="n"/>
      <c r="U604" s="203" t="n"/>
      <c r="V604" s="203" t="n"/>
      <c r="W604" s="203" t="n"/>
      <c r="X604" s="203" t="n"/>
      <c r="Y604" s="203" t="n"/>
      <c r="Z604" s="203" t="n"/>
      <c r="AA604" s="203" t="n"/>
      <c r="AB604" s="203" t="n"/>
      <c r="AC604" s="203" t="n"/>
      <c r="AD604" s="203" t="n"/>
      <c r="AE604" s="203" t="n"/>
      <c r="AF604" s="203" t="n"/>
      <c r="AG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03" t="n"/>
      <c r="T605" s="203" t="n"/>
      <c r="U605" s="203" t="n"/>
      <c r="V605" s="203" t="n"/>
      <c r="W605" s="203" t="n"/>
      <c r="X605" s="203" t="n"/>
      <c r="Y605" s="203" t="n"/>
      <c r="Z605" s="203" t="n"/>
      <c r="AA605" s="203" t="n"/>
      <c r="AB605" s="203" t="n"/>
      <c r="AC605" s="203" t="n"/>
      <c r="AD605" s="203" t="n"/>
      <c r="AE605" s="203" t="n"/>
      <c r="AF605" s="203" t="n"/>
      <c r="AG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03" t="n"/>
      <c r="T606" s="203" t="n"/>
      <c r="U606" s="203" t="n"/>
      <c r="V606" s="203" t="n"/>
      <c r="W606" s="203" t="n"/>
      <c r="X606" s="203" t="n"/>
      <c r="Y606" s="203" t="n"/>
      <c r="Z606" s="203" t="n"/>
      <c r="AA606" s="203" t="n"/>
      <c r="AB606" s="203" t="n"/>
      <c r="AC606" s="203" t="n"/>
      <c r="AD606" s="203" t="n"/>
      <c r="AE606" s="203" t="n"/>
      <c r="AF606" s="203" t="n"/>
      <c r="AG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03" t="n"/>
      <c r="T607" s="203" t="n"/>
      <c r="U607" s="203" t="n"/>
      <c r="V607" s="203" t="n"/>
      <c r="W607" s="203" t="n"/>
      <c r="X607" s="203" t="n"/>
      <c r="Y607" s="203" t="n"/>
      <c r="Z607" s="203" t="n"/>
      <c r="AA607" s="203" t="n"/>
      <c r="AB607" s="203" t="n"/>
      <c r="AC607" s="203" t="n"/>
      <c r="AD607" s="203" t="n"/>
      <c r="AE607" s="203" t="n"/>
      <c r="AF607" s="203" t="n"/>
      <c r="AG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03" t="n"/>
      <c r="T608" s="203" t="n"/>
      <c r="U608" s="203" t="n"/>
      <c r="V608" s="203" t="n"/>
      <c r="W608" s="203" t="n"/>
      <c r="X608" s="203" t="n"/>
      <c r="Y608" s="203" t="n"/>
      <c r="Z608" s="203" t="n"/>
      <c r="AA608" s="203" t="n"/>
      <c r="AB608" s="203" t="n"/>
      <c r="AC608" s="203" t="n"/>
      <c r="AD608" s="203" t="n"/>
      <c r="AE608" s="203" t="n"/>
      <c r="AF608" s="203" t="n"/>
      <c r="AG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03" t="n"/>
      <c r="T609" s="203" t="n"/>
      <c r="U609" s="203" t="n"/>
      <c r="V609" s="203" t="n"/>
      <c r="W609" s="203" t="n"/>
      <c r="X609" s="203" t="n"/>
      <c r="Y609" s="203" t="n"/>
      <c r="Z609" s="203" t="n"/>
      <c r="AA609" s="203" t="n"/>
      <c r="AB609" s="203" t="n"/>
      <c r="AC609" s="203" t="n"/>
      <c r="AD609" s="203" t="n"/>
      <c r="AE609" s="203" t="n"/>
      <c r="AF609" s="203" t="n"/>
      <c r="AG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03" t="n"/>
      <c r="T610" s="203" t="n"/>
      <c r="U610" s="203" t="n"/>
      <c r="V610" s="203" t="n"/>
      <c r="W610" s="203" t="n"/>
      <c r="X610" s="203" t="n"/>
      <c r="Y610" s="203" t="n"/>
      <c r="Z610" s="203" t="n"/>
      <c r="AA610" s="203" t="n"/>
      <c r="AB610" s="203" t="n"/>
      <c r="AC610" s="203" t="n"/>
      <c r="AD610" s="203" t="n"/>
      <c r="AE610" s="203" t="n"/>
      <c r="AF610" s="203" t="n"/>
      <c r="AG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03" t="n"/>
      <c r="T611" s="203" t="n"/>
      <c r="U611" s="203" t="n"/>
      <c r="V611" s="203" t="n"/>
      <c r="W611" s="203" t="n"/>
      <c r="X611" s="203" t="n"/>
      <c r="Y611" s="203" t="n"/>
      <c r="Z611" s="203" t="n"/>
      <c r="AA611" s="203" t="n"/>
      <c r="AB611" s="203" t="n"/>
      <c r="AC611" s="203" t="n"/>
      <c r="AD611" s="203" t="n"/>
      <c r="AE611" s="203" t="n"/>
      <c r="AF611" s="203" t="n"/>
      <c r="AG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03" t="n"/>
      <c r="T612" s="203" t="n"/>
      <c r="U612" s="203" t="n"/>
      <c r="V612" s="203" t="n"/>
      <c r="W612" s="203" t="n"/>
      <c r="X612" s="203" t="n"/>
      <c r="Y612" s="203" t="n"/>
      <c r="Z612" s="203" t="n"/>
      <c r="AA612" s="203" t="n"/>
      <c r="AB612" s="203" t="n"/>
      <c r="AC612" s="203" t="n"/>
      <c r="AD612" s="203" t="n"/>
      <c r="AE612" s="203" t="n"/>
      <c r="AF612" s="203" t="n"/>
      <c r="AG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03" t="n"/>
      <c r="T613" s="203" t="n"/>
      <c r="U613" s="203" t="n"/>
      <c r="V613" s="203" t="n"/>
      <c r="W613" s="203" t="n"/>
      <c r="X613" s="203" t="n"/>
      <c r="Y613" s="203" t="n"/>
      <c r="Z613" s="203" t="n"/>
      <c r="AA613" s="203" t="n"/>
      <c r="AB613" s="203" t="n"/>
      <c r="AC613" s="203" t="n"/>
      <c r="AD613" s="203" t="n"/>
      <c r="AE613" s="203" t="n"/>
      <c r="AF613" s="203" t="n"/>
      <c r="AG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03" t="n"/>
      <c r="T614" s="203" t="n"/>
      <c r="U614" s="203" t="n"/>
      <c r="V614" s="203" t="n"/>
      <c r="W614" s="203" t="n"/>
      <c r="X614" s="203" t="n"/>
      <c r="Y614" s="203" t="n"/>
      <c r="Z614" s="203" t="n"/>
      <c r="AA614" s="203" t="n"/>
      <c r="AB614" s="203" t="n"/>
      <c r="AC614" s="203" t="n"/>
      <c r="AD614" s="203" t="n"/>
      <c r="AE614" s="203" t="n"/>
      <c r="AF614" s="203" t="n"/>
      <c r="AG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03" t="n"/>
      <c r="T615" s="203" t="n"/>
      <c r="U615" s="203" t="n"/>
      <c r="V615" s="203" t="n"/>
      <c r="W615" s="203" t="n"/>
      <c r="X615" s="203" t="n"/>
      <c r="Y615" s="203" t="n"/>
      <c r="Z615" s="203" t="n"/>
      <c r="AA615" s="203" t="n"/>
      <c r="AB615" s="203" t="n"/>
      <c r="AC615" s="203" t="n"/>
      <c r="AD615" s="203" t="n"/>
      <c r="AE615" s="203" t="n"/>
      <c r="AF615" s="203" t="n"/>
      <c r="AG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03" t="n"/>
      <c r="T616" s="203" t="n"/>
      <c r="U616" s="203" t="n"/>
      <c r="V616" s="203" t="n"/>
      <c r="W616" s="203" t="n"/>
      <c r="X616" s="203" t="n"/>
      <c r="Y616" s="203" t="n"/>
      <c r="Z616" s="203" t="n"/>
      <c r="AA616" s="203" t="n"/>
      <c r="AB616" s="203" t="n"/>
      <c r="AC616" s="203" t="n"/>
      <c r="AD616" s="203" t="n"/>
      <c r="AE616" s="203" t="n"/>
      <c r="AF616" s="203" t="n"/>
      <c r="AG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03" t="n"/>
      <c r="T617" s="203" t="n"/>
      <c r="U617" s="203" t="n"/>
      <c r="V617" s="203" t="n"/>
      <c r="W617" s="203" t="n"/>
      <c r="X617" s="203" t="n"/>
      <c r="Y617" s="203" t="n"/>
      <c r="Z617" s="203" t="n"/>
      <c r="AA617" s="203" t="n"/>
      <c r="AB617" s="203" t="n"/>
      <c r="AC617" s="203" t="n"/>
      <c r="AD617" s="203" t="n"/>
      <c r="AE617" s="203" t="n"/>
      <c r="AF617" s="203" t="n"/>
      <c r="AG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03" t="n"/>
      <c r="T618" s="203" t="n"/>
      <c r="U618" s="203" t="n"/>
      <c r="V618" s="203" t="n"/>
      <c r="W618" s="203" t="n"/>
      <c r="X618" s="203" t="n"/>
      <c r="Y618" s="203" t="n"/>
      <c r="Z618" s="203" t="n"/>
      <c r="AA618" s="203" t="n"/>
      <c r="AB618" s="203" t="n"/>
      <c r="AC618" s="203" t="n"/>
      <c r="AD618" s="203" t="n"/>
      <c r="AE618" s="203" t="n"/>
      <c r="AF618" s="203" t="n"/>
      <c r="AG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03" t="n"/>
      <c r="T619" s="203" t="n"/>
      <c r="U619" s="203" t="n"/>
      <c r="V619" s="203" t="n"/>
      <c r="W619" s="203" t="n"/>
      <c r="X619" s="203" t="n"/>
      <c r="Y619" s="203" t="n"/>
      <c r="Z619" s="203" t="n"/>
      <c r="AA619" s="203" t="n"/>
      <c r="AB619" s="203" t="n"/>
      <c r="AC619" s="203" t="n"/>
      <c r="AD619" s="203" t="n"/>
      <c r="AE619" s="203" t="n"/>
      <c r="AF619" s="203" t="n"/>
      <c r="AG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03" t="n"/>
      <c r="T620" s="203" t="n"/>
      <c r="U620" s="203" t="n"/>
      <c r="V620" s="203" t="n"/>
      <c r="W620" s="203" t="n"/>
      <c r="X620" s="203" t="n"/>
      <c r="Y620" s="203" t="n"/>
      <c r="Z620" s="203" t="n"/>
      <c r="AA620" s="203" t="n"/>
      <c r="AB620" s="203" t="n"/>
      <c r="AC620" s="203" t="n"/>
      <c r="AD620" s="203" t="n"/>
      <c r="AE620" s="203" t="n"/>
      <c r="AF620" s="203" t="n"/>
      <c r="AG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03" t="n"/>
      <c r="T621" s="203" t="n"/>
      <c r="U621" s="203" t="n"/>
      <c r="V621" s="203" t="n"/>
      <c r="W621" s="203" t="n"/>
      <c r="X621" s="203" t="n"/>
      <c r="Y621" s="203" t="n"/>
      <c r="Z621" s="203" t="n"/>
      <c r="AA621" s="203" t="n"/>
      <c r="AB621" s="203" t="n"/>
      <c r="AC621" s="203" t="n"/>
      <c r="AD621" s="203" t="n"/>
      <c r="AE621" s="203" t="n"/>
      <c r="AF621" s="203" t="n"/>
      <c r="AG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03" t="n"/>
      <c r="T622" s="203" t="n"/>
      <c r="U622" s="203" t="n"/>
      <c r="V622" s="203" t="n"/>
      <c r="W622" s="203" t="n"/>
      <c r="X622" s="203" t="n"/>
      <c r="Y622" s="203" t="n"/>
      <c r="Z622" s="203" t="n"/>
      <c r="AA622" s="203" t="n"/>
      <c r="AB622" s="203" t="n"/>
      <c r="AC622" s="203" t="n"/>
      <c r="AD622" s="203" t="n"/>
      <c r="AE622" s="203" t="n"/>
      <c r="AF622" s="203" t="n"/>
      <c r="AG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03" t="n"/>
      <c r="T623" s="203" t="n"/>
      <c r="U623" s="203" t="n"/>
      <c r="V623" s="203" t="n"/>
      <c r="W623" s="203" t="n"/>
      <c r="X623" s="203" t="n"/>
      <c r="Y623" s="203" t="n"/>
      <c r="Z623" s="203" t="n"/>
      <c r="AA623" s="203" t="n"/>
      <c r="AB623" s="203" t="n"/>
      <c r="AC623" s="203" t="n"/>
      <c r="AD623" s="203" t="n"/>
      <c r="AE623" s="203" t="n"/>
      <c r="AF623" s="203" t="n"/>
      <c r="AG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03" t="n"/>
      <c r="T624" s="203" t="n"/>
      <c r="U624" s="203" t="n"/>
      <c r="V624" s="203" t="n"/>
      <c r="W624" s="203" t="n"/>
      <c r="X624" s="203" t="n"/>
      <c r="Y624" s="203" t="n"/>
      <c r="Z624" s="203" t="n"/>
      <c r="AA624" s="203" t="n"/>
      <c r="AB624" s="203" t="n"/>
      <c r="AC624" s="203" t="n"/>
      <c r="AD624" s="203" t="n"/>
      <c r="AE624" s="203" t="n"/>
      <c r="AF624" s="203" t="n"/>
      <c r="AG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03" t="n"/>
      <c r="T625" s="203" t="n"/>
      <c r="U625" s="203" t="n"/>
      <c r="V625" s="203" t="n"/>
      <c r="W625" s="203" t="n"/>
      <c r="X625" s="203" t="n"/>
      <c r="Y625" s="203" t="n"/>
      <c r="Z625" s="203" t="n"/>
      <c r="AA625" s="203" t="n"/>
      <c r="AB625" s="203" t="n"/>
      <c r="AC625" s="203" t="n"/>
      <c r="AD625" s="203" t="n"/>
      <c r="AE625" s="203" t="n"/>
      <c r="AF625" s="203" t="n"/>
      <c r="AG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03" t="n"/>
      <c r="T626" s="203" t="n"/>
      <c r="U626" s="203" t="n"/>
      <c r="V626" s="203" t="n"/>
      <c r="W626" s="203" t="n"/>
      <c r="X626" s="203" t="n"/>
      <c r="Y626" s="203" t="n"/>
      <c r="Z626" s="203" t="n"/>
      <c r="AA626" s="203" t="n"/>
      <c r="AB626" s="203" t="n"/>
      <c r="AC626" s="203" t="n"/>
      <c r="AD626" s="203" t="n"/>
      <c r="AE626" s="203" t="n"/>
      <c r="AF626" s="203" t="n"/>
      <c r="AG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03" t="n"/>
      <c r="T627" s="203" t="n"/>
      <c r="U627" s="203" t="n"/>
      <c r="V627" s="203" t="n"/>
      <c r="W627" s="203" t="n"/>
      <c r="X627" s="203" t="n"/>
      <c r="Y627" s="203" t="n"/>
      <c r="Z627" s="203" t="n"/>
      <c r="AA627" s="203" t="n"/>
      <c r="AB627" s="203" t="n"/>
      <c r="AC627" s="203" t="n"/>
      <c r="AD627" s="203" t="n"/>
      <c r="AE627" s="203" t="n"/>
      <c r="AF627" s="203" t="n"/>
      <c r="AG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03" t="n"/>
      <c r="T628" s="203" t="n"/>
      <c r="U628" s="203" t="n"/>
      <c r="V628" s="203" t="n"/>
      <c r="W628" s="203" t="n"/>
      <c r="X628" s="203" t="n"/>
      <c r="Y628" s="203" t="n"/>
      <c r="Z628" s="203" t="n"/>
      <c r="AA628" s="203" t="n"/>
      <c r="AB628" s="203" t="n"/>
      <c r="AC628" s="203" t="n"/>
      <c r="AD628" s="203" t="n"/>
      <c r="AE628" s="203" t="n"/>
      <c r="AF628" s="203" t="n"/>
      <c r="AG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03" t="n"/>
      <c r="T629" s="203" t="n"/>
      <c r="U629" s="203" t="n"/>
      <c r="V629" s="203" t="n"/>
      <c r="W629" s="203" t="n"/>
      <c r="X629" s="203" t="n"/>
      <c r="Y629" s="203" t="n"/>
      <c r="Z629" s="203" t="n"/>
      <c r="AA629" s="203" t="n"/>
      <c r="AB629" s="203" t="n"/>
      <c r="AC629" s="203" t="n"/>
      <c r="AD629" s="203" t="n"/>
      <c r="AE629" s="203" t="n"/>
      <c r="AF629" s="203" t="n"/>
      <c r="AG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03" t="n"/>
      <c r="T630" s="203" t="n"/>
      <c r="U630" s="203" t="n"/>
      <c r="V630" s="203" t="n"/>
      <c r="W630" s="203" t="n"/>
      <c r="X630" s="203" t="n"/>
      <c r="Y630" s="203" t="n"/>
      <c r="Z630" s="203" t="n"/>
      <c r="AA630" s="203" t="n"/>
      <c r="AB630" s="203" t="n"/>
      <c r="AC630" s="203" t="n"/>
      <c r="AD630" s="203" t="n"/>
      <c r="AE630" s="203" t="n"/>
      <c r="AF630" s="203" t="n"/>
      <c r="AG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03" t="n"/>
      <c r="T631" s="203" t="n"/>
      <c r="U631" s="203" t="n"/>
      <c r="V631" s="203" t="n"/>
      <c r="W631" s="203" t="n"/>
      <c r="X631" s="203" t="n"/>
      <c r="Y631" s="203" t="n"/>
      <c r="Z631" s="203" t="n"/>
      <c r="AA631" s="203" t="n"/>
      <c r="AB631" s="203" t="n"/>
      <c r="AC631" s="203" t="n"/>
      <c r="AD631" s="203" t="n"/>
      <c r="AE631" s="203" t="n"/>
      <c r="AF631" s="203" t="n"/>
      <c r="AG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03" t="n"/>
      <c r="T632" s="203" t="n"/>
      <c r="U632" s="203" t="n"/>
      <c r="V632" s="203" t="n"/>
      <c r="W632" s="203" t="n"/>
      <c r="X632" s="203" t="n"/>
      <c r="Y632" s="203" t="n"/>
      <c r="Z632" s="203" t="n"/>
      <c r="AA632" s="203" t="n"/>
      <c r="AB632" s="203" t="n"/>
      <c r="AC632" s="203" t="n"/>
      <c r="AD632" s="203" t="n"/>
      <c r="AE632" s="203" t="n"/>
      <c r="AF632" s="203" t="n"/>
      <c r="AG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03" t="n"/>
      <c r="T633" s="203" t="n"/>
      <c r="U633" s="203" t="n"/>
      <c r="V633" s="203" t="n"/>
      <c r="W633" s="203" t="n"/>
      <c r="X633" s="203" t="n"/>
      <c r="Y633" s="203" t="n"/>
      <c r="Z633" s="203" t="n"/>
      <c r="AA633" s="203" t="n"/>
      <c r="AB633" s="203" t="n"/>
      <c r="AC633" s="203" t="n"/>
      <c r="AD633" s="203" t="n"/>
      <c r="AE633" s="203" t="n"/>
      <c r="AF633" s="203" t="n"/>
      <c r="AG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03" t="n"/>
      <c r="T634" s="203" t="n"/>
      <c r="U634" s="203" t="n"/>
      <c r="V634" s="203" t="n"/>
      <c r="W634" s="203" t="n"/>
      <c r="X634" s="203" t="n"/>
      <c r="Y634" s="203" t="n"/>
      <c r="Z634" s="203" t="n"/>
      <c r="AA634" s="203" t="n"/>
      <c r="AB634" s="203" t="n"/>
      <c r="AC634" s="203" t="n"/>
      <c r="AD634" s="203" t="n"/>
      <c r="AE634" s="203" t="n"/>
      <c r="AF634" s="203" t="n"/>
      <c r="AG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03" t="n"/>
      <c r="T635" s="203" t="n"/>
      <c r="U635" s="203" t="n"/>
      <c r="V635" s="203" t="n"/>
      <c r="W635" s="203" t="n"/>
      <c r="X635" s="203" t="n"/>
      <c r="Y635" s="203" t="n"/>
      <c r="Z635" s="203" t="n"/>
      <c r="AA635" s="203" t="n"/>
      <c r="AB635" s="203" t="n"/>
      <c r="AC635" s="203" t="n"/>
      <c r="AD635" s="203" t="n"/>
      <c r="AE635" s="203" t="n"/>
      <c r="AF635" s="203" t="n"/>
      <c r="AG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03" t="n"/>
      <c r="T636" s="203" t="n"/>
      <c r="U636" s="203" t="n"/>
      <c r="V636" s="203" t="n"/>
      <c r="W636" s="203" t="n"/>
      <c r="X636" s="203" t="n"/>
      <c r="Y636" s="203" t="n"/>
      <c r="Z636" s="203" t="n"/>
      <c r="AA636" s="203" t="n"/>
      <c r="AB636" s="203" t="n"/>
      <c r="AC636" s="203" t="n"/>
      <c r="AD636" s="203" t="n"/>
      <c r="AE636" s="203" t="n"/>
      <c r="AF636" s="203" t="n"/>
      <c r="AG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03" t="n"/>
      <c r="T637" s="203" t="n"/>
      <c r="U637" s="203" t="n"/>
      <c r="V637" s="203" t="n"/>
      <c r="W637" s="203" t="n"/>
      <c r="X637" s="203" t="n"/>
      <c r="Y637" s="203" t="n"/>
      <c r="Z637" s="203" t="n"/>
      <c r="AA637" s="203" t="n"/>
      <c r="AB637" s="203" t="n"/>
      <c r="AC637" s="203" t="n"/>
      <c r="AD637" s="203" t="n"/>
      <c r="AE637" s="203" t="n"/>
      <c r="AF637" s="203" t="n"/>
      <c r="AG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03" t="n"/>
      <c r="T638" s="203" t="n"/>
      <c r="U638" s="203" t="n"/>
      <c r="V638" s="203" t="n"/>
      <c r="W638" s="203" t="n"/>
      <c r="X638" s="203" t="n"/>
      <c r="Y638" s="203" t="n"/>
      <c r="Z638" s="203" t="n"/>
      <c r="AA638" s="203" t="n"/>
      <c r="AB638" s="203" t="n"/>
      <c r="AC638" s="203" t="n"/>
      <c r="AD638" s="203" t="n"/>
      <c r="AE638" s="203" t="n"/>
      <c r="AF638" s="203" t="n"/>
      <c r="AG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03" t="n"/>
      <c r="T639" s="203" t="n"/>
      <c r="U639" s="203" t="n"/>
      <c r="V639" s="203" t="n"/>
      <c r="W639" s="203" t="n"/>
      <c r="X639" s="203" t="n"/>
      <c r="Y639" s="203" t="n"/>
      <c r="Z639" s="203" t="n"/>
      <c r="AA639" s="203" t="n"/>
      <c r="AB639" s="203" t="n"/>
      <c r="AC639" s="203" t="n"/>
      <c r="AD639" s="203" t="n"/>
      <c r="AE639" s="203" t="n"/>
      <c r="AF639" s="203" t="n"/>
      <c r="AG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03" t="n"/>
      <c r="T640" s="203" t="n"/>
      <c r="U640" s="203" t="n"/>
      <c r="V640" s="203" t="n"/>
      <c r="W640" s="203" t="n"/>
      <c r="X640" s="203" t="n"/>
      <c r="Y640" s="203" t="n"/>
      <c r="Z640" s="203" t="n"/>
      <c r="AA640" s="203" t="n"/>
      <c r="AB640" s="203" t="n"/>
      <c r="AC640" s="203" t="n"/>
      <c r="AD640" s="203" t="n"/>
      <c r="AE640" s="203" t="n"/>
      <c r="AF640" s="203" t="n"/>
      <c r="AG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03" t="n"/>
      <c r="T641" s="203" t="n"/>
      <c r="U641" s="203" t="n"/>
      <c r="V641" s="203" t="n"/>
      <c r="W641" s="203" t="n"/>
      <c r="X641" s="203" t="n"/>
      <c r="Y641" s="203" t="n"/>
      <c r="Z641" s="203" t="n"/>
      <c r="AA641" s="203" t="n"/>
      <c r="AB641" s="203" t="n"/>
      <c r="AC641" s="203" t="n"/>
      <c r="AD641" s="203" t="n"/>
      <c r="AE641" s="203" t="n"/>
      <c r="AF641" s="203" t="n"/>
      <c r="AG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03" t="n"/>
      <c r="T642" s="203" t="n"/>
      <c r="U642" s="203" t="n"/>
      <c r="V642" s="203" t="n"/>
      <c r="W642" s="203" t="n"/>
      <c r="X642" s="203" t="n"/>
      <c r="Y642" s="203" t="n"/>
      <c r="Z642" s="203" t="n"/>
      <c r="AA642" s="203" t="n"/>
      <c r="AB642" s="203" t="n"/>
      <c r="AC642" s="203" t="n"/>
      <c r="AD642" s="203" t="n"/>
      <c r="AE642" s="203" t="n"/>
      <c r="AF642" s="203" t="n"/>
      <c r="AG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03" t="n"/>
      <c r="T643" s="203" t="n"/>
      <c r="U643" s="203" t="n"/>
      <c r="V643" s="203" t="n"/>
      <c r="W643" s="203" t="n"/>
      <c r="X643" s="203" t="n"/>
      <c r="Y643" s="203" t="n"/>
      <c r="Z643" s="203" t="n"/>
      <c r="AA643" s="203" t="n"/>
      <c r="AB643" s="203" t="n"/>
      <c r="AC643" s="203" t="n"/>
      <c r="AD643" s="203" t="n"/>
      <c r="AE643" s="203" t="n"/>
      <c r="AF643" s="203" t="n"/>
      <c r="AG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03" t="n"/>
      <c r="T644" s="203" t="n"/>
      <c r="U644" s="203" t="n"/>
      <c r="V644" s="203" t="n"/>
      <c r="W644" s="203" t="n"/>
      <c r="X644" s="203" t="n"/>
      <c r="Y644" s="203" t="n"/>
      <c r="Z644" s="203" t="n"/>
      <c r="AA644" s="203" t="n"/>
      <c r="AB644" s="203" t="n"/>
      <c r="AC644" s="203" t="n"/>
      <c r="AD644" s="203" t="n"/>
      <c r="AE644" s="203" t="n"/>
      <c r="AF644" s="203" t="n"/>
      <c r="AG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03" t="n"/>
      <c r="T645" s="203" t="n"/>
      <c r="U645" s="203" t="n"/>
      <c r="V645" s="203" t="n"/>
      <c r="W645" s="203" t="n"/>
      <c r="X645" s="203" t="n"/>
      <c r="Y645" s="203" t="n"/>
      <c r="Z645" s="203" t="n"/>
      <c r="AA645" s="203" t="n"/>
      <c r="AB645" s="203" t="n"/>
      <c r="AC645" s="203" t="n"/>
      <c r="AD645" s="203" t="n"/>
      <c r="AE645" s="203" t="n"/>
      <c r="AF645" s="203" t="n"/>
      <c r="AG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03" t="n"/>
      <c r="T646" s="203" t="n"/>
      <c r="U646" s="203" t="n"/>
      <c r="V646" s="203" t="n"/>
      <c r="W646" s="203" t="n"/>
      <c r="X646" s="203" t="n"/>
      <c r="Y646" s="203" t="n"/>
      <c r="Z646" s="203" t="n"/>
      <c r="AA646" s="203" t="n"/>
      <c r="AB646" s="203" t="n"/>
      <c r="AC646" s="203" t="n"/>
      <c r="AD646" s="203" t="n"/>
      <c r="AE646" s="203" t="n"/>
      <c r="AF646" s="203" t="n"/>
      <c r="AG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03" t="n"/>
      <c r="T647" s="203" t="n"/>
      <c r="U647" s="203" t="n"/>
      <c r="V647" s="203" t="n"/>
      <c r="W647" s="203" t="n"/>
      <c r="X647" s="203" t="n"/>
      <c r="Y647" s="203" t="n"/>
      <c r="Z647" s="203" t="n"/>
      <c r="AA647" s="203" t="n"/>
      <c r="AB647" s="203" t="n"/>
      <c r="AC647" s="203" t="n"/>
      <c r="AD647" s="203" t="n"/>
      <c r="AE647" s="203" t="n"/>
      <c r="AF647" s="203" t="n"/>
      <c r="AG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03" t="n"/>
      <c r="T648" s="203" t="n"/>
      <c r="U648" s="203" t="n"/>
      <c r="V648" s="203" t="n"/>
      <c r="W648" s="203" t="n"/>
      <c r="X648" s="203" t="n"/>
      <c r="Y648" s="203" t="n"/>
      <c r="Z648" s="203" t="n"/>
      <c r="AA648" s="203" t="n"/>
      <c r="AB648" s="203" t="n"/>
      <c r="AC648" s="203" t="n"/>
      <c r="AD648" s="203" t="n"/>
      <c r="AE648" s="203" t="n"/>
      <c r="AF648" s="203" t="n"/>
      <c r="AG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03" t="n"/>
      <c r="T649" s="203" t="n"/>
      <c r="U649" s="203" t="n"/>
      <c r="V649" s="203" t="n"/>
      <c r="W649" s="203" t="n"/>
      <c r="X649" s="203" t="n"/>
      <c r="Y649" s="203" t="n"/>
      <c r="Z649" s="203" t="n"/>
      <c r="AA649" s="203" t="n"/>
      <c r="AB649" s="203" t="n"/>
      <c r="AC649" s="203" t="n"/>
      <c r="AD649" s="203" t="n"/>
      <c r="AE649" s="203" t="n"/>
      <c r="AF649" s="203" t="n"/>
      <c r="AG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03" t="n"/>
      <c r="T650" s="203" t="n"/>
      <c r="U650" s="203" t="n"/>
      <c r="V650" s="203" t="n"/>
      <c r="W650" s="203" t="n"/>
      <c r="X650" s="203" t="n"/>
      <c r="Y650" s="203" t="n"/>
      <c r="Z650" s="203" t="n"/>
      <c r="AA650" s="203" t="n"/>
      <c r="AB650" s="203" t="n"/>
      <c r="AC650" s="203" t="n"/>
      <c r="AD650" s="203" t="n"/>
      <c r="AE650" s="203" t="n"/>
      <c r="AF650" s="203" t="n"/>
      <c r="AG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03" t="n"/>
      <c r="T651" s="203" t="n"/>
      <c r="U651" s="203" t="n"/>
      <c r="V651" s="203" t="n"/>
      <c r="W651" s="203" t="n"/>
      <c r="X651" s="203" t="n"/>
      <c r="Y651" s="203" t="n"/>
      <c r="Z651" s="203" t="n"/>
      <c r="AA651" s="203" t="n"/>
      <c r="AB651" s="203" t="n"/>
      <c r="AC651" s="203" t="n"/>
      <c r="AD651" s="203" t="n"/>
      <c r="AE651" s="203" t="n"/>
      <c r="AF651" s="203" t="n"/>
      <c r="AG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03" t="n"/>
      <c r="T652" s="203" t="n"/>
      <c r="U652" s="203" t="n"/>
      <c r="V652" s="203" t="n"/>
      <c r="W652" s="203" t="n"/>
      <c r="X652" s="203" t="n"/>
      <c r="Y652" s="203" t="n"/>
      <c r="Z652" s="203" t="n"/>
      <c r="AA652" s="203" t="n"/>
      <c r="AB652" s="203" t="n"/>
      <c r="AC652" s="203" t="n"/>
      <c r="AD652" s="203" t="n"/>
      <c r="AE652" s="203" t="n"/>
      <c r="AF652" s="203" t="n"/>
      <c r="AG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03" t="n"/>
      <c r="T653" s="203" t="n"/>
      <c r="U653" s="203" t="n"/>
      <c r="V653" s="203" t="n"/>
      <c r="W653" s="203" t="n"/>
      <c r="X653" s="203" t="n"/>
      <c r="Y653" s="203" t="n"/>
      <c r="Z653" s="203" t="n"/>
      <c r="AA653" s="203" t="n"/>
      <c r="AB653" s="203" t="n"/>
      <c r="AC653" s="203" t="n"/>
      <c r="AD653" s="203" t="n"/>
      <c r="AE653" s="203" t="n"/>
      <c r="AF653" s="203" t="n"/>
      <c r="AG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03" t="n"/>
      <c r="T654" s="203" t="n"/>
      <c r="U654" s="203" t="n"/>
      <c r="V654" s="203" t="n"/>
      <c r="W654" s="203" t="n"/>
      <c r="X654" s="203" t="n"/>
      <c r="Y654" s="203" t="n"/>
      <c r="Z654" s="203" t="n"/>
      <c r="AA654" s="203" t="n"/>
      <c r="AB654" s="203" t="n"/>
      <c r="AC654" s="203" t="n"/>
      <c r="AD654" s="203" t="n"/>
      <c r="AE654" s="203" t="n"/>
      <c r="AF654" s="203" t="n"/>
      <c r="AG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03" t="n"/>
      <c r="T655" s="203" t="n"/>
      <c r="U655" s="203" t="n"/>
      <c r="V655" s="203" t="n"/>
      <c r="W655" s="203" t="n"/>
      <c r="X655" s="203" t="n"/>
      <c r="Y655" s="203" t="n"/>
      <c r="Z655" s="203" t="n"/>
      <c r="AA655" s="203" t="n"/>
      <c r="AB655" s="203" t="n"/>
      <c r="AC655" s="203" t="n"/>
      <c r="AD655" s="203" t="n"/>
      <c r="AE655" s="203" t="n"/>
      <c r="AF655" s="203" t="n"/>
      <c r="AG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03" t="n"/>
      <c r="T656" s="203" t="n"/>
      <c r="U656" s="203" t="n"/>
      <c r="V656" s="203" t="n"/>
      <c r="W656" s="203" t="n"/>
      <c r="X656" s="203" t="n"/>
      <c r="Y656" s="203" t="n"/>
      <c r="Z656" s="203" t="n"/>
      <c r="AA656" s="203" t="n"/>
      <c r="AB656" s="203" t="n"/>
      <c r="AC656" s="203" t="n"/>
      <c r="AD656" s="203" t="n"/>
      <c r="AE656" s="203" t="n"/>
      <c r="AF656" s="203" t="n"/>
      <c r="AG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03" t="n"/>
      <c r="T657" s="203" t="n"/>
      <c r="U657" s="203" t="n"/>
      <c r="V657" s="203" t="n"/>
      <c r="W657" s="203" t="n"/>
      <c r="X657" s="203" t="n"/>
      <c r="Y657" s="203" t="n"/>
      <c r="Z657" s="203" t="n"/>
      <c r="AA657" s="203" t="n"/>
      <c r="AB657" s="203" t="n"/>
      <c r="AC657" s="203" t="n"/>
      <c r="AD657" s="203" t="n"/>
      <c r="AE657" s="203" t="n"/>
      <c r="AF657" s="203" t="n"/>
      <c r="AG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03" t="n"/>
      <c r="T658" s="203" t="n"/>
      <c r="U658" s="203" t="n"/>
      <c r="V658" s="203" t="n"/>
      <c r="W658" s="203" t="n"/>
      <c r="X658" s="203" t="n"/>
      <c r="Y658" s="203" t="n"/>
      <c r="Z658" s="203" t="n"/>
      <c r="AA658" s="203" t="n"/>
      <c r="AB658" s="203" t="n"/>
      <c r="AC658" s="203" t="n"/>
      <c r="AD658" s="203" t="n"/>
      <c r="AE658" s="203" t="n"/>
      <c r="AF658" s="203" t="n"/>
      <c r="AG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03" t="n"/>
      <c r="T659" s="203" t="n"/>
      <c r="U659" s="203" t="n"/>
      <c r="V659" s="203" t="n"/>
      <c r="W659" s="203" t="n"/>
      <c r="X659" s="203" t="n"/>
      <c r="Y659" s="203" t="n"/>
      <c r="Z659" s="203" t="n"/>
      <c r="AA659" s="203" t="n"/>
      <c r="AB659" s="203" t="n"/>
      <c r="AC659" s="203" t="n"/>
      <c r="AD659" s="203" t="n"/>
      <c r="AE659" s="203" t="n"/>
      <c r="AF659" s="203" t="n"/>
      <c r="AG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03" t="n"/>
      <c r="T660" s="203" t="n"/>
      <c r="U660" s="203" t="n"/>
      <c r="V660" s="203" t="n"/>
      <c r="W660" s="203" t="n"/>
      <c r="X660" s="203" t="n"/>
      <c r="Y660" s="203" t="n"/>
      <c r="Z660" s="203" t="n"/>
      <c r="AA660" s="203" t="n"/>
      <c r="AB660" s="203" t="n"/>
      <c r="AC660" s="203" t="n"/>
      <c r="AD660" s="203" t="n"/>
      <c r="AE660" s="203" t="n"/>
      <c r="AF660" s="203" t="n"/>
      <c r="AG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03" t="n"/>
      <c r="T661" s="203" t="n"/>
      <c r="U661" s="203" t="n"/>
      <c r="V661" s="203" t="n"/>
      <c r="W661" s="203" t="n"/>
      <c r="X661" s="203" t="n"/>
      <c r="Y661" s="203" t="n"/>
      <c r="Z661" s="203" t="n"/>
      <c r="AA661" s="203" t="n"/>
      <c r="AB661" s="203" t="n"/>
      <c r="AC661" s="203" t="n"/>
      <c r="AD661" s="203" t="n"/>
      <c r="AE661" s="203" t="n"/>
      <c r="AF661" s="203" t="n"/>
      <c r="AG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03" t="n"/>
      <c r="T662" s="203" t="n"/>
      <c r="U662" s="203" t="n"/>
      <c r="V662" s="203" t="n"/>
      <c r="W662" s="203" t="n"/>
      <c r="X662" s="203" t="n"/>
      <c r="Y662" s="203" t="n"/>
      <c r="Z662" s="203" t="n"/>
      <c r="AA662" s="203" t="n"/>
      <c r="AB662" s="203" t="n"/>
      <c r="AC662" s="203" t="n"/>
      <c r="AD662" s="203" t="n"/>
      <c r="AE662" s="203" t="n"/>
      <c r="AF662" s="203" t="n"/>
      <c r="AG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03" t="n"/>
      <c r="T663" s="203" t="n"/>
      <c r="U663" s="203" t="n"/>
      <c r="V663" s="203" t="n"/>
      <c r="W663" s="203" t="n"/>
      <c r="X663" s="203" t="n"/>
      <c r="Y663" s="203" t="n"/>
      <c r="Z663" s="203" t="n"/>
      <c r="AA663" s="203" t="n"/>
      <c r="AB663" s="203" t="n"/>
      <c r="AC663" s="203" t="n"/>
      <c r="AD663" s="203" t="n"/>
      <c r="AE663" s="203" t="n"/>
      <c r="AF663" s="203" t="n"/>
      <c r="AG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03" t="n"/>
      <c r="T664" s="203" t="n"/>
      <c r="U664" s="203" t="n"/>
      <c r="V664" s="203" t="n"/>
      <c r="W664" s="203" t="n"/>
      <c r="X664" s="203" t="n"/>
      <c r="Y664" s="203" t="n"/>
      <c r="Z664" s="203" t="n"/>
      <c r="AA664" s="203" t="n"/>
      <c r="AB664" s="203" t="n"/>
      <c r="AC664" s="203" t="n"/>
      <c r="AD664" s="203" t="n"/>
      <c r="AE664" s="203" t="n"/>
      <c r="AF664" s="203" t="n"/>
      <c r="AG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03" t="n"/>
      <c r="T665" s="203" t="n"/>
      <c r="U665" s="203" t="n"/>
      <c r="V665" s="203" t="n"/>
      <c r="W665" s="203" t="n"/>
      <c r="X665" s="203" t="n"/>
      <c r="Y665" s="203" t="n"/>
      <c r="Z665" s="203" t="n"/>
      <c r="AA665" s="203" t="n"/>
      <c r="AB665" s="203" t="n"/>
      <c r="AC665" s="203" t="n"/>
      <c r="AD665" s="203" t="n"/>
      <c r="AE665" s="203" t="n"/>
      <c r="AF665" s="203" t="n"/>
      <c r="AG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03" t="n"/>
      <c r="T666" s="203" t="n"/>
      <c r="U666" s="203" t="n"/>
      <c r="V666" s="203" t="n"/>
      <c r="W666" s="203" t="n"/>
      <c r="X666" s="203" t="n"/>
      <c r="Y666" s="203" t="n"/>
      <c r="Z666" s="203" t="n"/>
      <c r="AA666" s="203" t="n"/>
      <c r="AB666" s="203" t="n"/>
      <c r="AC666" s="203" t="n"/>
      <c r="AD666" s="203" t="n"/>
      <c r="AE666" s="203" t="n"/>
      <c r="AF666" s="203" t="n"/>
      <c r="AG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03" t="n"/>
      <c r="T667" s="203" t="n"/>
      <c r="U667" s="203" t="n"/>
      <c r="V667" s="203" t="n"/>
      <c r="W667" s="203" t="n"/>
      <c r="X667" s="203" t="n"/>
      <c r="Y667" s="203" t="n"/>
      <c r="Z667" s="203" t="n"/>
      <c r="AA667" s="203" t="n"/>
      <c r="AB667" s="203" t="n"/>
      <c r="AC667" s="203" t="n"/>
      <c r="AD667" s="203" t="n"/>
      <c r="AE667" s="203" t="n"/>
      <c r="AF667" s="203" t="n"/>
      <c r="AG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03" t="n"/>
      <c r="T668" s="203" t="n"/>
      <c r="U668" s="203" t="n"/>
      <c r="V668" s="203" t="n"/>
      <c r="W668" s="203" t="n"/>
      <c r="X668" s="203" t="n"/>
      <c r="Y668" s="203" t="n"/>
      <c r="Z668" s="203" t="n"/>
      <c r="AA668" s="203" t="n"/>
      <c r="AB668" s="203" t="n"/>
      <c r="AC668" s="203" t="n"/>
      <c r="AD668" s="203" t="n"/>
      <c r="AE668" s="203" t="n"/>
      <c r="AF668" s="203" t="n"/>
      <c r="AG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03" t="n"/>
      <c r="T669" s="203" t="n"/>
      <c r="U669" s="203" t="n"/>
      <c r="V669" s="203" t="n"/>
      <c r="W669" s="203" t="n"/>
      <c r="X669" s="203" t="n"/>
      <c r="Y669" s="203" t="n"/>
      <c r="Z669" s="203" t="n"/>
      <c r="AA669" s="203" t="n"/>
      <c r="AB669" s="203" t="n"/>
      <c r="AC669" s="203" t="n"/>
      <c r="AD669" s="203" t="n"/>
      <c r="AE669" s="203" t="n"/>
      <c r="AF669" s="203" t="n"/>
      <c r="AG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03" t="n"/>
      <c r="T670" s="203" t="n"/>
      <c r="U670" s="203" t="n"/>
      <c r="V670" s="203" t="n"/>
      <c r="W670" s="203" t="n"/>
      <c r="X670" s="203" t="n"/>
      <c r="Y670" s="203" t="n"/>
      <c r="Z670" s="203" t="n"/>
      <c r="AA670" s="203" t="n"/>
      <c r="AB670" s="203" t="n"/>
      <c r="AC670" s="203" t="n"/>
      <c r="AD670" s="203" t="n"/>
      <c r="AE670" s="203" t="n"/>
      <c r="AF670" s="203" t="n"/>
      <c r="AG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03" t="n"/>
      <c r="T671" s="203" t="n"/>
      <c r="U671" s="203" t="n"/>
      <c r="V671" s="203" t="n"/>
      <c r="W671" s="203" t="n"/>
      <c r="X671" s="203" t="n"/>
      <c r="Y671" s="203" t="n"/>
      <c r="Z671" s="203" t="n"/>
      <c r="AA671" s="203" t="n"/>
      <c r="AB671" s="203" t="n"/>
      <c r="AC671" s="203" t="n"/>
      <c r="AD671" s="203" t="n"/>
      <c r="AE671" s="203" t="n"/>
      <c r="AF671" s="203" t="n"/>
      <c r="AG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03" t="n"/>
      <c r="T672" s="203" t="n"/>
      <c r="U672" s="203" t="n"/>
      <c r="V672" s="203" t="n"/>
      <c r="W672" s="203" t="n"/>
      <c r="X672" s="203" t="n"/>
      <c r="Y672" s="203" t="n"/>
      <c r="Z672" s="203" t="n"/>
      <c r="AA672" s="203" t="n"/>
      <c r="AB672" s="203" t="n"/>
      <c r="AC672" s="203" t="n"/>
      <c r="AD672" s="203" t="n"/>
      <c r="AE672" s="203" t="n"/>
      <c r="AF672" s="203" t="n"/>
      <c r="AG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03" t="n"/>
      <c r="T673" s="203" t="n"/>
      <c r="U673" s="203" t="n"/>
      <c r="V673" s="203" t="n"/>
      <c r="W673" s="203" t="n"/>
      <c r="X673" s="203" t="n"/>
      <c r="Y673" s="203" t="n"/>
      <c r="Z673" s="203" t="n"/>
      <c r="AA673" s="203" t="n"/>
      <c r="AB673" s="203" t="n"/>
      <c r="AC673" s="203" t="n"/>
      <c r="AD673" s="203" t="n"/>
      <c r="AE673" s="203" t="n"/>
      <c r="AF673" s="203" t="n"/>
      <c r="AG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03" t="n"/>
      <c r="T674" s="203" t="n"/>
      <c r="U674" s="203" t="n"/>
      <c r="V674" s="203" t="n"/>
      <c r="W674" s="203" t="n"/>
      <c r="X674" s="203" t="n"/>
      <c r="Y674" s="203" t="n"/>
      <c r="Z674" s="203" t="n"/>
      <c r="AA674" s="203" t="n"/>
      <c r="AB674" s="203" t="n"/>
      <c r="AC674" s="203" t="n"/>
      <c r="AD674" s="203" t="n"/>
      <c r="AE674" s="203" t="n"/>
      <c r="AF674" s="203" t="n"/>
      <c r="AG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03" t="n"/>
      <c r="T675" s="203" t="n"/>
      <c r="U675" s="203" t="n"/>
      <c r="V675" s="203" t="n"/>
      <c r="W675" s="203" t="n"/>
      <c r="X675" s="203" t="n"/>
      <c r="Y675" s="203" t="n"/>
      <c r="Z675" s="203" t="n"/>
      <c r="AA675" s="203" t="n"/>
      <c r="AB675" s="203" t="n"/>
      <c r="AC675" s="203" t="n"/>
      <c r="AD675" s="203" t="n"/>
      <c r="AE675" s="203" t="n"/>
      <c r="AF675" s="203" t="n"/>
      <c r="AG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03" t="n"/>
      <c r="T676" s="203" t="n"/>
      <c r="U676" s="203" t="n"/>
      <c r="V676" s="203" t="n"/>
      <c r="W676" s="203" t="n"/>
      <c r="X676" s="203" t="n"/>
      <c r="Y676" s="203" t="n"/>
      <c r="Z676" s="203" t="n"/>
      <c r="AA676" s="203" t="n"/>
      <c r="AB676" s="203" t="n"/>
      <c r="AC676" s="203" t="n"/>
      <c r="AD676" s="203" t="n"/>
      <c r="AE676" s="203" t="n"/>
      <c r="AF676" s="203" t="n"/>
      <c r="AG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03" t="n"/>
      <c r="T677" s="203" t="n"/>
      <c r="U677" s="203" t="n"/>
      <c r="V677" s="203" t="n"/>
      <c r="W677" s="203" t="n"/>
      <c r="X677" s="203" t="n"/>
      <c r="Y677" s="203" t="n"/>
      <c r="Z677" s="203" t="n"/>
      <c r="AA677" s="203" t="n"/>
      <c r="AB677" s="203" t="n"/>
      <c r="AC677" s="203" t="n"/>
      <c r="AD677" s="203" t="n"/>
      <c r="AE677" s="203" t="n"/>
      <c r="AF677" s="203" t="n"/>
      <c r="AG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03" t="n"/>
      <c r="T678" s="203" t="n"/>
      <c r="U678" s="203" t="n"/>
      <c r="V678" s="203" t="n"/>
      <c r="W678" s="203" t="n"/>
      <c r="X678" s="203" t="n"/>
      <c r="Y678" s="203" t="n"/>
      <c r="Z678" s="203" t="n"/>
      <c r="AA678" s="203" t="n"/>
      <c r="AB678" s="203" t="n"/>
      <c r="AC678" s="203" t="n"/>
      <c r="AD678" s="203" t="n"/>
      <c r="AE678" s="203" t="n"/>
      <c r="AF678" s="203" t="n"/>
      <c r="AG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03" t="n"/>
      <c r="T679" s="203" t="n"/>
      <c r="U679" s="203" t="n"/>
      <c r="V679" s="203" t="n"/>
      <c r="W679" s="203" t="n"/>
      <c r="X679" s="203" t="n"/>
      <c r="Y679" s="203" t="n"/>
      <c r="Z679" s="203" t="n"/>
      <c r="AA679" s="203" t="n"/>
      <c r="AB679" s="203" t="n"/>
      <c r="AC679" s="203" t="n"/>
      <c r="AD679" s="203" t="n"/>
      <c r="AE679" s="203" t="n"/>
      <c r="AF679" s="203" t="n"/>
      <c r="AG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03" t="n"/>
      <c r="T680" s="203" t="n"/>
      <c r="U680" s="203" t="n"/>
      <c r="V680" s="203" t="n"/>
      <c r="W680" s="203" t="n"/>
      <c r="X680" s="203" t="n"/>
      <c r="Y680" s="203" t="n"/>
      <c r="Z680" s="203" t="n"/>
      <c r="AA680" s="203" t="n"/>
      <c r="AB680" s="203" t="n"/>
      <c r="AC680" s="203" t="n"/>
      <c r="AD680" s="203" t="n"/>
      <c r="AE680" s="203" t="n"/>
      <c r="AF680" s="203" t="n"/>
      <c r="AG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03" t="n"/>
      <c r="T681" s="203" t="n"/>
      <c r="U681" s="203" t="n"/>
      <c r="V681" s="203" t="n"/>
      <c r="W681" s="203" t="n"/>
      <c r="X681" s="203" t="n"/>
      <c r="Y681" s="203" t="n"/>
      <c r="Z681" s="203" t="n"/>
      <c r="AA681" s="203" t="n"/>
      <c r="AB681" s="203" t="n"/>
      <c r="AC681" s="203" t="n"/>
      <c r="AD681" s="203" t="n"/>
      <c r="AE681" s="203" t="n"/>
      <c r="AF681" s="203" t="n"/>
      <c r="AG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03" t="n"/>
      <c r="T682" s="203" t="n"/>
      <c r="U682" s="203" t="n"/>
      <c r="V682" s="203" t="n"/>
      <c r="W682" s="203" t="n"/>
      <c r="X682" s="203" t="n"/>
      <c r="Y682" s="203" t="n"/>
      <c r="Z682" s="203" t="n"/>
      <c r="AA682" s="203" t="n"/>
      <c r="AB682" s="203" t="n"/>
      <c r="AC682" s="203" t="n"/>
      <c r="AD682" s="203" t="n"/>
      <c r="AE682" s="203" t="n"/>
      <c r="AF682" s="203" t="n"/>
      <c r="AG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03" t="n"/>
      <c r="T683" s="203" t="n"/>
      <c r="U683" s="203" t="n"/>
      <c r="V683" s="203" t="n"/>
      <c r="W683" s="203" t="n"/>
      <c r="X683" s="203" t="n"/>
      <c r="Y683" s="203" t="n"/>
      <c r="Z683" s="203" t="n"/>
      <c r="AA683" s="203" t="n"/>
      <c r="AB683" s="203" t="n"/>
      <c r="AC683" s="203" t="n"/>
      <c r="AD683" s="203" t="n"/>
      <c r="AE683" s="203" t="n"/>
      <c r="AF683" s="203" t="n"/>
      <c r="AG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03" t="n"/>
      <c r="T684" s="203" t="n"/>
      <c r="U684" s="203" t="n"/>
      <c r="V684" s="203" t="n"/>
      <c r="W684" s="203" t="n"/>
      <c r="X684" s="203" t="n"/>
      <c r="Y684" s="203" t="n"/>
      <c r="Z684" s="203" t="n"/>
      <c r="AA684" s="203" t="n"/>
      <c r="AB684" s="203" t="n"/>
      <c r="AC684" s="203" t="n"/>
      <c r="AD684" s="203" t="n"/>
      <c r="AE684" s="203" t="n"/>
      <c r="AF684" s="203" t="n"/>
      <c r="AG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03" t="n"/>
      <c r="T685" s="203" t="n"/>
      <c r="U685" s="203" t="n"/>
      <c r="V685" s="203" t="n"/>
      <c r="W685" s="203" t="n"/>
      <c r="X685" s="203" t="n"/>
      <c r="Y685" s="203" t="n"/>
      <c r="Z685" s="203" t="n"/>
      <c r="AA685" s="203" t="n"/>
      <c r="AB685" s="203" t="n"/>
      <c r="AC685" s="203" t="n"/>
      <c r="AD685" s="203" t="n"/>
      <c r="AE685" s="203" t="n"/>
      <c r="AF685" s="203" t="n"/>
      <c r="AG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03" t="n"/>
      <c r="T686" s="203" t="n"/>
      <c r="U686" s="203" t="n"/>
      <c r="V686" s="203" t="n"/>
      <c r="W686" s="203" t="n"/>
      <c r="X686" s="203" t="n"/>
      <c r="Y686" s="203" t="n"/>
      <c r="Z686" s="203" t="n"/>
      <c r="AA686" s="203" t="n"/>
      <c r="AB686" s="203" t="n"/>
      <c r="AC686" s="203" t="n"/>
      <c r="AD686" s="203" t="n"/>
      <c r="AE686" s="203" t="n"/>
      <c r="AF686" s="203" t="n"/>
      <c r="AG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03" t="n"/>
      <c r="T687" s="203" t="n"/>
      <c r="U687" s="203" t="n"/>
      <c r="V687" s="203" t="n"/>
      <c r="W687" s="203" t="n"/>
      <c r="X687" s="203" t="n"/>
      <c r="Y687" s="203" t="n"/>
      <c r="Z687" s="203" t="n"/>
      <c r="AA687" s="203" t="n"/>
      <c r="AB687" s="203" t="n"/>
      <c r="AC687" s="203" t="n"/>
      <c r="AD687" s="203" t="n"/>
      <c r="AE687" s="203" t="n"/>
      <c r="AF687" s="203" t="n"/>
      <c r="AG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03" t="n"/>
      <c r="T688" s="203" t="n"/>
      <c r="U688" s="203" t="n"/>
      <c r="V688" s="203" t="n"/>
      <c r="W688" s="203" t="n"/>
      <c r="X688" s="203" t="n"/>
      <c r="Y688" s="203" t="n"/>
      <c r="Z688" s="203" t="n"/>
      <c r="AA688" s="203" t="n"/>
      <c r="AB688" s="203" t="n"/>
      <c r="AC688" s="203" t="n"/>
      <c r="AD688" s="203" t="n"/>
      <c r="AE688" s="203" t="n"/>
      <c r="AF688" s="203" t="n"/>
      <c r="AG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03" t="n"/>
      <c r="T689" s="203" t="n"/>
      <c r="U689" s="203" t="n"/>
      <c r="V689" s="203" t="n"/>
      <c r="W689" s="203" t="n"/>
      <c r="X689" s="203" t="n"/>
      <c r="Y689" s="203" t="n"/>
      <c r="Z689" s="203" t="n"/>
      <c r="AA689" s="203" t="n"/>
      <c r="AB689" s="203" t="n"/>
      <c r="AC689" s="203" t="n"/>
      <c r="AD689" s="203" t="n"/>
      <c r="AE689" s="203" t="n"/>
      <c r="AF689" s="203" t="n"/>
      <c r="AG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03" t="n"/>
      <c r="T690" s="203" t="n"/>
      <c r="U690" s="203" t="n"/>
      <c r="V690" s="203" t="n"/>
      <c r="W690" s="203" t="n"/>
      <c r="X690" s="203" t="n"/>
      <c r="Y690" s="203" t="n"/>
      <c r="Z690" s="203" t="n"/>
      <c r="AA690" s="203" t="n"/>
      <c r="AB690" s="203" t="n"/>
      <c r="AC690" s="203" t="n"/>
      <c r="AD690" s="203" t="n"/>
      <c r="AE690" s="203" t="n"/>
      <c r="AF690" s="203" t="n"/>
      <c r="AG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03" t="n"/>
      <c r="T691" s="203" t="n"/>
      <c r="U691" s="203" t="n"/>
      <c r="V691" s="203" t="n"/>
      <c r="W691" s="203" t="n"/>
      <c r="X691" s="203" t="n"/>
      <c r="Y691" s="203" t="n"/>
      <c r="Z691" s="203" t="n"/>
      <c r="AA691" s="203" t="n"/>
      <c r="AB691" s="203" t="n"/>
      <c r="AC691" s="203" t="n"/>
      <c r="AD691" s="203" t="n"/>
      <c r="AE691" s="203" t="n"/>
      <c r="AF691" s="203" t="n"/>
      <c r="AG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03" t="n"/>
      <c r="T692" s="203" t="n"/>
      <c r="U692" s="203" t="n"/>
      <c r="V692" s="203" t="n"/>
      <c r="W692" s="203" t="n"/>
      <c r="X692" s="203" t="n"/>
      <c r="Y692" s="203" t="n"/>
      <c r="Z692" s="203" t="n"/>
      <c r="AA692" s="203" t="n"/>
      <c r="AB692" s="203" t="n"/>
      <c r="AC692" s="203" t="n"/>
      <c r="AD692" s="203" t="n"/>
      <c r="AE692" s="203" t="n"/>
      <c r="AF692" s="203" t="n"/>
      <c r="AG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03" t="n"/>
      <c r="T693" s="203" t="n"/>
      <c r="U693" s="203" t="n"/>
      <c r="V693" s="203" t="n"/>
      <c r="W693" s="203" t="n"/>
      <c r="X693" s="203" t="n"/>
      <c r="Y693" s="203" t="n"/>
      <c r="Z693" s="203" t="n"/>
      <c r="AA693" s="203" t="n"/>
      <c r="AB693" s="203" t="n"/>
      <c r="AC693" s="203" t="n"/>
      <c r="AD693" s="203" t="n"/>
      <c r="AE693" s="203" t="n"/>
      <c r="AF693" s="203" t="n"/>
      <c r="AG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03" t="n"/>
      <c r="T694" s="203" t="n"/>
      <c r="U694" s="203" t="n"/>
      <c r="V694" s="203" t="n"/>
      <c r="W694" s="203" t="n"/>
      <c r="X694" s="203" t="n"/>
      <c r="Y694" s="203" t="n"/>
      <c r="Z694" s="203" t="n"/>
      <c r="AA694" s="203" t="n"/>
      <c r="AB694" s="203" t="n"/>
      <c r="AC694" s="203" t="n"/>
      <c r="AD694" s="203" t="n"/>
      <c r="AE694" s="203" t="n"/>
      <c r="AF694" s="203" t="n"/>
      <c r="AG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03" t="n"/>
      <c r="T695" s="203" t="n"/>
      <c r="U695" s="203" t="n"/>
      <c r="V695" s="203" t="n"/>
      <c r="W695" s="203" t="n"/>
      <c r="X695" s="203" t="n"/>
      <c r="Y695" s="203" t="n"/>
      <c r="Z695" s="203" t="n"/>
      <c r="AA695" s="203" t="n"/>
      <c r="AB695" s="203" t="n"/>
      <c r="AC695" s="203" t="n"/>
      <c r="AD695" s="203" t="n"/>
      <c r="AE695" s="203" t="n"/>
      <c r="AF695" s="203" t="n"/>
      <c r="AG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03" t="n"/>
      <c r="T696" s="203" t="n"/>
      <c r="U696" s="203" t="n"/>
      <c r="V696" s="203" t="n"/>
      <c r="W696" s="203" t="n"/>
      <c r="X696" s="203" t="n"/>
      <c r="Y696" s="203" t="n"/>
      <c r="Z696" s="203" t="n"/>
      <c r="AA696" s="203" t="n"/>
      <c r="AB696" s="203" t="n"/>
      <c r="AC696" s="203" t="n"/>
      <c r="AD696" s="203" t="n"/>
      <c r="AE696" s="203" t="n"/>
      <c r="AF696" s="203" t="n"/>
      <c r="AG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03" t="n"/>
      <c r="T697" s="203" t="n"/>
      <c r="U697" s="203" t="n"/>
      <c r="V697" s="203" t="n"/>
      <c r="W697" s="203" t="n"/>
      <c r="X697" s="203" t="n"/>
      <c r="Y697" s="203" t="n"/>
      <c r="Z697" s="203" t="n"/>
      <c r="AA697" s="203" t="n"/>
      <c r="AB697" s="203" t="n"/>
      <c r="AC697" s="203" t="n"/>
      <c r="AD697" s="203" t="n"/>
      <c r="AE697" s="203" t="n"/>
      <c r="AF697" s="203" t="n"/>
      <c r="AG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03" t="n"/>
      <c r="T698" s="203" t="n"/>
      <c r="U698" s="203" t="n"/>
      <c r="V698" s="203" t="n"/>
      <c r="W698" s="203" t="n"/>
      <c r="X698" s="203" t="n"/>
      <c r="Y698" s="203" t="n"/>
      <c r="Z698" s="203" t="n"/>
      <c r="AA698" s="203" t="n"/>
      <c r="AB698" s="203" t="n"/>
      <c r="AC698" s="203" t="n"/>
      <c r="AD698" s="203" t="n"/>
      <c r="AE698" s="203" t="n"/>
      <c r="AF698" s="203" t="n"/>
      <c r="AG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03" t="n"/>
      <c r="T699" s="203" t="n"/>
      <c r="U699" s="203" t="n"/>
      <c r="V699" s="203" t="n"/>
      <c r="W699" s="203" t="n"/>
      <c r="X699" s="203" t="n"/>
      <c r="Y699" s="203" t="n"/>
      <c r="Z699" s="203" t="n"/>
      <c r="AA699" s="203" t="n"/>
      <c r="AB699" s="203" t="n"/>
      <c r="AC699" s="203" t="n"/>
      <c r="AD699" s="203" t="n"/>
      <c r="AE699" s="203" t="n"/>
      <c r="AF699" s="203" t="n"/>
      <c r="AG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03" t="n"/>
      <c r="T700" s="203" t="n"/>
      <c r="U700" s="203" t="n"/>
      <c r="V700" s="203" t="n"/>
      <c r="W700" s="203" t="n"/>
      <c r="X700" s="203" t="n"/>
      <c r="Y700" s="203" t="n"/>
      <c r="Z700" s="203" t="n"/>
      <c r="AA700" s="203" t="n"/>
      <c r="AB700" s="203" t="n"/>
      <c r="AC700" s="203" t="n"/>
      <c r="AD700" s="203" t="n"/>
      <c r="AE700" s="203" t="n"/>
      <c r="AF700" s="203" t="n"/>
      <c r="AG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03" t="n"/>
      <c r="T701" s="203" t="n"/>
      <c r="U701" s="203" t="n"/>
      <c r="V701" s="203" t="n"/>
      <c r="W701" s="203" t="n"/>
      <c r="X701" s="203" t="n"/>
      <c r="Y701" s="203" t="n"/>
      <c r="Z701" s="203" t="n"/>
      <c r="AA701" s="203" t="n"/>
      <c r="AB701" s="203" t="n"/>
      <c r="AC701" s="203" t="n"/>
      <c r="AD701" s="203" t="n"/>
      <c r="AE701" s="203" t="n"/>
      <c r="AF701" s="203" t="n"/>
      <c r="AG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03" t="n"/>
      <c r="T702" s="203" t="n"/>
      <c r="U702" s="203" t="n"/>
      <c r="V702" s="203" t="n"/>
      <c r="W702" s="203" t="n"/>
      <c r="X702" s="203" t="n"/>
      <c r="Y702" s="203" t="n"/>
      <c r="Z702" s="203" t="n"/>
      <c r="AA702" s="203" t="n"/>
      <c r="AB702" s="203" t="n"/>
      <c r="AC702" s="203" t="n"/>
      <c r="AD702" s="203" t="n"/>
      <c r="AE702" s="203" t="n"/>
      <c r="AF702" s="203" t="n"/>
      <c r="AG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03" t="n"/>
      <c r="T703" s="203" t="n"/>
      <c r="U703" s="203" t="n"/>
      <c r="V703" s="203" t="n"/>
      <c r="W703" s="203" t="n"/>
      <c r="X703" s="203" t="n"/>
      <c r="Y703" s="203" t="n"/>
      <c r="Z703" s="203" t="n"/>
      <c r="AA703" s="203" t="n"/>
      <c r="AB703" s="203" t="n"/>
      <c r="AC703" s="203" t="n"/>
      <c r="AD703" s="203" t="n"/>
      <c r="AE703" s="203" t="n"/>
      <c r="AF703" s="203" t="n"/>
      <c r="AG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03" t="n"/>
      <c r="T704" s="203" t="n"/>
      <c r="U704" s="203" t="n"/>
      <c r="V704" s="203" t="n"/>
      <c r="W704" s="203" t="n"/>
      <c r="X704" s="203" t="n"/>
      <c r="Y704" s="203" t="n"/>
      <c r="Z704" s="203" t="n"/>
      <c r="AA704" s="203" t="n"/>
      <c r="AB704" s="203" t="n"/>
      <c r="AC704" s="203" t="n"/>
      <c r="AD704" s="203" t="n"/>
      <c r="AE704" s="203" t="n"/>
      <c r="AF704" s="203" t="n"/>
      <c r="AG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03" t="n"/>
      <c r="T705" s="203" t="n"/>
      <c r="U705" s="203" t="n"/>
      <c r="V705" s="203" t="n"/>
      <c r="W705" s="203" t="n"/>
      <c r="X705" s="203" t="n"/>
      <c r="Y705" s="203" t="n"/>
      <c r="Z705" s="203" t="n"/>
      <c r="AA705" s="203" t="n"/>
      <c r="AB705" s="203" t="n"/>
      <c r="AC705" s="203" t="n"/>
      <c r="AD705" s="203" t="n"/>
      <c r="AE705" s="203" t="n"/>
      <c r="AF705" s="203" t="n"/>
      <c r="AG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03" t="n"/>
      <c r="T706" s="203" t="n"/>
      <c r="U706" s="203" t="n"/>
      <c r="V706" s="203" t="n"/>
      <c r="W706" s="203" t="n"/>
      <c r="X706" s="203" t="n"/>
      <c r="Y706" s="203" t="n"/>
      <c r="Z706" s="203" t="n"/>
      <c r="AA706" s="203" t="n"/>
      <c r="AB706" s="203" t="n"/>
      <c r="AC706" s="203" t="n"/>
      <c r="AD706" s="203" t="n"/>
      <c r="AE706" s="203" t="n"/>
      <c r="AF706" s="203" t="n"/>
      <c r="AG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03" t="n"/>
      <c r="T707" s="203" t="n"/>
      <c r="U707" s="203" t="n"/>
      <c r="V707" s="203" t="n"/>
      <c r="W707" s="203" t="n"/>
      <c r="X707" s="203" t="n"/>
      <c r="Y707" s="203" t="n"/>
      <c r="Z707" s="203" t="n"/>
      <c r="AA707" s="203" t="n"/>
      <c r="AB707" s="203" t="n"/>
      <c r="AC707" s="203" t="n"/>
      <c r="AD707" s="203" t="n"/>
      <c r="AE707" s="203" t="n"/>
      <c r="AF707" s="203" t="n"/>
      <c r="AG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03" t="n"/>
      <c r="T708" s="203" t="n"/>
      <c r="U708" s="203" t="n"/>
      <c r="V708" s="203" t="n"/>
      <c r="W708" s="203" t="n"/>
      <c r="X708" s="203" t="n"/>
      <c r="Y708" s="203" t="n"/>
      <c r="Z708" s="203" t="n"/>
      <c r="AA708" s="203" t="n"/>
      <c r="AB708" s="203" t="n"/>
      <c r="AC708" s="203" t="n"/>
      <c r="AD708" s="203" t="n"/>
      <c r="AE708" s="203" t="n"/>
      <c r="AF708" s="203" t="n"/>
      <c r="AG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03" t="n"/>
      <c r="T709" s="203" t="n"/>
      <c r="U709" s="203" t="n"/>
      <c r="V709" s="203" t="n"/>
      <c r="W709" s="203" t="n"/>
      <c r="X709" s="203" t="n"/>
      <c r="Y709" s="203" t="n"/>
      <c r="Z709" s="203" t="n"/>
      <c r="AA709" s="203" t="n"/>
      <c r="AB709" s="203" t="n"/>
      <c r="AC709" s="203" t="n"/>
      <c r="AD709" s="203" t="n"/>
      <c r="AE709" s="203" t="n"/>
      <c r="AF709" s="203" t="n"/>
      <c r="AG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03" t="n"/>
      <c r="T710" s="203" t="n"/>
      <c r="U710" s="203" t="n"/>
      <c r="V710" s="203" t="n"/>
      <c r="W710" s="203" t="n"/>
      <c r="X710" s="203" t="n"/>
      <c r="Y710" s="203" t="n"/>
      <c r="Z710" s="203" t="n"/>
      <c r="AA710" s="203" t="n"/>
      <c r="AB710" s="203" t="n"/>
      <c r="AC710" s="203" t="n"/>
      <c r="AD710" s="203" t="n"/>
      <c r="AE710" s="203" t="n"/>
      <c r="AF710" s="203" t="n"/>
      <c r="AG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03" t="n"/>
      <c r="T711" s="203" t="n"/>
      <c r="U711" s="203" t="n"/>
      <c r="V711" s="203" t="n"/>
      <c r="W711" s="203" t="n"/>
      <c r="X711" s="203" t="n"/>
      <c r="Y711" s="203" t="n"/>
      <c r="Z711" s="203" t="n"/>
      <c r="AA711" s="203" t="n"/>
      <c r="AB711" s="203" t="n"/>
      <c r="AC711" s="203" t="n"/>
      <c r="AD711" s="203" t="n"/>
      <c r="AE711" s="203" t="n"/>
      <c r="AF711" s="203" t="n"/>
      <c r="AG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03" t="n"/>
      <c r="T712" s="203" t="n"/>
      <c r="U712" s="203" t="n"/>
      <c r="V712" s="203" t="n"/>
      <c r="W712" s="203" t="n"/>
      <c r="X712" s="203" t="n"/>
      <c r="Y712" s="203" t="n"/>
      <c r="Z712" s="203" t="n"/>
      <c r="AA712" s="203" t="n"/>
      <c r="AB712" s="203" t="n"/>
      <c r="AC712" s="203" t="n"/>
      <c r="AD712" s="203" t="n"/>
      <c r="AE712" s="203" t="n"/>
      <c r="AF712" s="203" t="n"/>
      <c r="AG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03" t="n"/>
      <c r="T713" s="203" t="n"/>
      <c r="U713" s="203" t="n"/>
      <c r="V713" s="203" t="n"/>
      <c r="W713" s="203" t="n"/>
      <c r="X713" s="203" t="n"/>
      <c r="Y713" s="203" t="n"/>
      <c r="Z713" s="203" t="n"/>
      <c r="AA713" s="203" t="n"/>
      <c r="AB713" s="203" t="n"/>
      <c r="AC713" s="203" t="n"/>
      <c r="AD713" s="203" t="n"/>
      <c r="AE713" s="203" t="n"/>
      <c r="AF713" s="203" t="n"/>
      <c r="AG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03" t="n"/>
      <c r="T714" s="203" t="n"/>
      <c r="U714" s="203" t="n"/>
      <c r="V714" s="203" t="n"/>
      <c r="W714" s="203" t="n"/>
      <c r="X714" s="203" t="n"/>
      <c r="Y714" s="203" t="n"/>
      <c r="Z714" s="203" t="n"/>
      <c r="AA714" s="203" t="n"/>
      <c r="AB714" s="203" t="n"/>
      <c r="AC714" s="203" t="n"/>
      <c r="AD714" s="203" t="n"/>
      <c r="AE714" s="203" t="n"/>
      <c r="AF714" s="203" t="n"/>
      <c r="AG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03" t="n"/>
      <c r="T715" s="203" t="n"/>
      <c r="U715" s="203" t="n"/>
      <c r="V715" s="203" t="n"/>
      <c r="W715" s="203" t="n"/>
      <c r="X715" s="203" t="n"/>
      <c r="Y715" s="203" t="n"/>
      <c r="Z715" s="203" t="n"/>
      <c r="AA715" s="203" t="n"/>
      <c r="AB715" s="203" t="n"/>
      <c r="AC715" s="203" t="n"/>
      <c r="AD715" s="203" t="n"/>
      <c r="AE715" s="203" t="n"/>
      <c r="AF715" s="203" t="n"/>
      <c r="AG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03" t="n"/>
      <c r="T716" s="203" t="n"/>
      <c r="U716" s="203" t="n"/>
      <c r="V716" s="203" t="n"/>
      <c r="W716" s="203" t="n"/>
      <c r="X716" s="203" t="n"/>
      <c r="Y716" s="203" t="n"/>
      <c r="Z716" s="203" t="n"/>
      <c r="AA716" s="203" t="n"/>
      <c r="AB716" s="203" t="n"/>
      <c r="AC716" s="203" t="n"/>
      <c r="AD716" s="203" t="n"/>
      <c r="AE716" s="203" t="n"/>
      <c r="AF716" s="203" t="n"/>
      <c r="AG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03" t="n"/>
      <c r="T717" s="203" t="n"/>
      <c r="U717" s="203" t="n"/>
      <c r="V717" s="203" t="n"/>
      <c r="W717" s="203" t="n"/>
      <c r="X717" s="203" t="n"/>
      <c r="Y717" s="203" t="n"/>
      <c r="Z717" s="203" t="n"/>
      <c r="AA717" s="203" t="n"/>
      <c r="AB717" s="203" t="n"/>
      <c r="AC717" s="203" t="n"/>
      <c r="AD717" s="203" t="n"/>
      <c r="AE717" s="203" t="n"/>
      <c r="AF717" s="203" t="n"/>
      <c r="AG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03" t="n"/>
      <c r="T718" s="203" t="n"/>
      <c r="U718" s="203" t="n"/>
      <c r="V718" s="203" t="n"/>
      <c r="W718" s="203" t="n"/>
      <c r="X718" s="203" t="n"/>
      <c r="Y718" s="203" t="n"/>
      <c r="Z718" s="203" t="n"/>
      <c r="AA718" s="203" t="n"/>
      <c r="AB718" s="203" t="n"/>
      <c r="AC718" s="203" t="n"/>
      <c r="AD718" s="203" t="n"/>
      <c r="AE718" s="203" t="n"/>
      <c r="AF718" s="203" t="n"/>
      <c r="AG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03" t="n"/>
      <c r="T719" s="203" t="n"/>
      <c r="U719" s="203" t="n"/>
      <c r="V719" s="203" t="n"/>
      <c r="W719" s="203" t="n"/>
      <c r="X719" s="203" t="n"/>
      <c r="Y719" s="203" t="n"/>
      <c r="Z719" s="203" t="n"/>
      <c r="AA719" s="203" t="n"/>
      <c r="AB719" s="203" t="n"/>
      <c r="AC719" s="203" t="n"/>
      <c r="AD719" s="203" t="n"/>
      <c r="AE719" s="203" t="n"/>
      <c r="AF719" s="203" t="n"/>
      <c r="AG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03" t="n"/>
      <c r="T720" s="203" t="n"/>
      <c r="U720" s="203" t="n"/>
      <c r="V720" s="203" t="n"/>
      <c r="W720" s="203" t="n"/>
      <c r="X720" s="203" t="n"/>
      <c r="Y720" s="203" t="n"/>
      <c r="Z720" s="203" t="n"/>
      <c r="AA720" s="203" t="n"/>
      <c r="AB720" s="203" t="n"/>
      <c r="AC720" s="203" t="n"/>
      <c r="AD720" s="203" t="n"/>
      <c r="AE720" s="203" t="n"/>
      <c r="AF720" s="203" t="n"/>
      <c r="AG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03" t="n"/>
      <c r="T721" s="203" t="n"/>
      <c r="U721" s="203" t="n"/>
      <c r="V721" s="203" t="n"/>
      <c r="W721" s="203" t="n"/>
      <c r="X721" s="203" t="n"/>
      <c r="Y721" s="203" t="n"/>
      <c r="Z721" s="203" t="n"/>
      <c r="AA721" s="203" t="n"/>
      <c r="AB721" s="203" t="n"/>
      <c r="AC721" s="203" t="n"/>
      <c r="AD721" s="203" t="n"/>
      <c r="AE721" s="203" t="n"/>
      <c r="AF721" s="203" t="n"/>
      <c r="AG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03" t="n"/>
      <c r="T722" s="203" t="n"/>
      <c r="U722" s="203" t="n"/>
      <c r="V722" s="203" t="n"/>
      <c r="W722" s="203" t="n"/>
      <c r="X722" s="203" t="n"/>
      <c r="Y722" s="203" t="n"/>
      <c r="Z722" s="203" t="n"/>
      <c r="AA722" s="203" t="n"/>
      <c r="AB722" s="203" t="n"/>
      <c r="AC722" s="203" t="n"/>
      <c r="AD722" s="203" t="n"/>
      <c r="AE722" s="203" t="n"/>
      <c r="AF722" s="203" t="n"/>
      <c r="AG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03" t="n"/>
      <c r="T723" s="203" t="n"/>
      <c r="U723" s="203" t="n"/>
      <c r="V723" s="203" t="n"/>
      <c r="W723" s="203" t="n"/>
      <c r="X723" s="203" t="n"/>
      <c r="Y723" s="203" t="n"/>
      <c r="Z723" s="203" t="n"/>
      <c r="AA723" s="203" t="n"/>
      <c r="AB723" s="203" t="n"/>
      <c r="AC723" s="203" t="n"/>
      <c r="AD723" s="203" t="n"/>
      <c r="AE723" s="203" t="n"/>
      <c r="AF723" s="203" t="n"/>
      <c r="AG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03" t="n"/>
      <c r="T724" s="203" t="n"/>
      <c r="U724" s="203" t="n"/>
      <c r="V724" s="203" t="n"/>
      <c r="W724" s="203" t="n"/>
      <c r="X724" s="203" t="n"/>
      <c r="Y724" s="203" t="n"/>
      <c r="Z724" s="203" t="n"/>
      <c r="AA724" s="203" t="n"/>
      <c r="AB724" s="203" t="n"/>
      <c r="AC724" s="203" t="n"/>
      <c r="AD724" s="203" t="n"/>
      <c r="AE724" s="203" t="n"/>
      <c r="AF724" s="203" t="n"/>
      <c r="AG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03" t="n"/>
      <c r="T725" s="203" t="n"/>
      <c r="U725" s="203" t="n"/>
      <c r="V725" s="203" t="n"/>
      <c r="W725" s="203" t="n"/>
      <c r="X725" s="203" t="n"/>
      <c r="Y725" s="203" t="n"/>
      <c r="Z725" s="203" t="n"/>
      <c r="AA725" s="203" t="n"/>
      <c r="AB725" s="203" t="n"/>
      <c r="AC725" s="203" t="n"/>
      <c r="AD725" s="203" t="n"/>
      <c r="AE725" s="203" t="n"/>
      <c r="AF725" s="203" t="n"/>
      <c r="AG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03" t="n"/>
      <c r="T726" s="203" t="n"/>
      <c r="U726" s="203" t="n"/>
      <c r="V726" s="203" t="n"/>
      <c r="W726" s="203" t="n"/>
      <c r="X726" s="203" t="n"/>
      <c r="Y726" s="203" t="n"/>
      <c r="Z726" s="203" t="n"/>
      <c r="AA726" s="203" t="n"/>
      <c r="AB726" s="203" t="n"/>
      <c r="AC726" s="203" t="n"/>
      <c r="AD726" s="203" t="n"/>
      <c r="AE726" s="203" t="n"/>
      <c r="AF726" s="203" t="n"/>
      <c r="AG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03" t="n"/>
      <c r="T727" s="203" t="n"/>
      <c r="U727" s="203" t="n"/>
      <c r="V727" s="203" t="n"/>
      <c r="W727" s="203" t="n"/>
      <c r="X727" s="203" t="n"/>
      <c r="Y727" s="203" t="n"/>
      <c r="Z727" s="203" t="n"/>
      <c r="AA727" s="203" t="n"/>
      <c r="AB727" s="203" t="n"/>
      <c r="AC727" s="203" t="n"/>
      <c r="AD727" s="203" t="n"/>
      <c r="AE727" s="203" t="n"/>
      <c r="AF727" s="203" t="n"/>
      <c r="AG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03" t="n"/>
      <c r="T728" s="203" t="n"/>
      <c r="U728" s="203" t="n"/>
      <c r="V728" s="203" t="n"/>
      <c r="W728" s="203" t="n"/>
      <c r="X728" s="203" t="n"/>
      <c r="Y728" s="203" t="n"/>
      <c r="Z728" s="203" t="n"/>
      <c r="AA728" s="203" t="n"/>
      <c r="AB728" s="203" t="n"/>
      <c r="AC728" s="203" t="n"/>
      <c r="AD728" s="203" t="n"/>
      <c r="AE728" s="203" t="n"/>
      <c r="AF728" s="203" t="n"/>
      <c r="AG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03" t="n"/>
      <c r="T729" s="203" t="n"/>
      <c r="U729" s="203" t="n"/>
      <c r="V729" s="203" t="n"/>
      <c r="W729" s="203" t="n"/>
      <c r="X729" s="203" t="n"/>
      <c r="Y729" s="203" t="n"/>
      <c r="Z729" s="203" t="n"/>
      <c r="AA729" s="203" t="n"/>
      <c r="AB729" s="203" t="n"/>
      <c r="AC729" s="203" t="n"/>
      <c r="AD729" s="203" t="n"/>
      <c r="AE729" s="203" t="n"/>
      <c r="AF729" s="203" t="n"/>
      <c r="AG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03" t="n"/>
      <c r="T730" s="203" t="n"/>
      <c r="U730" s="203" t="n"/>
      <c r="V730" s="203" t="n"/>
      <c r="W730" s="203" t="n"/>
      <c r="X730" s="203" t="n"/>
      <c r="Y730" s="203" t="n"/>
      <c r="Z730" s="203" t="n"/>
      <c r="AA730" s="203" t="n"/>
      <c r="AB730" s="203" t="n"/>
      <c r="AC730" s="203" t="n"/>
      <c r="AD730" s="203" t="n"/>
      <c r="AE730" s="203" t="n"/>
      <c r="AF730" s="203" t="n"/>
      <c r="AG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03" t="n"/>
      <c r="T731" s="203" t="n"/>
      <c r="U731" s="203" t="n"/>
      <c r="V731" s="203" t="n"/>
      <c r="W731" s="203" t="n"/>
      <c r="X731" s="203" t="n"/>
      <c r="Y731" s="203" t="n"/>
      <c r="Z731" s="203" t="n"/>
      <c r="AA731" s="203" t="n"/>
      <c r="AB731" s="203" t="n"/>
      <c r="AC731" s="203" t="n"/>
      <c r="AD731" s="203" t="n"/>
      <c r="AE731" s="203" t="n"/>
      <c r="AF731" s="203" t="n"/>
      <c r="AG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03" t="n"/>
      <c r="T732" s="203" t="n"/>
      <c r="U732" s="203" t="n"/>
      <c r="V732" s="203" t="n"/>
      <c r="W732" s="203" t="n"/>
      <c r="X732" s="203" t="n"/>
      <c r="Y732" s="203" t="n"/>
      <c r="Z732" s="203" t="n"/>
      <c r="AA732" s="203" t="n"/>
      <c r="AB732" s="203" t="n"/>
      <c r="AC732" s="203" t="n"/>
      <c r="AD732" s="203" t="n"/>
      <c r="AE732" s="203" t="n"/>
      <c r="AF732" s="203" t="n"/>
      <c r="AG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03" t="n"/>
      <c r="T733" s="203" t="n"/>
      <c r="U733" s="203" t="n"/>
      <c r="V733" s="203" t="n"/>
      <c r="W733" s="203" t="n"/>
      <c r="X733" s="203" t="n"/>
      <c r="Y733" s="203" t="n"/>
      <c r="Z733" s="203" t="n"/>
      <c r="AA733" s="203" t="n"/>
      <c r="AB733" s="203" t="n"/>
      <c r="AC733" s="203" t="n"/>
      <c r="AD733" s="203" t="n"/>
      <c r="AE733" s="203" t="n"/>
      <c r="AF733" s="203" t="n"/>
      <c r="AG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03" t="n"/>
      <c r="T734" s="203" t="n"/>
      <c r="U734" s="203" t="n"/>
      <c r="V734" s="203" t="n"/>
      <c r="W734" s="203" t="n"/>
      <c r="X734" s="203" t="n"/>
      <c r="Y734" s="203" t="n"/>
      <c r="Z734" s="203" t="n"/>
      <c r="AA734" s="203" t="n"/>
      <c r="AB734" s="203" t="n"/>
      <c r="AC734" s="203" t="n"/>
      <c r="AD734" s="203" t="n"/>
      <c r="AE734" s="203" t="n"/>
      <c r="AF734" s="203" t="n"/>
      <c r="AG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03" t="n"/>
      <c r="T735" s="203" t="n"/>
      <c r="U735" s="203" t="n"/>
      <c r="V735" s="203" t="n"/>
      <c r="W735" s="203" t="n"/>
      <c r="X735" s="203" t="n"/>
      <c r="Y735" s="203" t="n"/>
      <c r="Z735" s="203" t="n"/>
      <c r="AA735" s="203" t="n"/>
      <c r="AB735" s="203" t="n"/>
      <c r="AC735" s="203" t="n"/>
      <c r="AD735" s="203" t="n"/>
      <c r="AE735" s="203" t="n"/>
      <c r="AF735" s="203" t="n"/>
      <c r="AG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03" t="n"/>
      <c r="T736" s="203" t="n"/>
      <c r="U736" s="203" t="n"/>
      <c r="V736" s="203" t="n"/>
      <c r="W736" s="203" t="n"/>
      <c r="X736" s="203" t="n"/>
      <c r="Y736" s="203" t="n"/>
      <c r="Z736" s="203" t="n"/>
      <c r="AA736" s="203" t="n"/>
      <c r="AB736" s="203" t="n"/>
      <c r="AC736" s="203" t="n"/>
      <c r="AD736" s="203" t="n"/>
      <c r="AE736" s="203" t="n"/>
      <c r="AF736" s="203" t="n"/>
      <c r="AG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03" t="n"/>
      <c r="T737" s="203" t="n"/>
      <c r="U737" s="203" t="n"/>
      <c r="V737" s="203" t="n"/>
      <c r="W737" s="203" t="n"/>
      <c r="X737" s="203" t="n"/>
      <c r="Y737" s="203" t="n"/>
      <c r="Z737" s="203" t="n"/>
      <c r="AA737" s="203" t="n"/>
      <c r="AB737" s="203" t="n"/>
      <c r="AC737" s="203" t="n"/>
      <c r="AD737" s="203" t="n"/>
      <c r="AE737" s="203" t="n"/>
      <c r="AF737" s="203" t="n"/>
      <c r="AG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03" t="n"/>
      <c r="T738" s="203" t="n"/>
      <c r="U738" s="203" t="n"/>
      <c r="V738" s="203" t="n"/>
      <c r="W738" s="203" t="n"/>
      <c r="X738" s="203" t="n"/>
      <c r="Y738" s="203" t="n"/>
      <c r="Z738" s="203" t="n"/>
      <c r="AA738" s="203" t="n"/>
      <c r="AB738" s="203" t="n"/>
      <c r="AC738" s="203" t="n"/>
      <c r="AD738" s="203" t="n"/>
      <c r="AE738" s="203" t="n"/>
      <c r="AF738" s="203" t="n"/>
      <c r="AG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03" t="n"/>
      <c r="T739" s="203" t="n"/>
      <c r="U739" s="203" t="n"/>
      <c r="V739" s="203" t="n"/>
      <c r="W739" s="203" t="n"/>
      <c r="X739" s="203" t="n"/>
      <c r="Y739" s="203" t="n"/>
      <c r="Z739" s="203" t="n"/>
      <c r="AA739" s="203" t="n"/>
      <c r="AB739" s="203" t="n"/>
      <c r="AC739" s="203" t="n"/>
      <c r="AD739" s="203" t="n"/>
      <c r="AE739" s="203" t="n"/>
      <c r="AF739" s="203" t="n"/>
      <c r="AG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03" t="n"/>
      <c r="T740" s="203" t="n"/>
      <c r="U740" s="203" t="n"/>
      <c r="V740" s="203" t="n"/>
      <c r="W740" s="203" t="n"/>
      <c r="X740" s="203" t="n"/>
      <c r="Y740" s="203" t="n"/>
      <c r="Z740" s="203" t="n"/>
      <c r="AA740" s="203" t="n"/>
      <c r="AB740" s="203" t="n"/>
      <c r="AC740" s="203" t="n"/>
      <c r="AD740" s="203" t="n"/>
      <c r="AE740" s="203" t="n"/>
      <c r="AF740" s="203" t="n"/>
      <c r="AG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03" t="n"/>
      <c r="T741" s="203" t="n"/>
      <c r="U741" s="203" t="n"/>
      <c r="V741" s="203" t="n"/>
      <c r="W741" s="203" t="n"/>
      <c r="X741" s="203" t="n"/>
      <c r="Y741" s="203" t="n"/>
      <c r="Z741" s="203" t="n"/>
      <c r="AA741" s="203" t="n"/>
      <c r="AB741" s="203" t="n"/>
      <c r="AC741" s="203" t="n"/>
      <c r="AD741" s="203" t="n"/>
      <c r="AE741" s="203" t="n"/>
      <c r="AF741" s="203" t="n"/>
      <c r="AG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03" t="n"/>
      <c r="T742" s="203" t="n"/>
      <c r="U742" s="203" t="n"/>
      <c r="V742" s="203" t="n"/>
      <c r="W742" s="203" t="n"/>
      <c r="X742" s="203" t="n"/>
      <c r="Y742" s="203" t="n"/>
      <c r="Z742" s="203" t="n"/>
      <c r="AA742" s="203" t="n"/>
      <c r="AB742" s="203" t="n"/>
      <c r="AC742" s="203" t="n"/>
      <c r="AD742" s="203" t="n"/>
      <c r="AE742" s="203" t="n"/>
      <c r="AF742" s="203" t="n"/>
      <c r="AG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03" t="n"/>
      <c r="T743" s="203" t="n"/>
      <c r="U743" s="203" t="n"/>
      <c r="V743" s="203" t="n"/>
      <c r="W743" s="203" t="n"/>
      <c r="X743" s="203" t="n"/>
      <c r="Y743" s="203" t="n"/>
      <c r="Z743" s="203" t="n"/>
      <c r="AA743" s="203" t="n"/>
      <c r="AB743" s="203" t="n"/>
      <c r="AC743" s="203" t="n"/>
      <c r="AD743" s="203" t="n"/>
      <c r="AE743" s="203" t="n"/>
      <c r="AF743" s="203" t="n"/>
      <c r="AG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03" t="n"/>
      <c r="T744" s="203" t="n"/>
      <c r="U744" s="203" t="n"/>
      <c r="V744" s="203" t="n"/>
      <c r="W744" s="203" t="n"/>
      <c r="X744" s="203" t="n"/>
      <c r="Y744" s="203" t="n"/>
      <c r="Z744" s="203" t="n"/>
      <c r="AA744" s="203" t="n"/>
      <c r="AB744" s="203" t="n"/>
      <c r="AC744" s="203" t="n"/>
      <c r="AD744" s="203" t="n"/>
      <c r="AE744" s="203" t="n"/>
      <c r="AF744" s="203" t="n"/>
      <c r="AG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03" t="n"/>
      <c r="T745" s="203" t="n"/>
      <c r="U745" s="203" t="n"/>
      <c r="V745" s="203" t="n"/>
      <c r="W745" s="203" t="n"/>
      <c r="X745" s="203" t="n"/>
      <c r="Y745" s="203" t="n"/>
      <c r="Z745" s="203" t="n"/>
      <c r="AA745" s="203" t="n"/>
      <c r="AB745" s="203" t="n"/>
      <c r="AC745" s="203" t="n"/>
      <c r="AD745" s="203" t="n"/>
      <c r="AE745" s="203" t="n"/>
      <c r="AF745" s="203" t="n"/>
      <c r="AG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03" t="n"/>
      <c r="T746" s="203" t="n"/>
      <c r="U746" s="203" t="n"/>
      <c r="V746" s="203" t="n"/>
      <c r="W746" s="203" t="n"/>
      <c r="X746" s="203" t="n"/>
      <c r="Y746" s="203" t="n"/>
      <c r="Z746" s="203" t="n"/>
      <c r="AA746" s="203" t="n"/>
      <c r="AB746" s="203" t="n"/>
      <c r="AC746" s="203" t="n"/>
      <c r="AD746" s="203" t="n"/>
      <c r="AE746" s="203" t="n"/>
      <c r="AF746" s="203" t="n"/>
      <c r="AG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03" t="n"/>
      <c r="T747" s="203" t="n"/>
      <c r="U747" s="203" t="n"/>
      <c r="V747" s="203" t="n"/>
      <c r="W747" s="203" t="n"/>
      <c r="X747" s="203" t="n"/>
      <c r="Y747" s="203" t="n"/>
      <c r="Z747" s="203" t="n"/>
      <c r="AA747" s="203" t="n"/>
      <c r="AB747" s="203" t="n"/>
      <c r="AC747" s="203" t="n"/>
      <c r="AD747" s="203" t="n"/>
      <c r="AE747" s="203" t="n"/>
      <c r="AF747" s="203" t="n"/>
      <c r="AG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03" t="n"/>
      <c r="T748" s="203" t="n"/>
      <c r="U748" s="203" t="n"/>
      <c r="V748" s="203" t="n"/>
      <c r="W748" s="203" t="n"/>
      <c r="X748" s="203" t="n"/>
      <c r="Y748" s="203" t="n"/>
      <c r="Z748" s="203" t="n"/>
      <c r="AA748" s="203" t="n"/>
      <c r="AB748" s="203" t="n"/>
      <c r="AC748" s="203" t="n"/>
      <c r="AD748" s="203" t="n"/>
      <c r="AE748" s="203" t="n"/>
      <c r="AF748" s="203" t="n"/>
      <c r="AG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03" t="n"/>
      <c r="T749" s="203" t="n"/>
      <c r="U749" s="203" t="n"/>
      <c r="V749" s="203" t="n"/>
      <c r="W749" s="203" t="n"/>
      <c r="X749" s="203" t="n"/>
      <c r="Y749" s="203" t="n"/>
      <c r="Z749" s="203" t="n"/>
      <c r="AA749" s="203" t="n"/>
      <c r="AB749" s="203" t="n"/>
      <c r="AC749" s="203" t="n"/>
      <c r="AD749" s="203" t="n"/>
      <c r="AE749" s="203" t="n"/>
      <c r="AF749" s="203" t="n"/>
      <c r="AG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03" t="n"/>
      <c r="T750" s="203" t="n"/>
      <c r="U750" s="203" t="n"/>
      <c r="V750" s="203" t="n"/>
      <c r="W750" s="203" t="n"/>
      <c r="X750" s="203" t="n"/>
      <c r="Y750" s="203" t="n"/>
      <c r="Z750" s="203" t="n"/>
      <c r="AA750" s="203" t="n"/>
      <c r="AB750" s="203" t="n"/>
      <c r="AC750" s="203" t="n"/>
      <c r="AD750" s="203" t="n"/>
      <c r="AE750" s="203" t="n"/>
      <c r="AF750" s="203" t="n"/>
      <c r="AG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03" t="n"/>
      <c r="T751" s="203" t="n"/>
      <c r="U751" s="203" t="n"/>
      <c r="V751" s="203" t="n"/>
      <c r="W751" s="203" t="n"/>
      <c r="X751" s="203" t="n"/>
      <c r="Y751" s="203" t="n"/>
      <c r="Z751" s="203" t="n"/>
      <c r="AA751" s="203" t="n"/>
      <c r="AB751" s="203" t="n"/>
      <c r="AC751" s="203" t="n"/>
      <c r="AD751" s="203" t="n"/>
      <c r="AE751" s="203" t="n"/>
      <c r="AF751" s="203" t="n"/>
      <c r="AG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03" t="n"/>
      <c r="T752" s="203" t="n"/>
      <c r="U752" s="203" t="n"/>
      <c r="V752" s="203" t="n"/>
      <c r="W752" s="203" t="n"/>
      <c r="X752" s="203" t="n"/>
      <c r="Y752" s="203" t="n"/>
      <c r="Z752" s="203" t="n"/>
      <c r="AA752" s="203" t="n"/>
      <c r="AB752" s="203" t="n"/>
      <c r="AC752" s="203" t="n"/>
      <c r="AD752" s="203" t="n"/>
      <c r="AE752" s="203" t="n"/>
      <c r="AF752" s="203" t="n"/>
      <c r="AG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03" t="n"/>
      <c r="T753" s="203" t="n"/>
      <c r="U753" s="203" t="n"/>
      <c r="V753" s="203" t="n"/>
      <c r="W753" s="203" t="n"/>
      <c r="X753" s="203" t="n"/>
      <c r="Y753" s="203" t="n"/>
      <c r="Z753" s="203" t="n"/>
      <c r="AA753" s="203" t="n"/>
      <c r="AB753" s="203" t="n"/>
      <c r="AC753" s="203" t="n"/>
      <c r="AD753" s="203" t="n"/>
      <c r="AE753" s="203" t="n"/>
      <c r="AF753" s="203" t="n"/>
      <c r="AG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03" t="n"/>
      <c r="T754" s="203" t="n"/>
      <c r="U754" s="203" t="n"/>
      <c r="V754" s="203" t="n"/>
      <c r="W754" s="203" t="n"/>
      <c r="X754" s="203" t="n"/>
      <c r="Y754" s="203" t="n"/>
      <c r="Z754" s="203" t="n"/>
      <c r="AA754" s="203" t="n"/>
      <c r="AB754" s="203" t="n"/>
      <c r="AC754" s="203" t="n"/>
      <c r="AD754" s="203" t="n"/>
      <c r="AE754" s="203" t="n"/>
      <c r="AF754" s="203" t="n"/>
      <c r="AG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03" t="n"/>
      <c r="T755" s="203" t="n"/>
      <c r="U755" s="203" t="n"/>
      <c r="V755" s="203" t="n"/>
      <c r="W755" s="203" t="n"/>
      <c r="X755" s="203" t="n"/>
      <c r="Y755" s="203" t="n"/>
      <c r="Z755" s="203" t="n"/>
      <c r="AA755" s="203" t="n"/>
      <c r="AB755" s="203" t="n"/>
      <c r="AC755" s="203" t="n"/>
      <c r="AD755" s="203" t="n"/>
      <c r="AE755" s="203" t="n"/>
      <c r="AF755" s="203" t="n"/>
      <c r="AG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03" t="n"/>
      <c r="T756" s="203" t="n"/>
      <c r="U756" s="203" t="n"/>
      <c r="V756" s="203" t="n"/>
      <c r="W756" s="203" t="n"/>
      <c r="X756" s="203" t="n"/>
      <c r="Y756" s="203" t="n"/>
      <c r="Z756" s="203" t="n"/>
      <c r="AA756" s="203" t="n"/>
      <c r="AB756" s="203" t="n"/>
      <c r="AC756" s="203" t="n"/>
      <c r="AD756" s="203" t="n"/>
      <c r="AE756" s="203" t="n"/>
      <c r="AF756" s="203" t="n"/>
      <c r="AG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03" t="n"/>
      <c r="T757" s="203" t="n"/>
      <c r="U757" s="203" t="n"/>
      <c r="V757" s="203" t="n"/>
      <c r="W757" s="203" t="n"/>
      <c r="X757" s="203" t="n"/>
      <c r="Y757" s="203" t="n"/>
      <c r="Z757" s="203" t="n"/>
      <c r="AA757" s="203" t="n"/>
      <c r="AB757" s="203" t="n"/>
      <c r="AC757" s="203" t="n"/>
      <c r="AD757" s="203" t="n"/>
      <c r="AE757" s="203" t="n"/>
      <c r="AF757" s="203" t="n"/>
      <c r="AG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03" t="n"/>
      <c r="T758" s="203" t="n"/>
      <c r="U758" s="203" t="n"/>
      <c r="V758" s="203" t="n"/>
      <c r="W758" s="203" t="n"/>
      <c r="X758" s="203" t="n"/>
      <c r="Y758" s="203" t="n"/>
      <c r="Z758" s="203" t="n"/>
      <c r="AA758" s="203" t="n"/>
      <c r="AB758" s="203" t="n"/>
      <c r="AC758" s="203" t="n"/>
      <c r="AD758" s="203" t="n"/>
      <c r="AE758" s="203" t="n"/>
      <c r="AF758" s="203" t="n"/>
      <c r="AG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03" t="n"/>
      <c r="T759" s="203" t="n"/>
      <c r="U759" s="203" t="n"/>
      <c r="V759" s="203" t="n"/>
      <c r="W759" s="203" t="n"/>
      <c r="X759" s="203" t="n"/>
      <c r="Y759" s="203" t="n"/>
      <c r="Z759" s="203" t="n"/>
      <c r="AA759" s="203" t="n"/>
      <c r="AB759" s="203" t="n"/>
      <c r="AC759" s="203" t="n"/>
      <c r="AD759" s="203" t="n"/>
      <c r="AE759" s="203" t="n"/>
      <c r="AF759" s="203" t="n"/>
      <c r="AG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03" t="n"/>
      <c r="T760" s="203" t="n"/>
      <c r="U760" s="203" t="n"/>
      <c r="V760" s="203" t="n"/>
      <c r="W760" s="203" t="n"/>
      <c r="X760" s="203" t="n"/>
      <c r="Y760" s="203" t="n"/>
      <c r="Z760" s="203" t="n"/>
      <c r="AA760" s="203" t="n"/>
      <c r="AB760" s="203" t="n"/>
      <c r="AC760" s="203" t="n"/>
      <c r="AD760" s="203" t="n"/>
      <c r="AE760" s="203" t="n"/>
      <c r="AF760" s="203" t="n"/>
      <c r="AG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03" t="n"/>
      <c r="T761" s="203" t="n"/>
      <c r="U761" s="203" t="n"/>
      <c r="V761" s="203" t="n"/>
      <c r="W761" s="203" t="n"/>
      <c r="X761" s="203" t="n"/>
      <c r="Y761" s="203" t="n"/>
      <c r="Z761" s="203" t="n"/>
      <c r="AA761" s="203" t="n"/>
      <c r="AB761" s="203" t="n"/>
      <c r="AC761" s="203" t="n"/>
      <c r="AD761" s="203" t="n"/>
      <c r="AE761" s="203" t="n"/>
      <c r="AF761" s="203" t="n"/>
      <c r="AG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03" t="n"/>
      <c r="T762" s="203" t="n"/>
      <c r="U762" s="203" t="n"/>
      <c r="V762" s="203" t="n"/>
      <c r="W762" s="203" t="n"/>
      <c r="X762" s="203" t="n"/>
      <c r="Y762" s="203" t="n"/>
      <c r="Z762" s="203" t="n"/>
      <c r="AA762" s="203" t="n"/>
      <c r="AB762" s="203" t="n"/>
      <c r="AC762" s="203" t="n"/>
      <c r="AD762" s="203" t="n"/>
      <c r="AE762" s="203" t="n"/>
      <c r="AF762" s="203" t="n"/>
      <c r="AG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03" t="n"/>
      <c r="T763" s="203" t="n"/>
      <c r="U763" s="203" t="n"/>
      <c r="V763" s="203" t="n"/>
      <c r="W763" s="203" t="n"/>
      <c r="X763" s="203" t="n"/>
      <c r="Y763" s="203" t="n"/>
      <c r="Z763" s="203" t="n"/>
      <c r="AA763" s="203" t="n"/>
      <c r="AB763" s="203" t="n"/>
      <c r="AC763" s="203" t="n"/>
      <c r="AD763" s="203" t="n"/>
      <c r="AE763" s="203" t="n"/>
      <c r="AF763" s="203" t="n"/>
      <c r="AG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03" t="n"/>
      <c r="T764" s="203" t="n"/>
      <c r="U764" s="203" t="n"/>
      <c r="V764" s="203" t="n"/>
      <c r="W764" s="203" t="n"/>
      <c r="X764" s="203" t="n"/>
      <c r="Y764" s="203" t="n"/>
      <c r="Z764" s="203" t="n"/>
      <c r="AA764" s="203" t="n"/>
      <c r="AB764" s="203" t="n"/>
      <c r="AC764" s="203" t="n"/>
      <c r="AD764" s="203" t="n"/>
      <c r="AE764" s="203" t="n"/>
      <c r="AF764" s="203" t="n"/>
      <c r="AG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03" t="n"/>
      <c r="T765" s="203" t="n"/>
      <c r="U765" s="203" t="n"/>
      <c r="V765" s="203" t="n"/>
      <c r="W765" s="203" t="n"/>
      <c r="X765" s="203" t="n"/>
      <c r="Y765" s="203" t="n"/>
      <c r="Z765" s="203" t="n"/>
      <c r="AA765" s="203" t="n"/>
      <c r="AB765" s="203" t="n"/>
      <c r="AC765" s="203" t="n"/>
      <c r="AD765" s="203" t="n"/>
      <c r="AE765" s="203" t="n"/>
      <c r="AF765" s="203" t="n"/>
      <c r="AG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03" t="n"/>
      <c r="T766" s="203" t="n"/>
      <c r="U766" s="203" t="n"/>
      <c r="V766" s="203" t="n"/>
      <c r="W766" s="203" t="n"/>
      <c r="X766" s="203" t="n"/>
      <c r="Y766" s="203" t="n"/>
      <c r="Z766" s="203" t="n"/>
      <c r="AA766" s="203" t="n"/>
      <c r="AB766" s="203" t="n"/>
      <c r="AC766" s="203" t="n"/>
      <c r="AD766" s="203" t="n"/>
      <c r="AE766" s="203" t="n"/>
      <c r="AF766" s="203" t="n"/>
      <c r="AG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03" t="n"/>
      <c r="T767" s="203" t="n"/>
      <c r="U767" s="203" t="n"/>
      <c r="V767" s="203" t="n"/>
      <c r="W767" s="203" t="n"/>
      <c r="X767" s="203" t="n"/>
      <c r="Y767" s="203" t="n"/>
      <c r="Z767" s="203" t="n"/>
      <c r="AA767" s="203" t="n"/>
      <c r="AB767" s="203" t="n"/>
      <c r="AC767" s="203" t="n"/>
      <c r="AD767" s="203" t="n"/>
      <c r="AE767" s="203" t="n"/>
      <c r="AF767" s="203" t="n"/>
      <c r="AG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03" t="n"/>
      <c r="T768" s="203" t="n"/>
      <c r="U768" s="203" t="n"/>
      <c r="V768" s="203" t="n"/>
      <c r="W768" s="203" t="n"/>
      <c r="X768" s="203" t="n"/>
      <c r="Y768" s="203" t="n"/>
      <c r="Z768" s="203" t="n"/>
      <c r="AA768" s="203" t="n"/>
      <c r="AB768" s="203" t="n"/>
      <c r="AC768" s="203" t="n"/>
      <c r="AD768" s="203" t="n"/>
      <c r="AE768" s="203" t="n"/>
      <c r="AF768" s="203" t="n"/>
      <c r="AG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03" t="n"/>
      <c r="T769" s="203" t="n"/>
      <c r="U769" s="203" t="n"/>
      <c r="V769" s="203" t="n"/>
      <c r="W769" s="203" t="n"/>
      <c r="X769" s="203" t="n"/>
      <c r="Y769" s="203" t="n"/>
      <c r="Z769" s="203" t="n"/>
      <c r="AA769" s="203" t="n"/>
      <c r="AB769" s="203" t="n"/>
      <c r="AC769" s="203" t="n"/>
      <c r="AD769" s="203" t="n"/>
      <c r="AE769" s="203" t="n"/>
      <c r="AF769" s="203" t="n"/>
      <c r="AG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03" t="n"/>
      <c r="T770" s="203" t="n"/>
      <c r="U770" s="203" t="n"/>
      <c r="V770" s="203" t="n"/>
      <c r="W770" s="203" t="n"/>
      <c r="X770" s="203" t="n"/>
      <c r="Y770" s="203" t="n"/>
      <c r="Z770" s="203" t="n"/>
      <c r="AA770" s="203" t="n"/>
      <c r="AB770" s="203" t="n"/>
      <c r="AC770" s="203" t="n"/>
      <c r="AD770" s="203" t="n"/>
      <c r="AE770" s="203" t="n"/>
      <c r="AF770" s="203" t="n"/>
      <c r="AG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03" t="n"/>
      <c r="T771" s="203" t="n"/>
      <c r="U771" s="203" t="n"/>
      <c r="V771" s="203" t="n"/>
      <c r="W771" s="203" t="n"/>
      <c r="X771" s="203" t="n"/>
      <c r="Y771" s="203" t="n"/>
      <c r="Z771" s="203" t="n"/>
      <c r="AA771" s="203" t="n"/>
      <c r="AB771" s="203" t="n"/>
      <c r="AC771" s="203" t="n"/>
      <c r="AD771" s="203" t="n"/>
      <c r="AE771" s="203" t="n"/>
      <c r="AF771" s="203" t="n"/>
      <c r="AG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03" t="n"/>
      <c r="T772" s="203" t="n"/>
      <c r="U772" s="203" t="n"/>
      <c r="V772" s="203" t="n"/>
      <c r="W772" s="203" t="n"/>
      <c r="X772" s="203" t="n"/>
      <c r="Y772" s="203" t="n"/>
      <c r="Z772" s="203" t="n"/>
      <c r="AA772" s="203" t="n"/>
      <c r="AB772" s="203" t="n"/>
      <c r="AC772" s="203" t="n"/>
      <c r="AD772" s="203" t="n"/>
      <c r="AE772" s="203" t="n"/>
      <c r="AF772" s="203" t="n"/>
      <c r="AG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03" t="n"/>
      <c r="T773" s="203" t="n"/>
      <c r="U773" s="203" t="n"/>
      <c r="V773" s="203" t="n"/>
      <c r="W773" s="203" t="n"/>
      <c r="X773" s="203" t="n"/>
      <c r="Y773" s="203" t="n"/>
      <c r="Z773" s="203" t="n"/>
      <c r="AA773" s="203" t="n"/>
      <c r="AB773" s="203" t="n"/>
      <c r="AC773" s="203" t="n"/>
      <c r="AD773" s="203" t="n"/>
      <c r="AE773" s="203" t="n"/>
      <c r="AF773" s="203" t="n"/>
      <c r="AG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03" t="n"/>
      <c r="T774" s="203" t="n"/>
      <c r="U774" s="203" t="n"/>
      <c r="V774" s="203" t="n"/>
      <c r="W774" s="203" t="n"/>
      <c r="X774" s="203" t="n"/>
      <c r="Y774" s="203" t="n"/>
      <c r="Z774" s="203" t="n"/>
      <c r="AA774" s="203" t="n"/>
      <c r="AB774" s="203" t="n"/>
      <c r="AC774" s="203" t="n"/>
      <c r="AD774" s="203" t="n"/>
      <c r="AE774" s="203" t="n"/>
      <c r="AF774" s="203" t="n"/>
      <c r="AG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03" t="n"/>
      <c r="T775" s="203" t="n"/>
      <c r="U775" s="203" t="n"/>
      <c r="V775" s="203" t="n"/>
      <c r="W775" s="203" t="n"/>
      <c r="X775" s="203" t="n"/>
      <c r="Y775" s="203" t="n"/>
      <c r="Z775" s="203" t="n"/>
      <c r="AA775" s="203" t="n"/>
      <c r="AB775" s="203" t="n"/>
      <c r="AC775" s="203" t="n"/>
      <c r="AD775" s="203" t="n"/>
      <c r="AE775" s="203" t="n"/>
      <c r="AF775" s="203" t="n"/>
      <c r="AG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03" t="n"/>
      <c r="T776" s="203" t="n"/>
      <c r="U776" s="203" t="n"/>
      <c r="V776" s="203" t="n"/>
      <c r="W776" s="203" t="n"/>
      <c r="X776" s="203" t="n"/>
      <c r="Y776" s="203" t="n"/>
      <c r="Z776" s="203" t="n"/>
      <c r="AA776" s="203" t="n"/>
      <c r="AB776" s="203" t="n"/>
      <c r="AC776" s="203" t="n"/>
      <c r="AD776" s="203" t="n"/>
      <c r="AE776" s="203" t="n"/>
      <c r="AF776" s="203" t="n"/>
      <c r="AG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03" t="n"/>
      <c r="T777" s="203" t="n"/>
      <c r="U777" s="203" t="n"/>
      <c r="V777" s="203" t="n"/>
      <c r="W777" s="203" t="n"/>
      <c r="X777" s="203" t="n"/>
      <c r="Y777" s="203" t="n"/>
      <c r="Z777" s="203" t="n"/>
      <c r="AA777" s="203" t="n"/>
      <c r="AB777" s="203" t="n"/>
      <c r="AC777" s="203" t="n"/>
      <c r="AD777" s="203" t="n"/>
      <c r="AE777" s="203" t="n"/>
      <c r="AF777" s="203" t="n"/>
      <c r="AG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03" t="n"/>
      <c r="T778" s="203" t="n"/>
      <c r="U778" s="203" t="n"/>
      <c r="V778" s="203" t="n"/>
      <c r="W778" s="203" t="n"/>
      <c r="X778" s="203" t="n"/>
      <c r="Y778" s="203" t="n"/>
      <c r="Z778" s="203" t="n"/>
      <c r="AA778" s="203" t="n"/>
      <c r="AB778" s="203" t="n"/>
      <c r="AC778" s="203" t="n"/>
      <c r="AD778" s="203" t="n"/>
      <c r="AE778" s="203" t="n"/>
      <c r="AF778" s="203" t="n"/>
      <c r="AG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03" t="n"/>
      <c r="T779" s="203" t="n"/>
      <c r="U779" s="203" t="n"/>
      <c r="V779" s="203" t="n"/>
      <c r="W779" s="203" t="n"/>
      <c r="X779" s="203" t="n"/>
      <c r="Y779" s="203" t="n"/>
      <c r="Z779" s="203" t="n"/>
      <c r="AA779" s="203" t="n"/>
      <c r="AB779" s="203" t="n"/>
      <c r="AC779" s="203" t="n"/>
      <c r="AD779" s="203" t="n"/>
      <c r="AE779" s="203" t="n"/>
      <c r="AF779" s="203" t="n"/>
      <c r="AG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03" t="n"/>
      <c r="T780" s="203" t="n"/>
      <c r="U780" s="203" t="n"/>
      <c r="V780" s="203" t="n"/>
      <c r="W780" s="203" t="n"/>
      <c r="X780" s="203" t="n"/>
      <c r="Y780" s="203" t="n"/>
      <c r="Z780" s="203" t="n"/>
      <c r="AA780" s="203" t="n"/>
      <c r="AB780" s="203" t="n"/>
      <c r="AC780" s="203" t="n"/>
      <c r="AD780" s="203" t="n"/>
      <c r="AE780" s="203" t="n"/>
      <c r="AF780" s="203" t="n"/>
      <c r="AG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03" t="n"/>
      <c r="T781" s="203" t="n"/>
      <c r="U781" s="203" t="n"/>
      <c r="V781" s="203" t="n"/>
      <c r="W781" s="203" t="n"/>
      <c r="X781" s="203" t="n"/>
      <c r="Y781" s="203" t="n"/>
      <c r="Z781" s="203" t="n"/>
      <c r="AA781" s="203" t="n"/>
      <c r="AB781" s="203" t="n"/>
      <c r="AC781" s="203" t="n"/>
      <c r="AD781" s="203" t="n"/>
      <c r="AE781" s="203" t="n"/>
      <c r="AF781" s="203" t="n"/>
      <c r="AG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03" t="n"/>
      <c r="T782" s="203" t="n"/>
      <c r="U782" s="203" t="n"/>
      <c r="V782" s="203" t="n"/>
      <c r="W782" s="203" t="n"/>
      <c r="X782" s="203" t="n"/>
      <c r="Y782" s="203" t="n"/>
      <c r="Z782" s="203" t="n"/>
      <c r="AA782" s="203" t="n"/>
      <c r="AB782" s="203" t="n"/>
      <c r="AC782" s="203" t="n"/>
      <c r="AD782" s="203" t="n"/>
      <c r="AE782" s="203" t="n"/>
      <c r="AF782" s="203" t="n"/>
      <c r="AG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03" t="n"/>
      <c r="T783" s="203" t="n"/>
      <c r="U783" s="203" t="n"/>
      <c r="V783" s="203" t="n"/>
      <c r="W783" s="203" t="n"/>
      <c r="X783" s="203" t="n"/>
      <c r="Y783" s="203" t="n"/>
      <c r="Z783" s="203" t="n"/>
      <c r="AA783" s="203" t="n"/>
      <c r="AB783" s="203" t="n"/>
      <c r="AC783" s="203" t="n"/>
      <c r="AD783" s="203" t="n"/>
      <c r="AE783" s="203" t="n"/>
      <c r="AF783" s="203" t="n"/>
      <c r="AG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03" t="n"/>
      <c r="T784" s="203" t="n"/>
      <c r="U784" s="203" t="n"/>
      <c r="V784" s="203" t="n"/>
      <c r="W784" s="203" t="n"/>
      <c r="X784" s="203" t="n"/>
      <c r="Y784" s="203" t="n"/>
      <c r="Z784" s="203" t="n"/>
      <c r="AA784" s="203" t="n"/>
      <c r="AB784" s="203" t="n"/>
      <c r="AC784" s="203" t="n"/>
      <c r="AD784" s="203" t="n"/>
      <c r="AE784" s="203" t="n"/>
      <c r="AF784" s="203" t="n"/>
      <c r="AG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03" t="n"/>
      <c r="T785" s="203" t="n"/>
      <c r="U785" s="203" t="n"/>
      <c r="V785" s="203" t="n"/>
      <c r="W785" s="203" t="n"/>
      <c r="X785" s="203" t="n"/>
      <c r="Y785" s="203" t="n"/>
      <c r="Z785" s="203" t="n"/>
      <c r="AA785" s="203" t="n"/>
      <c r="AB785" s="203" t="n"/>
      <c r="AC785" s="203" t="n"/>
      <c r="AD785" s="203" t="n"/>
      <c r="AE785" s="203" t="n"/>
      <c r="AF785" s="203" t="n"/>
      <c r="AG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03" t="n"/>
      <c r="T786" s="203" t="n"/>
      <c r="U786" s="203" t="n"/>
      <c r="V786" s="203" t="n"/>
      <c r="W786" s="203" t="n"/>
      <c r="X786" s="203" t="n"/>
      <c r="Y786" s="203" t="n"/>
      <c r="Z786" s="203" t="n"/>
      <c r="AA786" s="203" t="n"/>
      <c r="AB786" s="203" t="n"/>
      <c r="AC786" s="203" t="n"/>
      <c r="AD786" s="203" t="n"/>
      <c r="AE786" s="203" t="n"/>
      <c r="AF786" s="203" t="n"/>
      <c r="AG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03" t="n"/>
      <c r="T787" s="203" t="n"/>
      <c r="U787" s="203" t="n"/>
      <c r="V787" s="203" t="n"/>
      <c r="W787" s="203" t="n"/>
      <c r="X787" s="203" t="n"/>
      <c r="Y787" s="203" t="n"/>
      <c r="Z787" s="203" t="n"/>
      <c r="AA787" s="203" t="n"/>
      <c r="AB787" s="203" t="n"/>
      <c r="AC787" s="203" t="n"/>
      <c r="AD787" s="203" t="n"/>
      <c r="AE787" s="203" t="n"/>
      <c r="AF787" s="203" t="n"/>
      <c r="AG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03" t="n"/>
      <c r="T788" s="203" t="n"/>
      <c r="U788" s="203" t="n"/>
      <c r="V788" s="203" t="n"/>
      <c r="W788" s="203" t="n"/>
      <c r="X788" s="203" t="n"/>
      <c r="Y788" s="203" t="n"/>
      <c r="Z788" s="203" t="n"/>
      <c r="AA788" s="203" t="n"/>
      <c r="AB788" s="203" t="n"/>
      <c r="AC788" s="203" t="n"/>
      <c r="AD788" s="203" t="n"/>
      <c r="AE788" s="203" t="n"/>
      <c r="AF788" s="203" t="n"/>
      <c r="AG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03" t="n"/>
      <c r="T789" s="203" t="n"/>
      <c r="U789" s="203" t="n"/>
      <c r="V789" s="203" t="n"/>
      <c r="W789" s="203" t="n"/>
      <c r="X789" s="203" t="n"/>
      <c r="Y789" s="203" t="n"/>
      <c r="Z789" s="203" t="n"/>
      <c r="AA789" s="203" t="n"/>
      <c r="AB789" s="203" t="n"/>
      <c r="AC789" s="203" t="n"/>
      <c r="AD789" s="203" t="n"/>
      <c r="AE789" s="203" t="n"/>
      <c r="AF789" s="203" t="n"/>
      <c r="AG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03" t="n"/>
      <c r="T790" s="203" t="n"/>
      <c r="U790" s="203" t="n"/>
      <c r="V790" s="203" t="n"/>
      <c r="W790" s="203" t="n"/>
      <c r="X790" s="203" t="n"/>
      <c r="Y790" s="203" t="n"/>
      <c r="Z790" s="203" t="n"/>
      <c r="AA790" s="203" t="n"/>
      <c r="AB790" s="203" t="n"/>
      <c r="AC790" s="203" t="n"/>
      <c r="AD790" s="203" t="n"/>
      <c r="AE790" s="203" t="n"/>
      <c r="AF790" s="203" t="n"/>
      <c r="AG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03" t="n"/>
      <c r="T791" s="203" t="n"/>
      <c r="U791" s="203" t="n"/>
      <c r="V791" s="203" t="n"/>
      <c r="W791" s="203" t="n"/>
      <c r="X791" s="203" t="n"/>
      <c r="Y791" s="203" t="n"/>
      <c r="Z791" s="203" t="n"/>
      <c r="AA791" s="203" t="n"/>
      <c r="AB791" s="203" t="n"/>
      <c r="AC791" s="203" t="n"/>
      <c r="AD791" s="203" t="n"/>
      <c r="AE791" s="203" t="n"/>
      <c r="AF791" s="203" t="n"/>
      <c r="AG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03" t="n"/>
      <c r="T792" s="203" t="n"/>
      <c r="U792" s="203" t="n"/>
      <c r="V792" s="203" t="n"/>
      <c r="W792" s="203" t="n"/>
      <c r="X792" s="203" t="n"/>
      <c r="Y792" s="203" t="n"/>
      <c r="Z792" s="203" t="n"/>
      <c r="AA792" s="203" t="n"/>
      <c r="AB792" s="203" t="n"/>
      <c r="AC792" s="203" t="n"/>
      <c r="AD792" s="203" t="n"/>
      <c r="AE792" s="203" t="n"/>
      <c r="AF792" s="203" t="n"/>
      <c r="AG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03" t="n"/>
      <c r="T793" s="203" t="n"/>
      <c r="U793" s="203" t="n"/>
      <c r="V793" s="203" t="n"/>
      <c r="W793" s="203" t="n"/>
      <c r="X793" s="203" t="n"/>
      <c r="Y793" s="203" t="n"/>
      <c r="Z793" s="203" t="n"/>
      <c r="AA793" s="203" t="n"/>
      <c r="AB793" s="203" t="n"/>
      <c r="AC793" s="203" t="n"/>
      <c r="AD793" s="203" t="n"/>
      <c r="AE793" s="203" t="n"/>
      <c r="AF793" s="203" t="n"/>
      <c r="AG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03" t="n"/>
      <c r="T794" s="203" t="n"/>
      <c r="U794" s="203" t="n"/>
      <c r="V794" s="203" t="n"/>
      <c r="W794" s="203" t="n"/>
      <c r="X794" s="203" t="n"/>
      <c r="Y794" s="203" t="n"/>
      <c r="Z794" s="203" t="n"/>
      <c r="AA794" s="203" t="n"/>
      <c r="AB794" s="203" t="n"/>
      <c r="AC794" s="203" t="n"/>
      <c r="AD794" s="203" t="n"/>
      <c r="AE794" s="203" t="n"/>
      <c r="AF794" s="203" t="n"/>
      <c r="AG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03" t="n"/>
      <c r="T795" s="203" t="n"/>
      <c r="U795" s="203" t="n"/>
      <c r="V795" s="203" t="n"/>
      <c r="W795" s="203" t="n"/>
      <c r="X795" s="203" t="n"/>
      <c r="Y795" s="203" t="n"/>
      <c r="Z795" s="203" t="n"/>
      <c r="AA795" s="203" t="n"/>
      <c r="AB795" s="203" t="n"/>
      <c r="AC795" s="203" t="n"/>
      <c r="AD795" s="203" t="n"/>
      <c r="AE795" s="203" t="n"/>
      <c r="AF795" s="203" t="n"/>
      <c r="AG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03" t="n"/>
      <c r="T796" s="203" t="n"/>
      <c r="U796" s="203" t="n"/>
      <c r="V796" s="203" t="n"/>
      <c r="W796" s="203" t="n"/>
      <c r="X796" s="203" t="n"/>
      <c r="Y796" s="203" t="n"/>
      <c r="Z796" s="203" t="n"/>
      <c r="AA796" s="203" t="n"/>
      <c r="AB796" s="203" t="n"/>
      <c r="AC796" s="203" t="n"/>
      <c r="AD796" s="203" t="n"/>
      <c r="AE796" s="203" t="n"/>
      <c r="AF796" s="203" t="n"/>
      <c r="AG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03" t="n"/>
      <c r="T797" s="203" t="n"/>
      <c r="U797" s="203" t="n"/>
      <c r="V797" s="203" t="n"/>
      <c r="W797" s="203" t="n"/>
      <c r="X797" s="203" t="n"/>
      <c r="Y797" s="203" t="n"/>
      <c r="Z797" s="203" t="n"/>
      <c r="AA797" s="203" t="n"/>
      <c r="AB797" s="203" t="n"/>
      <c r="AC797" s="203" t="n"/>
      <c r="AD797" s="203" t="n"/>
      <c r="AE797" s="203" t="n"/>
      <c r="AF797" s="203" t="n"/>
      <c r="AG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03" t="n"/>
      <c r="T798" s="203" t="n"/>
      <c r="U798" s="203" t="n"/>
      <c r="V798" s="203" t="n"/>
      <c r="W798" s="203" t="n"/>
      <c r="X798" s="203" t="n"/>
      <c r="Y798" s="203" t="n"/>
      <c r="Z798" s="203" t="n"/>
      <c r="AA798" s="203" t="n"/>
      <c r="AB798" s="203" t="n"/>
      <c r="AC798" s="203" t="n"/>
      <c r="AD798" s="203" t="n"/>
      <c r="AE798" s="203" t="n"/>
      <c r="AF798" s="203" t="n"/>
      <c r="AG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03" t="n"/>
      <c r="T799" s="203" t="n"/>
      <c r="U799" s="203" t="n"/>
      <c r="V799" s="203" t="n"/>
      <c r="W799" s="203" t="n"/>
      <c r="X799" s="203" t="n"/>
      <c r="Y799" s="203" t="n"/>
      <c r="Z799" s="203" t="n"/>
      <c r="AA799" s="203" t="n"/>
      <c r="AB799" s="203" t="n"/>
      <c r="AC799" s="203" t="n"/>
      <c r="AD799" s="203" t="n"/>
      <c r="AE799" s="203" t="n"/>
      <c r="AF799" s="203" t="n"/>
      <c r="AG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03" t="n"/>
      <c r="T800" s="203" t="n"/>
      <c r="U800" s="203" t="n"/>
      <c r="V800" s="203" t="n"/>
      <c r="W800" s="203" t="n"/>
      <c r="X800" s="203" t="n"/>
      <c r="Y800" s="203" t="n"/>
      <c r="Z800" s="203" t="n"/>
      <c r="AA800" s="203" t="n"/>
      <c r="AB800" s="203" t="n"/>
      <c r="AC800" s="203" t="n"/>
      <c r="AD800" s="203" t="n"/>
      <c r="AE800" s="203" t="n"/>
      <c r="AF800" s="203" t="n"/>
      <c r="AG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03" t="n"/>
      <c r="T801" s="203" t="n"/>
      <c r="U801" s="203" t="n"/>
      <c r="V801" s="203" t="n"/>
      <c r="W801" s="203" t="n"/>
      <c r="X801" s="203" t="n"/>
      <c r="Y801" s="203" t="n"/>
      <c r="Z801" s="203" t="n"/>
      <c r="AA801" s="203" t="n"/>
      <c r="AB801" s="203" t="n"/>
      <c r="AC801" s="203" t="n"/>
      <c r="AD801" s="203" t="n"/>
      <c r="AE801" s="203" t="n"/>
      <c r="AF801" s="203" t="n"/>
      <c r="AG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03" t="n"/>
      <c r="T802" s="203" t="n"/>
      <c r="U802" s="203" t="n"/>
      <c r="V802" s="203" t="n"/>
      <c r="W802" s="203" t="n"/>
      <c r="X802" s="203" t="n"/>
      <c r="Y802" s="203" t="n"/>
      <c r="Z802" s="203" t="n"/>
      <c r="AA802" s="203" t="n"/>
      <c r="AB802" s="203" t="n"/>
      <c r="AC802" s="203" t="n"/>
      <c r="AD802" s="203" t="n"/>
      <c r="AE802" s="203" t="n"/>
      <c r="AF802" s="203" t="n"/>
      <c r="AG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03" t="n"/>
      <c r="T803" s="203" t="n"/>
      <c r="U803" s="203" t="n"/>
      <c r="V803" s="203" t="n"/>
      <c r="W803" s="203" t="n"/>
      <c r="X803" s="203" t="n"/>
      <c r="Y803" s="203" t="n"/>
      <c r="Z803" s="203" t="n"/>
      <c r="AA803" s="203" t="n"/>
      <c r="AB803" s="203" t="n"/>
      <c r="AC803" s="203" t="n"/>
      <c r="AD803" s="203" t="n"/>
      <c r="AE803" s="203" t="n"/>
      <c r="AF803" s="203" t="n"/>
      <c r="AG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03" t="n"/>
      <c r="T804" s="203" t="n"/>
      <c r="U804" s="203" t="n"/>
      <c r="V804" s="203" t="n"/>
      <c r="W804" s="203" t="n"/>
      <c r="X804" s="203" t="n"/>
      <c r="Y804" s="203" t="n"/>
      <c r="Z804" s="203" t="n"/>
      <c r="AA804" s="203" t="n"/>
      <c r="AB804" s="203" t="n"/>
      <c r="AC804" s="203" t="n"/>
      <c r="AD804" s="203" t="n"/>
      <c r="AE804" s="203" t="n"/>
      <c r="AF804" s="203" t="n"/>
      <c r="AG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03" t="n"/>
      <c r="T805" s="203" t="n"/>
      <c r="U805" s="203" t="n"/>
      <c r="V805" s="203" t="n"/>
      <c r="W805" s="203" t="n"/>
      <c r="X805" s="203" t="n"/>
      <c r="Y805" s="203" t="n"/>
      <c r="Z805" s="203" t="n"/>
      <c r="AA805" s="203" t="n"/>
      <c r="AB805" s="203" t="n"/>
      <c r="AC805" s="203" t="n"/>
      <c r="AD805" s="203" t="n"/>
      <c r="AE805" s="203" t="n"/>
      <c r="AF805" s="203" t="n"/>
      <c r="AG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03" t="n"/>
      <c r="T806" s="203" t="n"/>
      <c r="U806" s="203" t="n"/>
      <c r="V806" s="203" t="n"/>
      <c r="W806" s="203" t="n"/>
      <c r="X806" s="203" t="n"/>
      <c r="Y806" s="203" t="n"/>
      <c r="Z806" s="203" t="n"/>
      <c r="AA806" s="203" t="n"/>
      <c r="AB806" s="203" t="n"/>
      <c r="AC806" s="203" t="n"/>
      <c r="AD806" s="203" t="n"/>
      <c r="AE806" s="203" t="n"/>
      <c r="AF806" s="203" t="n"/>
      <c r="AG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03" t="n"/>
      <c r="T807" s="203" t="n"/>
      <c r="U807" s="203" t="n"/>
      <c r="V807" s="203" t="n"/>
      <c r="W807" s="203" t="n"/>
      <c r="X807" s="203" t="n"/>
      <c r="Y807" s="203" t="n"/>
      <c r="Z807" s="203" t="n"/>
      <c r="AA807" s="203" t="n"/>
      <c r="AB807" s="203" t="n"/>
      <c r="AC807" s="203" t="n"/>
      <c r="AD807" s="203" t="n"/>
      <c r="AE807" s="203" t="n"/>
      <c r="AF807" s="203" t="n"/>
      <c r="AG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03" t="n"/>
      <c r="T808" s="203" t="n"/>
      <c r="U808" s="203" t="n"/>
      <c r="V808" s="203" t="n"/>
      <c r="W808" s="203" t="n"/>
      <c r="X808" s="203" t="n"/>
      <c r="Y808" s="203" t="n"/>
      <c r="Z808" s="203" t="n"/>
      <c r="AA808" s="203" t="n"/>
      <c r="AB808" s="203" t="n"/>
      <c r="AC808" s="203" t="n"/>
      <c r="AD808" s="203" t="n"/>
      <c r="AE808" s="203" t="n"/>
      <c r="AF808" s="203" t="n"/>
      <c r="AG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03" t="n"/>
      <c r="T809" s="203" t="n"/>
      <c r="U809" s="203" t="n"/>
      <c r="V809" s="203" t="n"/>
      <c r="W809" s="203" t="n"/>
      <c r="X809" s="203" t="n"/>
      <c r="Y809" s="203" t="n"/>
      <c r="Z809" s="203" t="n"/>
      <c r="AA809" s="203" t="n"/>
      <c r="AB809" s="203" t="n"/>
      <c r="AC809" s="203" t="n"/>
      <c r="AD809" s="203" t="n"/>
      <c r="AE809" s="203" t="n"/>
      <c r="AF809" s="203" t="n"/>
      <c r="AG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03" t="n"/>
      <c r="T810" s="203" t="n"/>
      <c r="U810" s="203" t="n"/>
      <c r="V810" s="203" t="n"/>
      <c r="W810" s="203" t="n"/>
      <c r="X810" s="203" t="n"/>
      <c r="Y810" s="203" t="n"/>
      <c r="Z810" s="203" t="n"/>
      <c r="AA810" s="203" t="n"/>
      <c r="AB810" s="203" t="n"/>
      <c r="AC810" s="203" t="n"/>
      <c r="AD810" s="203" t="n"/>
      <c r="AE810" s="203" t="n"/>
      <c r="AF810" s="203" t="n"/>
      <c r="AG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03" t="n"/>
      <c r="T811" s="203" t="n"/>
      <c r="U811" s="203" t="n"/>
      <c r="V811" s="203" t="n"/>
      <c r="W811" s="203" t="n"/>
      <c r="X811" s="203" t="n"/>
      <c r="Y811" s="203" t="n"/>
      <c r="Z811" s="203" t="n"/>
      <c r="AA811" s="203" t="n"/>
      <c r="AB811" s="203" t="n"/>
      <c r="AC811" s="203" t="n"/>
      <c r="AD811" s="203" t="n"/>
      <c r="AE811" s="203" t="n"/>
      <c r="AF811" s="203" t="n"/>
      <c r="AG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03" t="n"/>
      <c r="T812" s="203" t="n"/>
      <c r="U812" s="203" t="n"/>
      <c r="V812" s="203" t="n"/>
      <c r="W812" s="203" t="n"/>
      <c r="X812" s="203" t="n"/>
      <c r="Y812" s="203" t="n"/>
      <c r="Z812" s="203" t="n"/>
      <c r="AA812" s="203" t="n"/>
      <c r="AB812" s="203" t="n"/>
      <c r="AC812" s="203" t="n"/>
      <c r="AD812" s="203" t="n"/>
      <c r="AE812" s="203" t="n"/>
      <c r="AF812" s="203" t="n"/>
      <c r="AG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03" t="n"/>
      <c r="T813" s="203" t="n"/>
      <c r="U813" s="203" t="n"/>
      <c r="V813" s="203" t="n"/>
      <c r="W813" s="203" t="n"/>
      <c r="X813" s="203" t="n"/>
      <c r="Y813" s="203" t="n"/>
      <c r="Z813" s="203" t="n"/>
      <c r="AA813" s="203" t="n"/>
      <c r="AB813" s="203" t="n"/>
      <c r="AC813" s="203" t="n"/>
      <c r="AD813" s="203" t="n"/>
      <c r="AE813" s="203" t="n"/>
      <c r="AF813" s="203" t="n"/>
      <c r="AG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03" t="n"/>
      <c r="T814" s="203" t="n"/>
      <c r="U814" s="203" t="n"/>
      <c r="V814" s="203" t="n"/>
      <c r="W814" s="203" t="n"/>
      <c r="X814" s="203" t="n"/>
      <c r="Y814" s="203" t="n"/>
      <c r="Z814" s="203" t="n"/>
      <c r="AA814" s="203" t="n"/>
      <c r="AB814" s="203" t="n"/>
      <c r="AC814" s="203" t="n"/>
      <c r="AD814" s="203" t="n"/>
      <c r="AE814" s="203" t="n"/>
      <c r="AF814" s="203" t="n"/>
      <c r="AG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03" t="n"/>
      <c r="T815" s="203" t="n"/>
      <c r="U815" s="203" t="n"/>
      <c r="V815" s="203" t="n"/>
      <c r="W815" s="203" t="n"/>
      <c r="X815" s="203" t="n"/>
      <c r="Y815" s="203" t="n"/>
      <c r="Z815" s="203" t="n"/>
      <c r="AA815" s="203" t="n"/>
      <c r="AB815" s="203" t="n"/>
      <c r="AC815" s="203" t="n"/>
      <c r="AD815" s="203" t="n"/>
      <c r="AE815" s="203" t="n"/>
      <c r="AF815" s="203" t="n"/>
      <c r="AG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03" t="n"/>
      <c r="T816" s="203" t="n"/>
      <c r="U816" s="203" t="n"/>
      <c r="V816" s="203" t="n"/>
      <c r="W816" s="203" t="n"/>
      <c r="X816" s="203" t="n"/>
      <c r="Y816" s="203" t="n"/>
      <c r="Z816" s="203" t="n"/>
      <c r="AA816" s="203" t="n"/>
      <c r="AB816" s="203" t="n"/>
      <c r="AC816" s="203" t="n"/>
      <c r="AD816" s="203" t="n"/>
      <c r="AE816" s="203" t="n"/>
      <c r="AF816" s="203" t="n"/>
      <c r="AG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03" t="n"/>
      <c r="T817" s="203" t="n"/>
      <c r="U817" s="203" t="n"/>
      <c r="V817" s="203" t="n"/>
      <c r="W817" s="203" t="n"/>
      <c r="X817" s="203" t="n"/>
      <c r="Y817" s="203" t="n"/>
      <c r="Z817" s="203" t="n"/>
      <c r="AA817" s="203" t="n"/>
      <c r="AB817" s="203" t="n"/>
      <c r="AC817" s="203" t="n"/>
      <c r="AD817" s="203" t="n"/>
      <c r="AE817" s="203" t="n"/>
      <c r="AF817" s="203" t="n"/>
      <c r="AG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03" t="n"/>
      <c r="T818" s="203" t="n"/>
      <c r="U818" s="203" t="n"/>
      <c r="V818" s="203" t="n"/>
      <c r="W818" s="203" t="n"/>
      <c r="X818" s="203" t="n"/>
      <c r="Y818" s="203" t="n"/>
      <c r="Z818" s="203" t="n"/>
      <c r="AA818" s="203" t="n"/>
      <c r="AB818" s="203" t="n"/>
      <c r="AC818" s="203" t="n"/>
      <c r="AD818" s="203" t="n"/>
      <c r="AE818" s="203" t="n"/>
      <c r="AF818" s="203" t="n"/>
      <c r="AG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03" t="n"/>
      <c r="T819" s="203" t="n"/>
      <c r="U819" s="203" t="n"/>
      <c r="V819" s="203" t="n"/>
      <c r="W819" s="203" t="n"/>
      <c r="X819" s="203" t="n"/>
      <c r="Y819" s="203" t="n"/>
      <c r="Z819" s="203" t="n"/>
      <c r="AA819" s="203" t="n"/>
      <c r="AB819" s="203" t="n"/>
      <c r="AC819" s="203" t="n"/>
      <c r="AD819" s="203" t="n"/>
      <c r="AE819" s="203" t="n"/>
      <c r="AF819" s="203" t="n"/>
      <c r="AG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03" t="n"/>
      <c r="T820" s="203" t="n"/>
      <c r="U820" s="203" t="n"/>
      <c r="V820" s="203" t="n"/>
      <c r="W820" s="203" t="n"/>
      <c r="X820" s="203" t="n"/>
      <c r="Y820" s="203" t="n"/>
      <c r="Z820" s="203" t="n"/>
      <c r="AA820" s="203" t="n"/>
      <c r="AB820" s="203" t="n"/>
      <c r="AC820" s="203" t="n"/>
      <c r="AD820" s="203" t="n"/>
      <c r="AE820" s="203" t="n"/>
      <c r="AF820" s="203" t="n"/>
      <c r="AG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03" t="n"/>
      <c r="T821" s="203" t="n"/>
      <c r="U821" s="203" t="n"/>
      <c r="V821" s="203" t="n"/>
      <c r="W821" s="203" t="n"/>
      <c r="X821" s="203" t="n"/>
      <c r="Y821" s="203" t="n"/>
      <c r="Z821" s="203" t="n"/>
      <c r="AA821" s="203" t="n"/>
      <c r="AB821" s="203" t="n"/>
      <c r="AC821" s="203" t="n"/>
      <c r="AD821" s="203" t="n"/>
      <c r="AE821" s="203" t="n"/>
      <c r="AF821" s="203" t="n"/>
      <c r="AG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03" t="n"/>
      <c r="T822" s="203" t="n"/>
      <c r="U822" s="203" t="n"/>
      <c r="V822" s="203" t="n"/>
      <c r="W822" s="203" t="n"/>
      <c r="X822" s="203" t="n"/>
      <c r="Y822" s="203" t="n"/>
      <c r="Z822" s="203" t="n"/>
      <c r="AA822" s="203" t="n"/>
      <c r="AB822" s="203" t="n"/>
      <c r="AC822" s="203" t="n"/>
      <c r="AD822" s="203" t="n"/>
      <c r="AE822" s="203" t="n"/>
      <c r="AF822" s="203" t="n"/>
      <c r="AG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03" t="n"/>
      <c r="T823" s="203" t="n"/>
      <c r="U823" s="203" t="n"/>
      <c r="V823" s="203" t="n"/>
      <c r="W823" s="203" t="n"/>
      <c r="X823" s="203" t="n"/>
      <c r="Y823" s="203" t="n"/>
      <c r="Z823" s="203" t="n"/>
      <c r="AA823" s="203" t="n"/>
      <c r="AB823" s="203" t="n"/>
      <c r="AC823" s="203" t="n"/>
      <c r="AD823" s="203" t="n"/>
      <c r="AE823" s="203" t="n"/>
      <c r="AF823" s="203" t="n"/>
      <c r="AG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03" t="n"/>
      <c r="T824" s="203" t="n"/>
      <c r="U824" s="203" t="n"/>
      <c r="V824" s="203" t="n"/>
      <c r="W824" s="203" t="n"/>
      <c r="X824" s="203" t="n"/>
      <c r="Y824" s="203" t="n"/>
      <c r="Z824" s="203" t="n"/>
      <c r="AA824" s="203" t="n"/>
      <c r="AB824" s="203" t="n"/>
      <c r="AC824" s="203" t="n"/>
      <c r="AD824" s="203" t="n"/>
      <c r="AE824" s="203" t="n"/>
      <c r="AF824" s="203" t="n"/>
      <c r="AG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03" t="n"/>
      <c r="T825" s="203" t="n"/>
      <c r="U825" s="203" t="n"/>
      <c r="V825" s="203" t="n"/>
      <c r="W825" s="203" t="n"/>
      <c r="X825" s="203" t="n"/>
      <c r="Y825" s="203" t="n"/>
      <c r="Z825" s="203" t="n"/>
      <c r="AA825" s="203" t="n"/>
      <c r="AB825" s="203" t="n"/>
      <c r="AC825" s="203" t="n"/>
      <c r="AD825" s="203" t="n"/>
      <c r="AE825" s="203" t="n"/>
      <c r="AF825" s="203" t="n"/>
      <c r="AG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03" t="n"/>
      <c r="T826" s="203" t="n"/>
      <c r="U826" s="203" t="n"/>
      <c r="V826" s="203" t="n"/>
      <c r="W826" s="203" t="n"/>
      <c r="X826" s="203" t="n"/>
      <c r="Y826" s="203" t="n"/>
      <c r="Z826" s="203" t="n"/>
      <c r="AA826" s="203" t="n"/>
      <c r="AB826" s="203" t="n"/>
      <c r="AC826" s="203" t="n"/>
      <c r="AD826" s="203" t="n"/>
      <c r="AE826" s="203" t="n"/>
      <c r="AF826" s="203" t="n"/>
      <c r="AG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03" t="n"/>
      <c r="T827" s="203" t="n"/>
      <c r="U827" s="203" t="n"/>
      <c r="V827" s="203" t="n"/>
      <c r="W827" s="203" t="n"/>
      <c r="X827" s="203" t="n"/>
      <c r="Y827" s="203" t="n"/>
      <c r="Z827" s="203" t="n"/>
      <c r="AA827" s="203" t="n"/>
      <c r="AB827" s="203" t="n"/>
      <c r="AC827" s="203" t="n"/>
      <c r="AD827" s="203" t="n"/>
      <c r="AE827" s="203" t="n"/>
      <c r="AF827" s="203" t="n"/>
      <c r="AG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03" t="n"/>
      <c r="T828" s="203" t="n"/>
      <c r="U828" s="203" t="n"/>
      <c r="V828" s="203" t="n"/>
      <c r="W828" s="203" t="n"/>
      <c r="X828" s="203" t="n"/>
      <c r="Y828" s="203" t="n"/>
      <c r="Z828" s="203" t="n"/>
      <c r="AA828" s="203" t="n"/>
      <c r="AB828" s="203" t="n"/>
      <c r="AC828" s="203" t="n"/>
      <c r="AD828" s="203" t="n"/>
      <c r="AE828" s="203" t="n"/>
      <c r="AF828" s="203" t="n"/>
      <c r="AG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03" t="n"/>
      <c r="T829" s="203" t="n"/>
      <c r="U829" s="203" t="n"/>
      <c r="V829" s="203" t="n"/>
      <c r="W829" s="203" t="n"/>
      <c r="X829" s="203" t="n"/>
      <c r="Y829" s="203" t="n"/>
      <c r="Z829" s="203" t="n"/>
      <c r="AA829" s="203" t="n"/>
      <c r="AB829" s="203" t="n"/>
      <c r="AC829" s="203" t="n"/>
      <c r="AD829" s="203" t="n"/>
      <c r="AE829" s="203" t="n"/>
      <c r="AF829" s="203" t="n"/>
      <c r="AG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03" t="n"/>
      <c r="T830" s="203" t="n"/>
      <c r="U830" s="203" t="n"/>
      <c r="V830" s="203" t="n"/>
      <c r="W830" s="203" t="n"/>
      <c r="X830" s="203" t="n"/>
      <c r="Y830" s="203" t="n"/>
      <c r="Z830" s="203" t="n"/>
      <c r="AA830" s="203" t="n"/>
      <c r="AB830" s="203" t="n"/>
      <c r="AC830" s="203" t="n"/>
      <c r="AD830" s="203" t="n"/>
      <c r="AE830" s="203" t="n"/>
      <c r="AF830" s="203" t="n"/>
      <c r="AG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03" t="n"/>
      <c r="T831" s="203" t="n"/>
      <c r="U831" s="203" t="n"/>
      <c r="V831" s="203" t="n"/>
      <c r="W831" s="203" t="n"/>
      <c r="X831" s="203" t="n"/>
      <c r="Y831" s="203" t="n"/>
      <c r="Z831" s="203" t="n"/>
      <c r="AA831" s="203" t="n"/>
      <c r="AB831" s="203" t="n"/>
      <c r="AC831" s="203" t="n"/>
      <c r="AD831" s="203" t="n"/>
      <c r="AE831" s="203" t="n"/>
      <c r="AF831" s="203" t="n"/>
      <c r="AG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03" t="n"/>
      <c r="T832" s="203" t="n"/>
      <c r="U832" s="203" t="n"/>
      <c r="V832" s="203" t="n"/>
      <c r="W832" s="203" t="n"/>
      <c r="X832" s="203" t="n"/>
      <c r="Y832" s="203" t="n"/>
      <c r="Z832" s="203" t="n"/>
      <c r="AA832" s="203" t="n"/>
      <c r="AB832" s="203" t="n"/>
      <c r="AC832" s="203" t="n"/>
      <c r="AD832" s="203" t="n"/>
      <c r="AE832" s="203" t="n"/>
      <c r="AF832" s="203" t="n"/>
      <c r="AG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03" t="n"/>
      <c r="T833" s="203" t="n"/>
      <c r="U833" s="203" t="n"/>
      <c r="V833" s="203" t="n"/>
      <c r="W833" s="203" t="n"/>
      <c r="X833" s="203" t="n"/>
      <c r="Y833" s="203" t="n"/>
      <c r="Z833" s="203" t="n"/>
      <c r="AA833" s="203" t="n"/>
      <c r="AB833" s="203" t="n"/>
      <c r="AC833" s="203" t="n"/>
      <c r="AD833" s="203" t="n"/>
      <c r="AE833" s="203" t="n"/>
      <c r="AF833" s="203" t="n"/>
      <c r="AG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03" t="n"/>
      <c r="T834" s="203" t="n"/>
      <c r="U834" s="203" t="n"/>
      <c r="V834" s="203" t="n"/>
      <c r="W834" s="203" t="n"/>
      <c r="X834" s="203" t="n"/>
      <c r="Y834" s="203" t="n"/>
      <c r="Z834" s="203" t="n"/>
      <c r="AA834" s="203" t="n"/>
      <c r="AB834" s="203" t="n"/>
      <c r="AC834" s="203" t="n"/>
      <c r="AD834" s="203" t="n"/>
      <c r="AE834" s="203" t="n"/>
      <c r="AF834" s="203" t="n"/>
      <c r="AG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03" t="n"/>
      <c r="T835" s="203" t="n"/>
      <c r="U835" s="203" t="n"/>
      <c r="V835" s="203" t="n"/>
      <c r="W835" s="203" t="n"/>
      <c r="X835" s="203" t="n"/>
      <c r="Y835" s="203" t="n"/>
      <c r="Z835" s="203" t="n"/>
      <c r="AA835" s="203" t="n"/>
      <c r="AB835" s="203" t="n"/>
      <c r="AC835" s="203" t="n"/>
      <c r="AD835" s="203" t="n"/>
      <c r="AE835" s="203" t="n"/>
      <c r="AF835" s="203" t="n"/>
      <c r="AG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03" t="n"/>
      <c r="T836" s="203" t="n"/>
      <c r="U836" s="203" t="n"/>
      <c r="V836" s="203" t="n"/>
      <c r="W836" s="203" t="n"/>
      <c r="X836" s="203" t="n"/>
      <c r="Y836" s="203" t="n"/>
      <c r="Z836" s="203" t="n"/>
      <c r="AA836" s="203" t="n"/>
      <c r="AB836" s="203" t="n"/>
      <c r="AC836" s="203" t="n"/>
      <c r="AD836" s="203" t="n"/>
      <c r="AE836" s="203" t="n"/>
      <c r="AF836" s="203" t="n"/>
      <c r="AG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03" t="n"/>
      <c r="T837" s="203" t="n"/>
      <c r="U837" s="203" t="n"/>
      <c r="V837" s="203" t="n"/>
      <c r="W837" s="203" t="n"/>
      <c r="X837" s="203" t="n"/>
      <c r="Y837" s="203" t="n"/>
      <c r="Z837" s="203" t="n"/>
      <c r="AA837" s="203" t="n"/>
      <c r="AB837" s="203" t="n"/>
      <c r="AC837" s="203" t="n"/>
      <c r="AD837" s="203" t="n"/>
      <c r="AE837" s="203" t="n"/>
      <c r="AF837" s="203" t="n"/>
      <c r="AG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03" t="n"/>
      <c r="T838" s="203" t="n"/>
      <c r="U838" s="203" t="n"/>
      <c r="V838" s="203" t="n"/>
      <c r="W838" s="203" t="n"/>
      <c r="X838" s="203" t="n"/>
      <c r="Y838" s="203" t="n"/>
      <c r="Z838" s="203" t="n"/>
      <c r="AA838" s="203" t="n"/>
      <c r="AB838" s="203" t="n"/>
      <c r="AC838" s="203" t="n"/>
      <c r="AD838" s="203" t="n"/>
      <c r="AE838" s="203" t="n"/>
      <c r="AF838" s="203" t="n"/>
      <c r="AG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03" t="n"/>
      <c r="T839" s="203" t="n"/>
      <c r="U839" s="203" t="n"/>
      <c r="V839" s="203" t="n"/>
      <c r="W839" s="203" t="n"/>
      <c r="X839" s="203" t="n"/>
      <c r="Y839" s="203" t="n"/>
      <c r="Z839" s="203" t="n"/>
      <c r="AA839" s="203" t="n"/>
      <c r="AB839" s="203" t="n"/>
      <c r="AC839" s="203" t="n"/>
      <c r="AD839" s="203" t="n"/>
      <c r="AE839" s="203" t="n"/>
      <c r="AF839" s="203" t="n"/>
      <c r="AG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03" t="n"/>
      <c r="T840" s="203" t="n"/>
      <c r="U840" s="203" t="n"/>
      <c r="V840" s="203" t="n"/>
      <c r="W840" s="203" t="n"/>
      <c r="X840" s="203" t="n"/>
      <c r="Y840" s="203" t="n"/>
      <c r="Z840" s="203" t="n"/>
      <c r="AA840" s="203" t="n"/>
      <c r="AB840" s="203" t="n"/>
      <c r="AC840" s="203" t="n"/>
      <c r="AD840" s="203" t="n"/>
      <c r="AE840" s="203" t="n"/>
      <c r="AF840" s="203" t="n"/>
      <c r="AG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03" t="n"/>
      <c r="T841" s="203" t="n"/>
      <c r="U841" s="203" t="n"/>
      <c r="V841" s="203" t="n"/>
      <c r="W841" s="203" t="n"/>
      <c r="X841" s="203" t="n"/>
      <c r="Y841" s="203" t="n"/>
      <c r="Z841" s="203" t="n"/>
      <c r="AA841" s="203" t="n"/>
      <c r="AB841" s="203" t="n"/>
      <c r="AC841" s="203" t="n"/>
      <c r="AD841" s="203" t="n"/>
      <c r="AE841" s="203" t="n"/>
      <c r="AF841" s="203" t="n"/>
      <c r="AG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03" t="n"/>
      <c r="T842" s="203" t="n"/>
      <c r="U842" s="203" t="n"/>
      <c r="V842" s="203" t="n"/>
      <c r="W842" s="203" t="n"/>
      <c r="X842" s="203" t="n"/>
      <c r="Y842" s="203" t="n"/>
      <c r="Z842" s="203" t="n"/>
      <c r="AA842" s="203" t="n"/>
      <c r="AB842" s="203" t="n"/>
      <c r="AC842" s="203" t="n"/>
      <c r="AD842" s="203" t="n"/>
      <c r="AE842" s="203" t="n"/>
      <c r="AF842" s="203" t="n"/>
      <c r="AG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03" t="n"/>
      <c r="T843" s="203" t="n"/>
      <c r="U843" s="203" t="n"/>
      <c r="V843" s="203" t="n"/>
      <c r="W843" s="203" t="n"/>
      <c r="X843" s="203" t="n"/>
      <c r="Y843" s="203" t="n"/>
      <c r="Z843" s="203" t="n"/>
      <c r="AA843" s="203" t="n"/>
      <c r="AB843" s="203" t="n"/>
      <c r="AC843" s="203" t="n"/>
      <c r="AD843" s="203" t="n"/>
      <c r="AE843" s="203" t="n"/>
      <c r="AF843" s="203" t="n"/>
      <c r="AG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03" t="n"/>
      <c r="T844" s="203" t="n"/>
      <c r="U844" s="203" t="n"/>
      <c r="V844" s="203" t="n"/>
      <c r="W844" s="203" t="n"/>
      <c r="X844" s="203" t="n"/>
      <c r="Y844" s="203" t="n"/>
      <c r="Z844" s="203" t="n"/>
      <c r="AA844" s="203" t="n"/>
      <c r="AB844" s="203" t="n"/>
      <c r="AC844" s="203" t="n"/>
      <c r="AD844" s="203" t="n"/>
      <c r="AE844" s="203" t="n"/>
      <c r="AF844" s="203" t="n"/>
      <c r="AG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  <c r="S845" s="203" t="n"/>
      <c r="T845" s="203" t="n"/>
      <c r="U845" s="203" t="n"/>
      <c r="V845" s="203" t="n"/>
      <c r="W845" s="203" t="n"/>
      <c r="X845" s="203" t="n"/>
      <c r="Y845" s="203" t="n"/>
      <c r="Z845" s="203" t="n"/>
      <c r="AA845" s="203" t="n"/>
      <c r="AB845" s="203" t="n"/>
      <c r="AC845" s="203" t="n"/>
      <c r="AD845" s="203" t="n"/>
      <c r="AE845" s="203" t="n"/>
      <c r="AF845" s="203" t="n"/>
      <c r="AG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  <c r="S846" s="203" t="n"/>
      <c r="T846" s="203" t="n"/>
      <c r="U846" s="203" t="n"/>
      <c r="V846" s="203" t="n"/>
      <c r="W846" s="203" t="n"/>
      <c r="X846" s="203" t="n"/>
      <c r="Y846" s="203" t="n"/>
      <c r="Z846" s="203" t="n"/>
      <c r="AA846" s="203" t="n"/>
      <c r="AB846" s="203" t="n"/>
      <c r="AC846" s="203" t="n"/>
      <c r="AD846" s="203" t="n"/>
      <c r="AE846" s="203" t="n"/>
      <c r="AF846" s="203" t="n"/>
      <c r="AG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  <c r="S847" s="203" t="n"/>
      <c r="T847" s="203" t="n"/>
      <c r="U847" s="203" t="n"/>
      <c r="V847" s="203" t="n"/>
      <c r="W847" s="203" t="n"/>
      <c r="X847" s="203" t="n"/>
      <c r="Y847" s="203" t="n"/>
      <c r="Z847" s="203" t="n"/>
      <c r="AA847" s="203" t="n"/>
      <c r="AB847" s="203" t="n"/>
      <c r="AC847" s="203" t="n"/>
      <c r="AD847" s="203" t="n"/>
      <c r="AE847" s="203" t="n"/>
      <c r="AF847" s="203" t="n"/>
      <c r="AG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  <c r="S848" s="203" t="n"/>
      <c r="T848" s="203" t="n"/>
      <c r="U848" s="203" t="n"/>
      <c r="V848" s="203" t="n"/>
      <c r="W848" s="203" t="n"/>
      <c r="X848" s="203" t="n"/>
      <c r="Y848" s="203" t="n"/>
      <c r="Z848" s="203" t="n"/>
      <c r="AA848" s="203" t="n"/>
      <c r="AB848" s="203" t="n"/>
      <c r="AC848" s="203" t="n"/>
      <c r="AD848" s="203" t="n"/>
      <c r="AE848" s="203" t="n"/>
      <c r="AF848" s="203" t="n"/>
      <c r="AG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  <c r="S849" s="203" t="n"/>
      <c r="T849" s="203" t="n"/>
      <c r="U849" s="203" t="n"/>
      <c r="V849" s="203" t="n"/>
      <c r="W849" s="203" t="n"/>
      <c r="X849" s="203" t="n"/>
      <c r="Y849" s="203" t="n"/>
      <c r="Z849" s="203" t="n"/>
      <c r="AA849" s="203" t="n"/>
      <c r="AB849" s="203" t="n"/>
      <c r="AC849" s="203" t="n"/>
      <c r="AD849" s="203" t="n"/>
      <c r="AE849" s="203" t="n"/>
      <c r="AF849" s="203" t="n"/>
      <c r="AG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  <c r="S850" s="203" t="n"/>
      <c r="T850" s="203" t="n"/>
      <c r="U850" s="203" t="n"/>
      <c r="V850" s="203" t="n"/>
      <c r="W850" s="203" t="n"/>
      <c r="X850" s="203" t="n"/>
      <c r="Y850" s="203" t="n"/>
      <c r="Z850" s="203" t="n"/>
      <c r="AA850" s="203" t="n"/>
      <c r="AB850" s="203" t="n"/>
      <c r="AC850" s="203" t="n"/>
      <c r="AD850" s="203" t="n"/>
      <c r="AE850" s="203" t="n"/>
      <c r="AF850" s="203" t="n"/>
      <c r="AG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  <c r="S851" s="203" t="n"/>
      <c r="T851" s="203" t="n"/>
      <c r="U851" s="203" t="n"/>
      <c r="V851" s="203" t="n"/>
      <c r="W851" s="203" t="n"/>
      <c r="X851" s="203" t="n"/>
      <c r="Y851" s="203" t="n"/>
      <c r="Z851" s="203" t="n"/>
      <c r="AA851" s="203" t="n"/>
      <c r="AB851" s="203" t="n"/>
      <c r="AC851" s="203" t="n"/>
      <c r="AD851" s="203" t="n"/>
      <c r="AE851" s="203" t="n"/>
      <c r="AF851" s="203" t="n"/>
      <c r="AG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  <c r="S852" s="203" t="n"/>
      <c r="T852" s="203" t="n"/>
      <c r="U852" s="203" t="n"/>
      <c r="V852" s="203" t="n"/>
      <c r="W852" s="203" t="n"/>
      <c r="X852" s="203" t="n"/>
      <c r="Y852" s="203" t="n"/>
      <c r="Z852" s="203" t="n"/>
      <c r="AA852" s="203" t="n"/>
      <c r="AB852" s="203" t="n"/>
      <c r="AC852" s="203" t="n"/>
      <c r="AD852" s="203" t="n"/>
      <c r="AE852" s="203" t="n"/>
      <c r="AF852" s="203" t="n"/>
      <c r="AG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  <c r="S853" s="203" t="n"/>
      <c r="T853" s="203" t="n"/>
      <c r="U853" s="203" t="n"/>
      <c r="V853" s="203" t="n"/>
      <c r="W853" s="203" t="n"/>
      <c r="X853" s="203" t="n"/>
      <c r="Y853" s="203" t="n"/>
      <c r="Z853" s="203" t="n"/>
      <c r="AA853" s="203" t="n"/>
      <c r="AB853" s="203" t="n"/>
      <c r="AC853" s="203" t="n"/>
      <c r="AD853" s="203" t="n"/>
      <c r="AE853" s="203" t="n"/>
      <c r="AF853" s="203" t="n"/>
      <c r="AG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  <c r="S854" s="203" t="n"/>
      <c r="T854" s="203" t="n"/>
      <c r="U854" s="203" t="n"/>
      <c r="V854" s="203" t="n"/>
      <c r="W854" s="203" t="n"/>
      <c r="X854" s="203" t="n"/>
      <c r="Y854" s="203" t="n"/>
      <c r="Z854" s="203" t="n"/>
      <c r="AA854" s="203" t="n"/>
      <c r="AB854" s="203" t="n"/>
      <c r="AC854" s="203" t="n"/>
      <c r="AD854" s="203" t="n"/>
      <c r="AE854" s="203" t="n"/>
      <c r="AF854" s="203" t="n"/>
      <c r="AG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  <c r="S855" s="203" t="n"/>
      <c r="T855" s="203" t="n"/>
      <c r="U855" s="203" t="n"/>
      <c r="V855" s="203" t="n"/>
      <c r="W855" s="203" t="n"/>
      <c r="X855" s="203" t="n"/>
      <c r="Y855" s="203" t="n"/>
      <c r="Z855" s="203" t="n"/>
      <c r="AA855" s="203" t="n"/>
      <c r="AB855" s="203" t="n"/>
      <c r="AC855" s="203" t="n"/>
      <c r="AD855" s="203" t="n"/>
      <c r="AE855" s="203" t="n"/>
      <c r="AF855" s="203" t="n"/>
      <c r="AG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  <c r="S856" s="203" t="n"/>
      <c r="T856" s="203" t="n"/>
      <c r="U856" s="203" t="n"/>
      <c r="V856" s="203" t="n"/>
      <c r="W856" s="203" t="n"/>
      <c r="X856" s="203" t="n"/>
      <c r="Y856" s="203" t="n"/>
      <c r="Z856" s="203" t="n"/>
      <c r="AA856" s="203" t="n"/>
      <c r="AB856" s="203" t="n"/>
      <c r="AC856" s="203" t="n"/>
      <c r="AD856" s="203" t="n"/>
      <c r="AE856" s="203" t="n"/>
      <c r="AF856" s="203" t="n"/>
      <c r="AG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  <c r="S857" s="203" t="n"/>
      <c r="T857" s="203" t="n"/>
      <c r="U857" s="203" t="n"/>
      <c r="V857" s="203" t="n"/>
      <c r="W857" s="203" t="n"/>
      <c r="X857" s="203" t="n"/>
      <c r="Y857" s="203" t="n"/>
      <c r="Z857" s="203" t="n"/>
      <c r="AA857" s="203" t="n"/>
      <c r="AB857" s="203" t="n"/>
      <c r="AC857" s="203" t="n"/>
      <c r="AD857" s="203" t="n"/>
      <c r="AE857" s="203" t="n"/>
      <c r="AF857" s="203" t="n"/>
      <c r="AG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  <c r="S858" s="203" t="n"/>
      <c r="T858" s="203" t="n"/>
      <c r="U858" s="203" t="n"/>
      <c r="V858" s="203" t="n"/>
      <c r="W858" s="203" t="n"/>
      <c r="X858" s="203" t="n"/>
      <c r="Y858" s="203" t="n"/>
      <c r="Z858" s="203" t="n"/>
      <c r="AA858" s="203" t="n"/>
      <c r="AB858" s="203" t="n"/>
      <c r="AC858" s="203" t="n"/>
      <c r="AD858" s="203" t="n"/>
      <c r="AE858" s="203" t="n"/>
      <c r="AF858" s="203" t="n"/>
      <c r="AG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  <c r="S859" s="203" t="n"/>
      <c r="T859" s="203" t="n"/>
      <c r="U859" s="203" t="n"/>
      <c r="V859" s="203" t="n"/>
      <c r="W859" s="203" t="n"/>
      <c r="X859" s="203" t="n"/>
      <c r="Y859" s="203" t="n"/>
      <c r="Z859" s="203" t="n"/>
      <c r="AA859" s="203" t="n"/>
      <c r="AB859" s="203" t="n"/>
      <c r="AC859" s="203" t="n"/>
      <c r="AD859" s="203" t="n"/>
      <c r="AE859" s="203" t="n"/>
      <c r="AF859" s="203" t="n"/>
      <c r="AG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  <c r="S860" s="203" t="n"/>
      <c r="T860" s="203" t="n"/>
      <c r="U860" s="203" t="n"/>
      <c r="V860" s="203" t="n"/>
      <c r="W860" s="203" t="n"/>
      <c r="X860" s="203" t="n"/>
      <c r="Y860" s="203" t="n"/>
      <c r="Z860" s="203" t="n"/>
      <c r="AA860" s="203" t="n"/>
      <c r="AB860" s="203" t="n"/>
      <c r="AC860" s="203" t="n"/>
      <c r="AD860" s="203" t="n"/>
      <c r="AE860" s="203" t="n"/>
      <c r="AF860" s="203" t="n"/>
      <c r="AG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  <c r="S861" s="203" t="n"/>
      <c r="T861" s="203" t="n"/>
      <c r="U861" s="203" t="n"/>
      <c r="V861" s="203" t="n"/>
      <c r="W861" s="203" t="n"/>
      <c r="X861" s="203" t="n"/>
      <c r="Y861" s="203" t="n"/>
      <c r="Z861" s="203" t="n"/>
      <c r="AA861" s="203" t="n"/>
      <c r="AB861" s="203" t="n"/>
      <c r="AC861" s="203" t="n"/>
      <c r="AD861" s="203" t="n"/>
      <c r="AE861" s="203" t="n"/>
      <c r="AF861" s="203" t="n"/>
      <c r="AG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  <c r="S862" s="203" t="n"/>
      <c r="T862" s="203" t="n"/>
      <c r="U862" s="203" t="n"/>
      <c r="V862" s="203" t="n"/>
      <c r="W862" s="203" t="n"/>
      <c r="X862" s="203" t="n"/>
      <c r="Y862" s="203" t="n"/>
      <c r="Z862" s="203" t="n"/>
      <c r="AA862" s="203" t="n"/>
      <c r="AB862" s="203" t="n"/>
      <c r="AC862" s="203" t="n"/>
      <c r="AD862" s="203" t="n"/>
      <c r="AE862" s="203" t="n"/>
      <c r="AF862" s="203" t="n"/>
      <c r="AG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  <c r="S863" s="203" t="n"/>
      <c r="T863" s="203" t="n"/>
      <c r="U863" s="203" t="n"/>
      <c r="V863" s="203" t="n"/>
      <c r="W863" s="203" t="n"/>
      <c r="X863" s="203" t="n"/>
      <c r="Y863" s="203" t="n"/>
      <c r="Z863" s="203" t="n"/>
      <c r="AA863" s="203" t="n"/>
      <c r="AB863" s="203" t="n"/>
      <c r="AC863" s="203" t="n"/>
      <c r="AD863" s="203" t="n"/>
      <c r="AE863" s="203" t="n"/>
      <c r="AF863" s="203" t="n"/>
      <c r="AG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  <c r="S864" s="203" t="n"/>
      <c r="T864" s="203" t="n"/>
      <c r="U864" s="203" t="n"/>
      <c r="V864" s="203" t="n"/>
      <c r="W864" s="203" t="n"/>
      <c r="X864" s="203" t="n"/>
      <c r="Y864" s="203" t="n"/>
      <c r="Z864" s="203" t="n"/>
      <c r="AA864" s="203" t="n"/>
      <c r="AB864" s="203" t="n"/>
      <c r="AC864" s="203" t="n"/>
      <c r="AD864" s="203" t="n"/>
      <c r="AE864" s="203" t="n"/>
      <c r="AF864" s="203" t="n"/>
      <c r="AG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  <c r="S865" s="203" t="n"/>
      <c r="T865" s="203" t="n"/>
      <c r="U865" s="203" t="n"/>
      <c r="V865" s="203" t="n"/>
      <c r="W865" s="203" t="n"/>
      <c r="X865" s="203" t="n"/>
      <c r="Y865" s="203" t="n"/>
      <c r="Z865" s="203" t="n"/>
      <c r="AA865" s="203" t="n"/>
      <c r="AB865" s="203" t="n"/>
      <c r="AC865" s="203" t="n"/>
      <c r="AD865" s="203" t="n"/>
      <c r="AE865" s="203" t="n"/>
      <c r="AF865" s="203" t="n"/>
      <c r="AG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  <c r="S866" s="203" t="n"/>
      <c r="T866" s="203" t="n"/>
      <c r="U866" s="203" t="n"/>
      <c r="V866" s="203" t="n"/>
      <c r="W866" s="203" t="n"/>
      <c r="X866" s="203" t="n"/>
      <c r="Y866" s="203" t="n"/>
      <c r="Z866" s="203" t="n"/>
      <c r="AA866" s="203" t="n"/>
      <c r="AB866" s="203" t="n"/>
      <c r="AC866" s="203" t="n"/>
      <c r="AD866" s="203" t="n"/>
      <c r="AE866" s="203" t="n"/>
      <c r="AF866" s="203" t="n"/>
      <c r="AG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  <c r="S867" s="203" t="n"/>
      <c r="T867" s="203" t="n"/>
      <c r="U867" s="203" t="n"/>
      <c r="V867" s="203" t="n"/>
      <c r="W867" s="203" t="n"/>
      <c r="X867" s="203" t="n"/>
      <c r="Y867" s="203" t="n"/>
      <c r="Z867" s="203" t="n"/>
      <c r="AA867" s="203" t="n"/>
      <c r="AB867" s="203" t="n"/>
      <c r="AC867" s="203" t="n"/>
      <c r="AD867" s="203" t="n"/>
      <c r="AE867" s="203" t="n"/>
      <c r="AF867" s="203" t="n"/>
      <c r="AG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  <c r="S868" s="203" t="n"/>
      <c r="T868" s="203" t="n"/>
      <c r="U868" s="203" t="n"/>
      <c r="V868" s="203" t="n"/>
      <c r="W868" s="203" t="n"/>
      <c r="X868" s="203" t="n"/>
      <c r="Y868" s="203" t="n"/>
      <c r="Z868" s="203" t="n"/>
      <c r="AA868" s="203" t="n"/>
      <c r="AB868" s="203" t="n"/>
      <c r="AC868" s="203" t="n"/>
      <c r="AD868" s="203" t="n"/>
      <c r="AE868" s="203" t="n"/>
      <c r="AF868" s="203" t="n"/>
      <c r="AG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  <c r="S869" s="203" t="n"/>
      <c r="T869" s="203" t="n"/>
      <c r="U869" s="203" t="n"/>
      <c r="V869" s="203" t="n"/>
      <c r="W869" s="203" t="n"/>
      <c r="X869" s="203" t="n"/>
      <c r="Y869" s="203" t="n"/>
      <c r="Z869" s="203" t="n"/>
      <c r="AA869" s="203" t="n"/>
      <c r="AB869" s="203" t="n"/>
      <c r="AC869" s="203" t="n"/>
      <c r="AD869" s="203" t="n"/>
      <c r="AE869" s="203" t="n"/>
      <c r="AF869" s="203" t="n"/>
      <c r="AG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  <c r="S870" s="203" t="n"/>
      <c r="T870" s="203" t="n"/>
      <c r="U870" s="203" t="n"/>
      <c r="V870" s="203" t="n"/>
      <c r="W870" s="203" t="n"/>
      <c r="X870" s="203" t="n"/>
      <c r="Y870" s="203" t="n"/>
      <c r="Z870" s="203" t="n"/>
      <c r="AA870" s="203" t="n"/>
      <c r="AB870" s="203" t="n"/>
      <c r="AC870" s="203" t="n"/>
      <c r="AD870" s="203" t="n"/>
      <c r="AE870" s="203" t="n"/>
      <c r="AF870" s="203" t="n"/>
      <c r="AG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  <c r="S871" s="203" t="n"/>
      <c r="T871" s="203" t="n"/>
      <c r="U871" s="203" t="n"/>
      <c r="V871" s="203" t="n"/>
      <c r="W871" s="203" t="n"/>
      <c r="X871" s="203" t="n"/>
      <c r="Y871" s="203" t="n"/>
      <c r="Z871" s="203" t="n"/>
      <c r="AA871" s="203" t="n"/>
      <c r="AB871" s="203" t="n"/>
      <c r="AC871" s="203" t="n"/>
      <c r="AD871" s="203" t="n"/>
      <c r="AE871" s="203" t="n"/>
      <c r="AF871" s="203" t="n"/>
      <c r="AG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  <c r="S872" s="203" t="n"/>
      <c r="T872" s="203" t="n"/>
      <c r="U872" s="203" t="n"/>
      <c r="V872" s="203" t="n"/>
      <c r="W872" s="203" t="n"/>
      <c r="X872" s="203" t="n"/>
      <c r="Y872" s="203" t="n"/>
      <c r="Z872" s="203" t="n"/>
      <c r="AA872" s="203" t="n"/>
      <c r="AB872" s="203" t="n"/>
      <c r="AC872" s="203" t="n"/>
      <c r="AD872" s="203" t="n"/>
      <c r="AE872" s="203" t="n"/>
      <c r="AF872" s="203" t="n"/>
      <c r="AG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  <c r="S873" s="203" t="n"/>
      <c r="T873" s="203" t="n"/>
      <c r="U873" s="203" t="n"/>
      <c r="V873" s="203" t="n"/>
      <c r="W873" s="203" t="n"/>
      <c r="X873" s="203" t="n"/>
      <c r="Y873" s="203" t="n"/>
      <c r="Z873" s="203" t="n"/>
      <c r="AA873" s="203" t="n"/>
      <c r="AB873" s="203" t="n"/>
      <c r="AC873" s="203" t="n"/>
      <c r="AD873" s="203" t="n"/>
      <c r="AE873" s="203" t="n"/>
      <c r="AF873" s="203" t="n"/>
      <c r="AG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  <c r="S874" s="203" t="n"/>
      <c r="T874" s="203" t="n"/>
      <c r="U874" s="203" t="n"/>
      <c r="V874" s="203" t="n"/>
      <c r="W874" s="203" t="n"/>
      <c r="X874" s="203" t="n"/>
      <c r="Y874" s="203" t="n"/>
      <c r="Z874" s="203" t="n"/>
      <c r="AA874" s="203" t="n"/>
      <c r="AB874" s="203" t="n"/>
      <c r="AC874" s="203" t="n"/>
      <c r="AD874" s="203" t="n"/>
      <c r="AE874" s="203" t="n"/>
      <c r="AF874" s="203" t="n"/>
      <c r="AG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  <c r="S875" s="203" t="n"/>
      <c r="T875" s="203" t="n"/>
      <c r="U875" s="203" t="n"/>
      <c r="V875" s="203" t="n"/>
      <c r="W875" s="203" t="n"/>
      <c r="X875" s="203" t="n"/>
      <c r="Y875" s="203" t="n"/>
      <c r="Z875" s="203" t="n"/>
      <c r="AA875" s="203" t="n"/>
      <c r="AB875" s="203" t="n"/>
      <c r="AC875" s="203" t="n"/>
      <c r="AD875" s="203" t="n"/>
      <c r="AE875" s="203" t="n"/>
      <c r="AF875" s="203" t="n"/>
      <c r="AG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  <c r="S876" s="203" t="n"/>
      <c r="T876" s="203" t="n"/>
      <c r="U876" s="203" t="n"/>
      <c r="V876" s="203" t="n"/>
      <c r="W876" s="203" t="n"/>
      <c r="X876" s="203" t="n"/>
      <c r="Y876" s="203" t="n"/>
      <c r="Z876" s="203" t="n"/>
      <c r="AA876" s="203" t="n"/>
      <c r="AB876" s="203" t="n"/>
      <c r="AC876" s="203" t="n"/>
      <c r="AD876" s="203" t="n"/>
      <c r="AE876" s="203" t="n"/>
      <c r="AF876" s="203" t="n"/>
      <c r="AG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  <c r="S877" s="203" t="n"/>
      <c r="T877" s="203" t="n"/>
      <c r="U877" s="203" t="n"/>
      <c r="V877" s="203" t="n"/>
      <c r="W877" s="203" t="n"/>
      <c r="X877" s="203" t="n"/>
      <c r="Y877" s="203" t="n"/>
      <c r="Z877" s="203" t="n"/>
      <c r="AA877" s="203" t="n"/>
      <c r="AB877" s="203" t="n"/>
      <c r="AC877" s="203" t="n"/>
      <c r="AD877" s="203" t="n"/>
      <c r="AE877" s="203" t="n"/>
      <c r="AF877" s="203" t="n"/>
      <c r="AG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  <c r="S878" s="203" t="n"/>
      <c r="T878" s="203" t="n"/>
      <c r="U878" s="203" t="n"/>
      <c r="V878" s="203" t="n"/>
      <c r="W878" s="203" t="n"/>
      <c r="X878" s="203" t="n"/>
      <c r="Y878" s="203" t="n"/>
      <c r="Z878" s="203" t="n"/>
      <c r="AA878" s="203" t="n"/>
      <c r="AB878" s="203" t="n"/>
      <c r="AC878" s="203" t="n"/>
      <c r="AD878" s="203" t="n"/>
      <c r="AE878" s="203" t="n"/>
      <c r="AF878" s="203" t="n"/>
      <c r="AG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  <c r="S879" s="203" t="n"/>
      <c r="T879" s="203" t="n"/>
      <c r="U879" s="203" t="n"/>
      <c r="V879" s="203" t="n"/>
      <c r="W879" s="203" t="n"/>
      <c r="X879" s="203" t="n"/>
      <c r="Y879" s="203" t="n"/>
      <c r="Z879" s="203" t="n"/>
      <c r="AA879" s="203" t="n"/>
      <c r="AB879" s="203" t="n"/>
      <c r="AC879" s="203" t="n"/>
      <c r="AD879" s="203" t="n"/>
      <c r="AE879" s="203" t="n"/>
      <c r="AF879" s="203" t="n"/>
      <c r="AG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  <c r="S880" s="203" t="n"/>
      <c r="T880" s="203" t="n"/>
      <c r="U880" s="203" t="n"/>
      <c r="V880" s="203" t="n"/>
      <c r="W880" s="203" t="n"/>
      <c r="X880" s="203" t="n"/>
      <c r="Y880" s="203" t="n"/>
      <c r="Z880" s="203" t="n"/>
      <c r="AA880" s="203" t="n"/>
      <c r="AB880" s="203" t="n"/>
      <c r="AC880" s="203" t="n"/>
      <c r="AD880" s="203" t="n"/>
      <c r="AE880" s="203" t="n"/>
      <c r="AF880" s="203" t="n"/>
      <c r="AG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  <c r="S881" s="203" t="n"/>
      <c r="T881" s="203" t="n"/>
      <c r="U881" s="203" t="n"/>
      <c r="V881" s="203" t="n"/>
      <c r="W881" s="203" t="n"/>
      <c r="X881" s="203" t="n"/>
      <c r="Y881" s="203" t="n"/>
      <c r="Z881" s="203" t="n"/>
      <c r="AA881" s="203" t="n"/>
      <c r="AB881" s="203" t="n"/>
      <c r="AC881" s="203" t="n"/>
      <c r="AD881" s="203" t="n"/>
      <c r="AE881" s="203" t="n"/>
      <c r="AF881" s="203" t="n"/>
      <c r="AG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  <c r="S882" s="203" t="n"/>
      <c r="T882" s="203" t="n"/>
      <c r="U882" s="203" t="n"/>
      <c r="V882" s="203" t="n"/>
      <c r="W882" s="203" t="n"/>
      <c r="X882" s="203" t="n"/>
      <c r="Y882" s="203" t="n"/>
      <c r="Z882" s="203" t="n"/>
      <c r="AA882" s="203" t="n"/>
      <c r="AB882" s="203" t="n"/>
      <c r="AC882" s="203" t="n"/>
      <c r="AD882" s="203" t="n"/>
      <c r="AE882" s="203" t="n"/>
      <c r="AF882" s="203" t="n"/>
      <c r="AG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  <c r="S883" s="203" t="n"/>
      <c r="T883" s="203" t="n"/>
      <c r="U883" s="203" t="n"/>
      <c r="V883" s="203" t="n"/>
      <c r="W883" s="203" t="n"/>
      <c r="X883" s="203" t="n"/>
      <c r="Y883" s="203" t="n"/>
      <c r="Z883" s="203" t="n"/>
      <c r="AA883" s="203" t="n"/>
      <c r="AB883" s="203" t="n"/>
      <c r="AC883" s="203" t="n"/>
      <c r="AD883" s="203" t="n"/>
      <c r="AE883" s="203" t="n"/>
      <c r="AF883" s="203" t="n"/>
      <c r="AG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  <c r="S884" s="203" t="n"/>
      <c r="T884" s="203" t="n"/>
      <c r="U884" s="203" t="n"/>
      <c r="V884" s="203" t="n"/>
      <c r="W884" s="203" t="n"/>
      <c r="X884" s="203" t="n"/>
      <c r="Y884" s="203" t="n"/>
      <c r="Z884" s="203" t="n"/>
      <c r="AA884" s="203" t="n"/>
      <c r="AB884" s="203" t="n"/>
      <c r="AC884" s="203" t="n"/>
      <c r="AD884" s="203" t="n"/>
      <c r="AE884" s="203" t="n"/>
      <c r="AF884" s="203" t="n"/>
      <c r="AG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  <c r="S885" s="203" t="n"/>
      <c r="T885" s="203" t="n"/>
      <c r="U885" s="203" t="n"/>
      <c r="V885" s="203" t="n"/>
      <c r="W885" s="203" t="n"/>
      <c r="X885" s="203" t="n"/>
      <c r="Y885" s="203" t="n"/>
      <c r="Z885" s="203" t="n"/>
      <c r="AA885" s="203" t="n"/>
      <c r="AB885" s="203" t="n"/>
      <c r="AC885" s="203" t="n"/>
      <c r="AD885" s="203" t="n"/>
      <c r="AE885" s="203" t="n"/>
      <c r="AF885" s="203" t="n"/>
      <c r="AG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  <c r="S886" s="203" t="n"/>
      <c r="T886" s="203" t="n"/>
      <c r="U886" s="203" t="n"/>
      <c r="V886" s="203" t="n"/>
      <c r="W886" s="203" t="n"/>
      <c r="X886" s="203" t="n"/>
      <c r="Y886" s="203" t="n"/>
      <c r="Z886" s="203" t="n"/>
      <c r="AA886" s="203" t="n"/>
      <c r="AB886" s="203" t="n"/>
      <c r="AC886" s="203" t="n"/>
      <c r="AD886" s="203" t="n"/>
      <c r="AE886" s="203" t="n"/>
      <c r="AF886" s="203" t="n"/>
      <c r="AG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  <c r="S887" s="203" t="n"/>
      <c r="T887" s="203" t="n"/>
      <c r="U887" s="203" t="n"/>
      <c r="V887" s="203" t="n"/>
      <c r="W887" s="203" t="n"/>
      <c r="X887" s="203" t="n"/>
      <c r="Y887" s="203" t="n"/>
      <c r="Z887" s="203" t="n"/>
      <c r="AA887" s="203" t="n"/>
      <c r="AB887" s="203" t="n"/>
      <c r="AC887" s="203" t="n"/>
      <c r="AD887" s="203" t="n"/>
      <c r="AE887" s="203" t="n"/>
      <c r="AF887" s="203" t="n"/>
      <c r="AG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  <c r="S888" s="203" t="n"/>
      <c r="T888" s="203" t="n"/>
      <c r="U888" s="203" t="n"/>
      <c r="V888" s="203" t="n"/>
      <c r="W888" s="203" t="n"/>
      <c r="X888" s="203" t="n"/>
      <c r="Y888" s="203" t="n"/>
      <c r="Z888" s="203" t="n"/>
      <c r="AA888" s="203" t="n"/>
      <c r="AB888" s="203" t="n"/>
      <c r="AC888" s="203" t="n"/>
      <c r="AD888" s="203" t="n"/>
      <c r="AE888" s="203" t="n"/>
      <c r="AF888" s="203" t="n"/>
      <c r="AG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  <c r="S889" s="203" t="n"/>
      <c r="T889" s="203" t="n"/>
      <c r="U889" s="203" t="n"/>
      <c r="V889" s="203" t="n"/>
      <c r="W889" s="203" t="n"/>
      <c r="X889" s="203" t="n"/>
      <c r="Y889" s="203" t="n"/>
      <c r="Z889" s="203" t="n"/>
      <c r="AA889" s="203" t="n"/>
      <c r="AB889" s="203" t="n"/>
      <c r="AC889" s="203" t="n"/>
      <c r="AD889" s="203" t="n"/>
      <c r="AE889" s="203" t="n"/>
      <c r="AF889" s="203" t="n"/>
      <c r="AG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  <c r="S890" s="203" t="n"/>
      <c r="T890" s="203" t="n"/>
      <c r="U890" s="203" t="n"/>
      <c r="V890" s="203" t="n"/>
      <c r="W890" s="203" t="n"/>
      <c r="X890" s="203" t="n"/>
      <c r="Y890" s="203" t="n"/>
      <c r="Z890" s="203" t="n"/>
      <c r="AA890" s="203" t="n"/>
      <c r="AB890" s="203" t="n"/>
      <c r="AC890" s="203" t="n"/>
      <c r="AD890" s="203" t="n"/>
      <c r="AE890" s="203" t="n"/>
      <c r="AF890" s="203" t="n"/>
      <c r="AG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  <c r="S891" s="203" t="n"/>
      <c r="T891" s="203" t="n"/>
      <c r="U891" s="203" t="n"/>
      <c r="V891" s="203" t="n"/>
      <c r="W891" s="203" t="n"/>
      <c r="X891" s="203" t="n"/>
      <c r="Y891" s="203" t="n"/>
      <c r="Z891" s="203" t="n"/>
      <c r="AA891" s="203" t="n"/>
      <c r="AB891" s="203" t="n"/>
      <c r="AC891" s="203" t="n"/>
      <c r="AD891" s="203" t="n"/>
      <c r="AE891" s="203" t="n"/>
      <c r="AF891" s="203" t="n"/>
      <c r="AG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  <c r="S892" s="203" t="n"/>
      <c r="T892" s="203" t="n"/>
      <c r="U892" s="203" t="n"/>
      <c r="V892" s="203" t="n"/>
      <c r="W892" s="203" t="n"/>
      <c r="X892" s="203" t="n"/>
      <c r="Y892" s="203" t="n"/>
      <c r="Z892" s="203" t="n"/>
      <c r="AA892" s="203" t="n"/>
      <c r="AB892" s="203" t="n"/>
      <c r="AC892" s="203" t="n"/>
      <c r="AD892" s="203" t="n"/>
      <c r="AE892" s="203" t="n"/>
      <c r="AF892" s="203" t="n"/>
      <c r="AG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  <c r="S893" s="203" t="n"/>
      <c r="T893" s="203" t="n"/>
      <c r="U893" s="203" t="n"/>
      <c r="V893" s="203" t="n"/>
      <c r="W893" s="203" t="n"/>
      <c r="X893" s="203" t="n"/>
      <c r="Y893" s="203" t="n"/>
      <c r="Z893" s="203" t="n"/>
      <c r="AA893" s="203" t="n"/>
      <c r="AB893" s="203" t="n"/>
      <c r="AC893" s="203" t="n"/>
      <c r="AD893" s="203" t="n"/>
      <c r="AE893" s="203" t="n"/>
      <c r="AF893" s="203" t="n"/>
      <c r="AG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  <c r="S894" s="203" t="n"/>
      <c r="T894" s="203" t="n"/>
      <c r="U894" s="203" t="n"/>
      <c r="V894" s="203" t="n"/>
      <c r="W894" s="203" t="n"/>
      <c r="X894" s="203" t="n"/>
      <c r="Y894" s="203" t="n"/>
      <c r="Z894" s="203" t="n"/>
      <c r="AA894" s="203" t="n"/>
      <c r="AB894" s="203" t="n"/>
      <c r="AC894" s="203" t="n"/>
      <c r="AD894" s="203" t="n"/>
      <c r="AE894" s="203" t="n"/>
      <c r="AF894" s="203" t="n"/>
      <c r="AG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  <c r="S895" s="203" t="n"/>
      <c r="T895" s="203" t="n"/>
      <c r="U895" s="203" t="n"/>
      <c r="V895" s="203" t="n"/>
      <c r="W895" s="203" t="n"/>
      <c r="X895" s="203" t="n"/>
      <c r="Y895" s="203" t="n"/>
      <c r="Z895" s="203" t="n"/>
      <c r="AA895" s="203" t="n"/>
      <c r="AB895" s="203" t="n"/>
      <c r="AC895" s="203" t="n"/>
      <c r="AD895" s="203" t="n"/>
      <c r="AE895" s="203" t="n"/>
      <c r="AF895" s="203" t="n"/>
      <c r="AG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  <c r="S896" s="203" t="n"/>
      <c r="T896" s="203" t="n"/>
      <c r="U896" s="203" t="n"/>
      <c r="V896" s="203" t="n"/>
      <c r="W896" s="203" t="n"/>
      <c r="X896" s="203" t="n"/>
      <c r="Y896" s="203" t="n"/>
      <c r="Z896" s="203" t="n"/>
      <c r="AA896" s="203" t="n"/>
      <c r="AB896" s="203" t="n"/>
      <c r="AC896" s="203" t="n"/>
      <c r="AD896" s="203" t="n"/>
      <c r="AE896" s="203" t="n"/>
      <c r="AF896" s="203" t="n"/>
      <c r="AG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  <c r="S897" s="203" t="n"/>
      <c r="T897" s="203" t="n"/>
      <c r="U897" s="203" t="n"/>
      <c r="V897" s="203" t="n"/>
      <c r="W897" s="203" t="n"/>
      <c r="X897" s="203" t="n"/>
      <c r="Y897" s="203" t="n"/>
      <c r="Z897" s="203" t="n"/>
      <c r="AA897" s="203" t="n"/>
      <c r="AB897" s="203" t="n"/>
      <c r="AC897" s="203" t="n"/>
      <c r="AD897" s="203" t="n"/>
      <c r="AE897" s="203" t="n"/>
      <c r="AF897" s="203" t="n"/>
      <c r="AG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  <c r="S898" s="203" t="n"/>
      <c r="T898" s="203" t="n"/>
      <c r="U898" s="203" t="n"/>
      <c r="V898" s="203" t="n"/>
      <c r="W898" s="203" t="n"/>
      <c r="X898" s="203" t="n"/>
      <c r="Y898" s="203" t="n"/>
      <c r="Z898" s="203" t="n"/>
      <c r="AA898" s="203" t="n"/>
      <c r="AB898" s="203" t="n"/>
      <c r="AC898" s="203" t="n"/>
      <c r="AD898" s="203" t="n"/>
      <c r="AE898" s="203" t="n"/>
      <c r="AF898" s="203" t="n"/>
      <c r="AG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  <c r="S899" s="203" t="n"/>
      <c r="T899" s="203" t="n"/>
      <c r="U899" s="203" t="n"/>
      <c r="V899" s="203" t="n"/>
      <c r="W899" s="203" t="n"/>
      <c r="X899" s="203" t="n"/>
      <c r="Y899" s="203" t="n"/>
      <c r="Z899" s="203" t="n"/>
      <c r="AA899" s="203" t="n"/>
      <c r="AB899" s="203" t="n"/>
      <c r="AC899" s="203" t="n"/>
      <c r="AD899" s="203" t="n"/>
      <c r="AE899" s="203" t="n"/>
      <c r="AF899" s="203" t="n"/>
      <c r="AG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  <c r="S900" s="203" t="n"/>
      <c r="T900" s="203" t="n"/>
      <c r="U900" s="203" t="n"/>
      <c r="V900" s="203" t="n"/>
      <c r="W900" s="203" t="n"/>
      <c r="X900" s="203" t="n"/>
      <c r="Y900" s="203" t="n"/>
      <c r="Z900" s="203" t="n"/>
      <c r="AA900" s="203" t="n"/>
      <c r="AB900" s="203" t="n"/>
      <c r="AC900" s="203" t="n"/>
      <c r="AD900" s="203" t="n"/>
      <c r="AE900" s="203" t="n"/>
      <c r="AF900" s="203" t="n"/>
      <c r="AG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  <c r="S901" s="203" t="n"/>
      <c r="T901" s="203" t="n"/>
      <c r="U901" s="203" t="n"/>
      <c r="V901" s="203" t="n"/>
      <c r="W901" s="203" t="n"/>
      <c r="X901" s="203" t="n"/>
      <c r="Y901" s="203" t="n"/>
      <c r="Z901" s="203" t="n"/>
      <c r="AA901" s="203" t="n"/>
      <c r="AB901" s="203" t="n"/>
      <c r="AC901" s="203" t="n"/>
      <c r="AD901" s="203" t="n"/>
      <c r="AE901" s="203" t="n"/>
      <c r="AF901" s="203" t="n"/>
      <c r="AG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  <c r="S902" s="203" t="n"/>
      <c r="T902" s="203" t="n"/>
      <c r="U902" s="203" t="n"/>
      <c r="V902" s="203" t="n"/>
      <c r="W902" s="203" t="n"/>
      <c r="X902" s="203" t="n"/>
      <c r="Y902" s="203" t="n"/>
      <c r="Z902" s="203" t="n"/>
      <c r="AA902" s="203" t="n"/>
      <c r="AB902" s="203" t="n"/>
      <c r="AC902" s="203" t="n"/>
      <c r="AD902" s="203" t="n"/>
      <c r="AE902" s="203" t="n"/>
      <c r="AF902" s="203" t="n"/>
      <c r="AG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  <c r="S903" s="203" t="n"/>
      <c r="T903" s="203" t="n"/>
      <c r="U903" s="203" t="n"/>
      <c r="V903" s="203" t="n"/>
      <c r="W903" s="203" t="n"/>
      <c r="X903" s="203" t="n"/>
      <c r="Y903" s="203" t="n"/>
      <c r="Z903" s="203" t="n"/>
      <c r="AA903" s="203" t="n"/>
      <c r="AB903" s="203" t="n"/>
      <c r="AC903" s="203" t="n"/>
      <c r="AD903" s="203" t="n"/>
      <c r="AE903" s="203" t="n"/>
      <c r="AF903" s="203" t="n"/>
      <c r="AG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  <c r="S904" s="203" t="n"/>
      <c r="T904" s="203" t="n"/>
      <c r="U904" s="203" t="n"/>
      <c r="V904" s="203" t="n"/>
      <c r="W904" s="203" t="n"/>
      <c r="X904" s="203" t="n"/>
      <c r="Y904" s="203" t="n"/>
      <c r="Z904" s="203" t="n"/>
      <c r="AA904" s="203" t="n"/>
      <c r="AB904" s="203" t="n"/>
      <c r="AC904" s="203" t="n"/>
      <c r="AD904" s="203" t="n"/>
      <c r="AE904" s="203" t="n"/>
      <c r="AF904" s="203" t="n"/>
      <c r="AG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  <c r="S905" s="203" t="n"/>
      <c r="T905" s="203" t="n"/>
      <c r="U905" s="203" t="n"/>
      <c r="V905" s="203" t="n"/>
      <c r="W905" s="203" t="n"/>
      <c r="X905" s="203" t="n"/>
      <c r="Y905" s="203" t="n"/>
      <c r="Z905" s="203" t="n"/>
      <c r="AA905" s="203" t="n"/>
      <c r="AB905" s="203" t="n"/>
      <c r="AC905" s="203" t="n"/>
      <c r="AD905" s="203" t="n"/>
      <c r="AE905" s="203" t="n"/>
      <c r="AF905" s="203" t="n"/>
      <c r="AG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  <c r="S906" s="203" t="n"/>
      <c r="T906" s="203" t="n"/>
      <c r="U906" s="203" t="n"/>
      <c r="V906" s="203" t="n"/>
      <c r="W906" s="203" t="n"/>
      <c r="X906" s="203" t="n"/>
      <c r="Y906" s="203" t="n"/>
      <c r="Z906" s="203" t="n"/>
      <c r="AA906" s="203" t="n"/>
      <c r="AB906" s="203" t="n"/>
      <c r="AC906" s="203" t="n"/>
      <c r="AD906" s="203" t="n"/>
      <c r="AE906" s="203" t="n"/>
      <c r="AF906" s="203" t="n"/>
      <c r="AG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  <c r="S907" s="203" t="n"/>
      <c r="T907" s="203" t="n"/>
      <c r="U907" s="203" t="n"/>
      <c r="V907" s="203" t="n"/>
      <c r="W907" s="203" t="n"/>
      <c r="X907" s="203" t="n"/>
      <c r="Y907" s="203" t="n"/>
      <c r="Z907" s="203" t="n"/>
      <c r="AA907" s="203" t="n"/>
      <c r="AB907" s="203" t="n"/>
      <c r="AC907" s="203" t="n"/>
      <c r="AD907" s="203" t="n"/>
      <c r="AE907" s="203" t="n"/>
      <c r="AF907" s="203" t="n"/>
      <c r="AG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  <c r="S908" s="203" t="n"/>
      <c r="T908" s="203" t="n"/>
      <c r="U908" s="203" t="n"/>
      <c r="V908" s="203" t="n"/>
      <c r="W908" s="203" t="n"/>
      <c r="X908" s="203" t="n"/>
      <c r="Y908" s="203" t="n"/>
      <c r="Z908" s="203" t="n"/>
      <c r="AA908" s="203" t="n"/>
      <c r="AB908" s="203" t="n"/>
      <c r="AC908" s="203" t="n"/>
      <c r="AD908" s="203" t="n"/>
      <c r="AE908" s="203" t="n"/>
      <c r="AF908" s="203" t="n"/>
      <c r="AG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  <c r="S909" s="203" t="n"/>
      <c r="T909" s="203" t="n"/>
      <c r="U909" s="203" t="n"/>
      <c r="V909" s="203" t="n"/>
      <c r="W909" s="203" t="n"/>
      <c r="X909" s="203" t="n"/>
      <c r="Y909" s="203" t="n"/>
      <c r="Z909" s="203" t="n"/>
      <c r="AA909" s="203" t="n"/>
      <c r="AB909" s="203" t="n"/>
      <c r="AC909" s="203" t="n"/>
      <c r="AD909" s="203" t="n"/>
      <c r="AE909" s="203" t="n"/>
      <c r="AF909" s="203" t="n"/>
      <c r="AG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  <c r="S910" s="203" t="n"/>
      <c r="T910" s="203" t="n"/>
      <c r="U910" s="203" t="n"/>
      <c r="V910" s="203" t="n"/>
      <c r="W910" s="203" t="n"/>
      <c r="X910" s="203" t="n"/>
      <c r="Y910" s="203" t="n"/>
      <c r="Z910" s="203" t="n"/>
      <c r="AA910" s="203" t="n"/>
      <c r="AB910" s="203" t="n"/>
      <c r="AC910" s="203" t="n"/>
      <c r="AD910" s="203" t="n"/>
      <c r="AE910" s="203" t="n"/>
      <c r="AF910" s="203" t="n"/>
      <c r="AG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  <c r="S911" s="203" t="n"/>
      <c r="T911" s="203" t="n"/>
      <c r="U911" s="203" t="n"/>
      <c r="V911" s="203" t="n"/>
      <c r="W911" s="203" t="n"/>
      <c r="X911" s="203" t="n"/>
      <c r="Y911" s="203" t="n"/>
      <c r="Z911" s="203" t="n"/>
      <c r="AA911" s="203" t="n"/>
      <c r="AB911" s="203" t="n"/>
      <c r="AC911" s="203" t="n"/>
      <c r="AD911" s="203" t="n"/>
      <c r="AE911" s="203" t="n"/>
      <c r="AF911" s="203" t="n"/>
      <c r="AG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  <c r="S912" s="203" t="n"/>
      <c r="T912" s="203" t="n"/>
      <c r="U912" s="203" t="n"/>
      <c r="V912" s="203" t="n"/>
      <c r="W912" s="203" t="n"/>
      <c r="X912" s="203" t="n"/>
      <c r="Y912" s="203" t="n"/>
      <c r="Z912" s="203" t="n"/>
      <c r="AA912" s="203" t="n"/>
      <c r="AB912" s="203" t="n"/>
      <c r="AC912" s="203" t="n"/>
      <c r="AD912" s="203" t="n"/>
      <c r="AE912" s="203" t="n"/>
      <c r="AF912" s="203" t="n"/>
      <c r="AG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  <c r="S913" s="203" t="n"/>
      <c r="T913" s="203" t="n"/>
      <c r="U913" s="203" t="n"/>
      <c r="V913" s="203" t="n"/>
      <c r="W913" s="203" t="n"/>
      <c r="X913" s="203" t="n"/>
      <c r="Y913" s="203" t="n"/>
      <c r="Z913" s="203" t="n"/>
      <c r="AA913" s="203" t="n"/>
      <c r="AB913" s="203" t="n"/>
      <c r="AC913" s="203" t="n"/>
      <c r="AD913" s="203" t="n"/>
      <c r="AE913" s="203" t="n"/>
      <c r="AF913" s="203" t="n"/>
      <c r="AG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  <c r="S914" s="203" t="n"/>
      <c r="T914" s="203" t="n"/>
      <c r="U914" s="203" t="n"/>
      <c r="V914" s="203" t="n"/>
      <c r="W914" s="203" t="n"/>
      <c r="X914" s="203" t="n"/>
      <c r="Y914" s="203" t="n"/>
      <c r="Z914" s="203" t="n"/>
      <c r="AA914" s="203" t="n"/>
      <c r="AB914" s="203" t="n"/>
      <c r="AC914" s="203" t="n"/>
      <c r="AD914" s="203" t="n"/>
      <c r="AE914" s="203" t="n"/>
      <c r="AF914" s="203" t="n"/>
      <c r="AG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  <c r="S915" s="203" t="n"/>
      <c r="T915" s="203" t="n"/>
      <c r="U915" s="203" t="n"/>
      <c r="V915" s="203" t="n"/>
      <c r="W915" s="203" t="n"/>
      <c r="X915" s="203" t="n"/>
      <c r="Y915" s="203" t="n"/>
      <c r="Z915" s="203" t="n"/>
      <c r="AA915" s="203" t="n"/>
      <c r="AB915" s="203" t="n"/>
      <c r="AC915" s="203" t="n"/>
      <c r="AD915" s="203" t="n"/>
      <c r="AE915" s="203" t="n"/>
      <c r="AF915" s="203" t="n"/>
      <c r="AG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  <c r="S916" s="203" t="n"/>
      <c r="T916" s="203" t="n"/>
      <c r="U916" s="203" t="n"/>
      <c r="V916" s="203" t="n"/>
      <c r="W916" s="203" t="n"/>
      <c r="X916" s="203" t="n"/>
      <c r="Y916" s="203" t="n"/>
      <c r="Z916" s="203" t="n"/>
      <c r="AA916" s="203" t="n"/>
      <c r="AB916" s="203" t="n"/>
      <c r="AC916" s="203" t="n"/>
      <c r="AD916" s="203" t="n"/>
      <c r="AE916" s="203" t="n"/>
      <c r="AF916" s="203" t="n"/>
      <c r="AG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  <c r="S917" s="203" t="n"/>
      <c r="T917" s="203" t="n"/>
      <c r="U917" s="203" t="n"/>
      <c r="V917" s="203" t="n"/>
      <c r="W917" s="203" t="n"/>
      <c r="X917" s="203" t="n"/>
      <c r="Y917" s="203" t="n"/>
      <c r="Z917" s="203" t="n"/>
      <c r="AA917" s="203" t="n"/>
      <c r="AB917" s="203" t="n"/>
      <c r="AC917" s="203" t="n"/>
      <c r="AD917" s="203" t="n"/>
      <c r="AE917" s="203" t="n"/>
      <c r="AF917" s="203" t="n"/>
      <c r="AG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  <c r="S918" s="203" t="n"/>
      <c r="T918" s="203" t="n"/>
      <c r="U918" s="203" t="n"/>
      <c r="V918" s="203" t="n"/>
      <c r="W918" s="203" t="n"/>
      <c r="X918" s="203" t="n"/>
      <c r="Y918" s="203" t="n"/>
      <c r="Z918" s="203" t="n"/>
      <c r="AA918" s="203" t="n"/>
      <c r="AB918" s="203" t="n"/>
      <c r="AC918" s="203" t="n"/>
      <c r="AD918" s="203" t="n"/>
      <c r="AE918" s="203" t="n"/>
      <c r="AF918" s="203" t="n"/>
      <c r="AG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  <c r="S919" s="203" t="n"/>
      <c r="T919" s="203" t="n"/>
      <c r="U919" s="203" t="n"/>
      <c r="V919" s="203" t="n"/>
      <c r="W919" s="203" t="n"/>
      <c r="X919" s="203" t="n"/>
      <c r="Y919" s="203" t="n"/>
      <c r="Z919" s="203" t="n"/>
      <c r="AA919" s="203" t="n"/>
      <c r="AB919" s="203" t="n"/>
      <c r="AC919" s="203" t="n"/>
      <c r="AD919" s="203" t="n"/>
      <c r="AE919" s="203" t="n"/>
      <c r="AF919" s="203" t="n"/>
      <c r="AG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  <c r="S920" s="203" t="n"/>
      <c r="T920" s="203" t="n"/>
      <c r="U920" s="203" t="n"/>
      <c r="V920" s="203" t="n"/>
      <c r="W920" s="203" t="n"/>
      <c r="X920" s="203" t="n"/>
      <c r="Y920" s="203" t="n"/>
      <c r="Z920" s="203" t="n"/>
      <c r="AA920" s="203" t="n"/>
      <c r="AB920" s="203" t="n"/>
      <c r="AC920" s="203" t="n"/>
      <c r="AD920" s="203" t="n"/>
      <c r="AE920" s="203" t="n"/>
      <c r="AF920" s="203" t="n"/>
      <c r="AG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  <c r="S921" s="203" t="n"/>
      <c r="T921" s="203" t="n"/>
      <c r="U921" s="203" t="n"/>
      <c r="V921" s="203" t="n"/>
      <c r="W921" s="203" t="n"/>
      <c r="X921" s="203" t="n"/>
      <c r="Y921" s="203" t="n"/>
      <c r="Z921" s="203" t="n"/>
      <c r="AA921" s="203" t="n"/>
      <c r="AB921" s="203" t="n"/>
      <c r="AC921" s="203" t="n"/>
      <c r="AD921" s="203" t="n"/>
      <c r="AE921" s="203" t="n"/>
      <c r="AF921" s="203" t="n"/>
      <c r="AG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  <c r="S922" s="203" t="n"/>
      <c r="T922" s="203" t="n"/>
      <c r="U922" s="203" t="n"/>
      <c r="V922" s="203" t="n"/>
      <c r="W922" s="203" t="n"/>
      <c r="X922" s="203" t="n"/>
      <c r="Y922" s="203" t="n"/>
      <c r="Z922" s="203" t="n"/>
      <c r="AA922" s="203" t="n"/>
      <c r="AB922" s="203" t="n"/>
      <c r="AC922" s="203" t="n"/>
      <c r="AD922" s="203" t="n"/>
      <c r="AE922" s="203" t="n"/>
      <c r="AF922" s="203" t="n"/>
      <c r="AG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  <c r="S923" s="203" t="n"/>
      <c r="T923" s="203" t="n"/>
      <c r="U923" s="203" t="n"/>
      <c r="V923" s="203" t="n"/>
      <c r="W923" s="203" t="n"/>
      <c r="X923" s="203" t="n"/>
      <c r="Y923" s="203" t="n"/>
      <c r="Z923" s="203" t="n"/>
      <c r="AA923" s="203" t="n"/>
      <c r="AB923" s="203" t="n"/>
      <c r="AC923" s="203" t="n"/>
      <c r="AD923" s="203" t="n"/>
      <c r="AE923" s="203" t="n"/>
      <c r="AF923" s="203" t="n"/>
      <c r="AG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  <c r="S924" s="203" t="n"/>
      <c r="T924" s="203" t="n"/>
      <c r="U924" s="203" t="n"/>
      <c r="V924" s="203" t="n"/>
      <c r="W924" s="203" t="n"/>
      <c r="X924" s="203" t="n"/>
      <c r="Y924" s="203" t="n"/>
      <c r="Z924" s="203" t="n"/>
      <c r="AA924" s="203" t="n"/>
      <c r="AB924" s="203" t="n"/>
      <c r="AC924" s="203" t="n"/>
      <c r="AD924" s="203" t="n"/>
      <c r="AE924" s="203" t="n"/>
      <c r="AF924" s="203" t="n"/>
      <c r="AG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  <c r="S925" s="203" t="n"/>
      <c r="T925" s="203" t="n"/>
      <c r="U925" s="203" t="n"/>
      <c r="V925" s="203" t="n"/>
      <c r="W925" s="203" t="n"/>
      <c r="X925" s="203" t="n"/>
      <c r="Y925" s="203" t="n"/>
      <c r="Z925" s="203" t="n"/>
      <c r="AA925" s="203" t="n"/>
      <c r="AB925" s="203" t="n"/>
      <c r="AC925" s="203" t="n"/>
      <c r="AD925" s="203" t="n"/>
      <c r="AE925" s="203" t="n"/>
      <c r="AF925" s="203" t="n"/>
      <c r="AG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  <c r="S926" s="203" t="n"/>
      <c r="T926" s="203" t="n"/>
      <c r="U926" s="203" t="n"/>
      <c r="V926" s="203" t="n"/>
      <c r="W926" s="203" t="n"/>
      <c r="X926" s="203" t="n"/>
      <c r="Y926" s="203" t="n"/>
      <c r="Z926" s="203" t="n"/>
      <c r="AA926" s="203" t="n"/>
      <c r="AB926" s="203" t="n"/>
      <c r="AC926" s="203" t="n"/>
      <c r="AD926" s="203" t="n"/>
      <c r="AE926" s="203" t="n"/>
      <c r="AF926" s="203" t="n"/>
      <c r="AG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  <c r="S927" s="203" t="n"/>
      <c r="T927" s="203" t="n"/>
      <c r="U927" s="203" t="n"/>
      <c r="V927" s="203" t="n"/>
      <c r="W927" s="203" t="n"/>
      <c r="X927" s="203" t="n"/>
      <c r="Y927" s="203" t="n"/>
      <c r="Z927" s="203" t="n"/>
      <c r="AA927" s="203" t="n"/>
      <c r="AB927" s="203" t="n"/>
      <c r="AC927" s="203" t="n"/>
      <c r="AD927" s="203" t="n"/>
      <c r="AE927" s="203" t="n"/>
      <c r="AF927" s="203" t="n"/>
      <c r="AG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  <c r="S928" s="203" t="n"/>
      <c r="T928" s="203" t="n"/>
      <c r="U928" s="203" t="n"/>
      <c r="V928" s="203" t="n"/>
      <c r="W928" s="203" t="n"/>
      <c r="X928" s="203" t="n"/>
      <c r="Y928" s="203" t="n"/>
      <c r="Z928" s="203" t="n"/>
      <c r="AA928" s="203" t="n"/>
      <c r="AB928" s="203" t="n"/>
      <c r="AC928" s="203" t="n"/>
      <c r="AD928" s="203" t="n"/>
      <c r="AE928" s="203" t="n"/>
      <c r="AF928" s="203" t="n"/>
      <c r="AG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  <c r="S929" s="203" t="n"/>
      <c r="T929" s="203" t="n"/>
      <c r="U929" s="203" t="n"/>
      <c r="V929" s="203" t="n"/>
      <c r="W929" s="203" t="n"/>
      <c r="X929" s="203" t="n"/>
      <c r="Y929" s="203" t="n"/>
      <c r="Z929" s="203" t="n"/>
      <c r="AA929" s="203" t="n"/>
      <c r="AB929" s="203" t="n"/>
      <c r="AC929" s="203" t="n"/>
      <c r="AD929" s="203" t="n"/>
      <c r="AE929" s="203" t="n"/>
      <c r="AF929" s="203" t="n"/>
      <c r="AG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  <c r="S930" s="203" t="n"/>
      <c r="T930" s="203" t="n"/>
      <c r="U930" s="203" t="n"/>
      <c r="V930" s="203" t="n"/>
      <c r="W930" s="203" t="n"/>
      <c r="X930" s="203" t="n"/>
      <c r="Y930" s="203" t="n"/>
      <c r="Z930" s="203" t="n"/>
      <c r="AA930" s="203" t="n"/>
      <c r="AB930" s="203" t="n"/>
      <c r="AC930" s="203" t="n"/>
      <c r="AD930" s="203" t="n"/>
      <c r="AE930" s="203" t="n"/>
      <c r="AF930" s="203" t="n"/>
      <c r="AG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  <c r="S931" s="203" t="n"/>
      <c r="T931" s="203" t="n"/>
      <c r="U931" s="203" t="n"/>
      <c r="V931" s="203" t="n"/>
      <c r="W931" s="203" t="n"/>
      <c r="X931" s="203" t="n"/>
      <c r="Y931" s="203" t="n"/>
      <c r="Z931" s="203" t="n"/>
      <c r="AA931" s="203" t="n"/>
      <c r="AB931" s="203" t="n"/>
      <c r="AC931" s="203" t="n"/>
      <c r="AD931" s="203" t="n"/>
      <c r="AE931" s="203" t="n"/>
      <c r="AF931" s="203" t="n"/>
      <c r="AG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  <c r="S932" s="203" t="n"/>
      <c r="T932" s="203" t="n"/>
      <c r="U932" s="203" t="n"/>
      <c r="V932" s="203" t="n"/>
      <c r="W932" s="203" t="n"/>
      <c r="X932" s="203" t="n"/>
      <c r="Y932" s="203" t="n"/>
      <c r="Z932" s="203" t="n"/>
      <c r="AA932" s="203" t="n"/>
      <c r="AB932" s="203" t="n"/>
      <c r="AC932" s="203" t="n"/>
      <c r="AD932" s="203" t="n"/>
      <c r="AE932" s="203" t="n"/>
      <c r="AF932" s="203" t="n"/>
      <c r="AG932" s="20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3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04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04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04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04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04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04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04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04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04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04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04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04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04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04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04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04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04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04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04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04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04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04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04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04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04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04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04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04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04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04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04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04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04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04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04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04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04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04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04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04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04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04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04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04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04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04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04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04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04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04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04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04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04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04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04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04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04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04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04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04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04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04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04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04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04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04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04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04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04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04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04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04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04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04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04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04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04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04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04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04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04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04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04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04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04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04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04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04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04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04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04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04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04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04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04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04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04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04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04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04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04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04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04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04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04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04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04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04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04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04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04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04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04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04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04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04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04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04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04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04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04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04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04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04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04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04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04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04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04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04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04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04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04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04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04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04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04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04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04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04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04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04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04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04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04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04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04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04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04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04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04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04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04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04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04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04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04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04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04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04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04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04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04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04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04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04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04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04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04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04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04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04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04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04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04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04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04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04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04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04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04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04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04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04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04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04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04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04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04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04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04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04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04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04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04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04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04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04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04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04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04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04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04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04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04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04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04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04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04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04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04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04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04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04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04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04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04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04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04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04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04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04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04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04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04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04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04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04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04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04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04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04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04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04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04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04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04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04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04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04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04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04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04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04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04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04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04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04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04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04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04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04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04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04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04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04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04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04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04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04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04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04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04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04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04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04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04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04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04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04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04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04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04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04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04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04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04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04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04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04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04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04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04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04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04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04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04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04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04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04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04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04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04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04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04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04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04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04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04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04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04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04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04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04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04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04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04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04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04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04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04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04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04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04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04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04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04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04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04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04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04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04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04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04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04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04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04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04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04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04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04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04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04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04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04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04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04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04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04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04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04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04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04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04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04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04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04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04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04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04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04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04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04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04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04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04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04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04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04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04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04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04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04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04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04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04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04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04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04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04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04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04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04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04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04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04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04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04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04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04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04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04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04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04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04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04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04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04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04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04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04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04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04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04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04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04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04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04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04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04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04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04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04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04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04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04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04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04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04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04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04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04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04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04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04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04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04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04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04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04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04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04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04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04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04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04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04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04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04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04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04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04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04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04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04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04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04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04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04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04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04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04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04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3" t="inlineStr">
        <is>
          <t>1월</t>
        </is>
      </c>
      <c r="B9" s="6" t="inlineStr">
        <is>
          <t>01</t>
        </is>
      </c>
      <c r="C9" s="203" t="inlineStr">
        <is>
          <t>1월</t>
        </is>
      </c>
      <c r="D9" s="6" t="n">
        <v>2</v>
      </c>
    </row>
    <row r="10">
      <c r="A10" s="203" t="inlineStr">
        <is>
          <t>2월</t>
        </is>
      </c>
      <c r="B10" s="6" t="inlineStr">
        <is>
          <t>02</t>
        </is>
      </c>
      <c r="C10" s="203" t="inlineStr">
        <is>
          <t>2월</t>
        </is>
      </c>
      <c r="D10" s="6" t="n">
        <v>3</v>
      </c>
    </row>
    <row r="11">
      <c r="A11" s="203" t="inlineStr">
        <is>
          <t>3월</t>
        </is>
      </c>
      <c r="B11" s="6" t="inlineStr">
        <is>
          <t>03</t>
        </is>
      </c>
      <c r="C11" s="203" t="inlineStr">
        <is>
          <t>3월</t>
        </is>
      </c>
      <c r="D11" s="6" t="n">
        <v>4</v>
      </c>
    </row>
    <row r="12">
      <c r="A12" s="203" t="inlineStr">
        <is>
          <t>4월</t>
        </is>
      </c>
      <c r="B12" s="6" t="inlineStr">
        <is>
          <t>04</t>
        </is>
      </c>
      <c r="C12" s="203" t="inlineStr">
        <is>
          <t>4월</t>
        </is>
      </c>
      <c r="D12" s="6" t="n">
        <v>5</v>
      </c>
    </row>
    <row r="13">
      <c r="A13" s="203" t="inlineStr">
        <is>
          <t>5월</t>
        </is>
      </c>
      <c r="B13" s="6" t="inlineStr">
        <is>
          <t>05</t>
        </is>
      </c>
      <c r="C13" s="203" t="inlineStr">
        <is>
          <t>5월</t>
        </is>
      </c>
      <c r="D13" s="6" t="n">
        <v>6</v>
      </c>
    </row>
    <row r="14">
      <c r="A14" s="203" t="inlineStr">
        <is>
          <t>6월</t>
        </is>
      </c>
      <c r="B14" s="6" t="inlineStr">
        <is>
          <t>06</t>
        </is>
      </c>
      <c r="C14" s="203" t="inlineStr">
        <is>
          <t>6월</t>
        </is>
      </c>
      <c r="D14" s="6" t="n">
        <v>7</v>
      </c>
    </row>
    <row r="15">
      <c r="A15" s="203" t="inlineStr">
        <is>
          <t>7월</t>
        </is>
      </c>
      <c r="B15" s="6" t="inlineStr">
        <is>
          <t>07</t>
        </is>
      </c>
      <c r="C15" s="203" t="inlineStr">
        <is>
          <t>7월</t>
        </is>
      </c>
      <c r="D15" s="6" t="n">
        <v>8</v>
      </c>
    </row>
    <row r="16">
      <c r="A16" s="203" t="inlineStr">
        <is>
          <t>8월</t>
        </is>
      </c>
      <c r="B16" s="6" t="inlineStr">
        <is>
          <t>08</t>
        </is>
      </c>
      <c r="C16" s="203" t="inlineStr">
        <is>
          <t>8월</t>
        </is>
      </c>
      <c r="D16" s="6" t="n">
        <v>9</v>
      </c>
    </row>
    <row r="17">
      <c r="A17" s="203" t="inlineStr">
        <is>
          <t>9월</t>
        </is>
      </c>
      <c r="B17" s="6" t="inlineStr">
        <is>
          <t>09</t>
        </is>
      </c>
      <c r="C17" s="203" t="inlineStr">
        <is>
          <t>9월</t>
        </is>
      </c>
      <c r="D17" s="6" t="n">
        <v>10</v>
      </c>
    </row>
    <row r="18">
      <c r="A18" s="203" t="inlineStr">
        <is>
          <t>10월</t>
        </is>
      </c>
      <c r="B18" s="6" t="inlineStr">
        <is>
          <t>10</t>
        </is>
      </c>
      <c r="C18" s="203" t="inlineStr">
        <is>
          <t>10월</t>
        </is>
      </c>
      <c r="D18" s="6" t="n">
        <v>11</v>
      </c>
    </row>
    <row r="19">
      <c r="A19" s="203" t="inlineStr">
        <is>
          <t>11월</t>
        </is>
      </c>
      <c r="B19" s="6" t="inlineStr">
        <is>
          <t>11</t>
        </is>
      </c>
      <c r="C19" s="203" t="inlineStr">
        <is>
          <t>11월</t>
        </is>
      </c>
      <c r="D19" s="6" t="n">
        <v>12</v>
      </c>
    </row>
    <row r="20">
      <c r="A20" s="203" t="inlineStr">
        <is>
          <t>12월</t>
        </is>
      </c>
      <c r="B20" s="6" t="inlineStr">
        <is>
          <t>12</t>
        </is>
      </c>
      <c r="C20" s="203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1,339원/$  | 연간 합계 51,109,678원 · 월평균 4,259,140원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3835517.09</v>
      </c>
      <c r="C7" s="289" t="n">
        <v>211860</v>
      </c>
      <c r="D7" s="289" t="n">
        <v>4047377.09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3955880.4</v>
      </c>
      <c r="C8" s="289" t="n">
        <v>211860</v>
      </c>
      <c r="D8" s="289" t="n">
        <v>4167740.4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4341723.348</v>
      </c>
      <c r="C9" s="289" t="n">
        <v>247268</v>
      </c>
      <c r="D9" s="289" t="n">
        <v>4588991.348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3965737.107</v>
      </c>
      <c r="C10" s="289" t="n">
        <v>216964</v>
      </c>
      <c r="D10" s="289" t="n">
        <v>4182701.107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4053566.877</v>
      </c>
      <c r="C11" s="289" t="n">
        <v>211860</v>
      </c>
      <c r="D11" s="289" t="n">
        <v>4265426.877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4097396.22</v>
      </c>
      <c r="C12" s="289" t="n">
        <v>247352</v>
      </c>
      <c r="D12" s="289" t="n">
        <v>4344748.220000001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4122889.057</v>
      </c>
      <c r="C13" s="286" t="n">
        <v>0</v>
      </c>
      <c r="D13" s="286" t="n">
        <v>4122889.057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3990118.092</v>
      </c>
      <c r="C14" s="286" t="n">
        <v>0</v>
      </c>
      <c r="D14" s="286" t="n">
        <v>3990118.092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3995609.979</v>
      </c>
      <c r="C15" s="289" t="n">
        <v>71724</v>
      </c>
      <c r="D15" s="289" t="n">
        <v>4067333.979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1339</v>
      </c>
      <c r="C16" s="289" t="n">
        <v>3797560.056</v>
      </c>
      <c r="D16" s="289" t="n">
        <v>3798899.056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4177398.744</v>
      </c>
      <c r="D17" s="295" t="n">
        <v>4177398.744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5356054.318</v>
      </c>
      <c r="D18" s="295" t="n">
        <v>5356054.318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0.1076</v>
      </c>
      <c r="F24" s="310" t="n">
        <v>158393400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7080960</v>
      </c>
      <c r="E25" s="335" t="n">
        <v>0.1023</v>
      </c>
      <c r="F25" s="310" t="n">
        <v>69196100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0.1731</v>
      </c>
      <c r="F26" s="310" t="n">
        <v>25683485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0.1524</v>
      </c>
      <c r="F27" s="310" t="n">
        <v>26311320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3531000</v>
      </c>
      <c r="E28" s="335" t="n">
        <v>0.127</v>
      </c>
      <c r="F28" s="310" t="n">
        <v>27810000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2542320</v>
      </c>
      <c r="E29" s="335" t="n">
        <v>0.2748</v>
      </c>
      <c r="F29" s="310" t="n">
        <v>9251220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2200704</v>
      </c>
      <c r="E30" s="335" t="n">
        <v>0.178</v>
      </c>
      <c r="F30" s="310" t="n">
        <v>12365760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0.09300000000000001</v>
      </c>
      <c r="F31" s="310" t="n">
        <v>20085000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0.0746</v>
      </c>
      <c r="F32" s="310" t="n">
        <v>20630000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1260930</v>
      </c>
      <c r="E33" s="335" t="n">
        <v>0.0316</v>
      </c>
      <c r="F33" s="310" t="n">
        <v>39872135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0.0205</v>
      </c>
      <c r="F34" s="310" t="n">
        <v>51742820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0.1343</v>
      </c>
      <c r="F35" s="310" t="n">
        <v>7123200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0.0316</v>
      </c>
      <c r="F36" s="310" t="n">
        <v>17303300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516800</v>
      </c>
      <c r="E37" s="335" t="n">
        <v>0.1067</v>
      </c>
      <c r="F37" s="310" t="n">
        <v>4845000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0.0091</v>
      </c>
      <c r="F38" s="310" t="n">
        <v>31120115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1339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35292</v>
      </c>
      <c r="F53" s="347" t="n"/>
      <c r="G53" s="286" t="n">
        <v>35292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19161.09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211860</v>
      </c>
      <c r="F66" s="349" t="n"/>
      <c r="G66" s="295" t="n">
        <v>211860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3133.26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1379.17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1660.36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2383.42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2436.98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19161.09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5463.12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211860</v>
      </c>
      <c r="F91" s="349" t="n"/>
      <c r="G91" s="295" t="n">
        <v>211860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5489.9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1280.084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2436.98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8258.951999999999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25608.375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211860</v>
      </c>
      <c r="F118" s="349" t="n"/>
      <c r="G118" s="295" t="n">
        <v>211860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19232.057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1339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11984.05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35292</v>
      </c>
      <c r="F132" s="347" t="n"/>
      <c r="G132" s="286" t="n">
        <v>35292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211860</v>
      </c>
      <c r="F144" s="349" t="n"/>
      <c r="G144" s="295" t="n">
        <v>211860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19232.057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3253.77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1660.36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1379.17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2383.42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2436.98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19232.057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5463.12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211860</v>
      </c>
      <c r="F170" s="349" t="n"/>
      <c r="G170" s="295" t="n">
        <v>211860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5489.9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1339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1278.745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11984.05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11435.06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8130.408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211860</v>
      </c>
      <c r="F195" s="349" t="n"/>
      <c r="G195" s="295" t="n">
        <v>211860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19232.057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1339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196452</v>
      </c>
      <c r="F202" s="347" t="n"/>
      <c r="G202" s="286" t="n">
        <v>196452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43077</v>
      </c>
      <c r="F208" s="347" t="n"/>
      <c r="G208" s="286" t="n">
        <v>43077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19232.057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3253.77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1660.36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11629.215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1379.17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2383.42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2436.98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214428</v>
      </c>
      <c r="F233" s="347" t="n"/>
      <c r="G233" s="286" t="n">
        <v>214428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5463.12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19232.057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5489.9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1339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1482.273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5061.42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8580.312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224700</v>
      </c>
      <c r="F260" s="347" t="n"/>
      <c r="G260" s="286" t="n">
        <v>224700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11984.05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19303.024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10845.9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1339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19019.156</v>
      </c>
      <c r="H275" s="294" t="inlineStr">
        <is>
          <t>예측</t>
        </is>
      </c>
    </row>
    <row r="276">
      <c r="A276" s="351" t="n">
        <v>46309</v>
      </c>
      <c r="B276" s="294" t="n">
        <v>10</v>
      </c>
      <c r="C276" s="294" t="inlineStr">
        <is>
          <t>0008S0</t>
        </is>
      </c>
      <c r="D276" s="294" t="inlineStr">
        <is>
          <t>TIGER 미국배당다우존스타겟데일리커버드콜</t>
        </is>
      </c>
      <c r="E276" s="295" t="n">
        <v>261000</v>
      </c>
      <c r="F276" s="349" t="n"/>
      <c r="G276" s="295" t="n">
        <v>261000</v>
      </c>
      <c r="H276" s="294" t="inlineStr">
        <is>
          <t>예측</t>
        </is>
      </c>
    </row>
    <row r="277">
      <c r="A277" s="351" t="n">
        <v>46309</v>
      </c>
      <c r="B277" s="294" t="n">
        <v>10</v>
      </c>
      <c r="C277" s="294" t="inlineStr">
        <is>
          <t>474220</t>
        </is>
      </c>
      <c r="D277" s="294" t="inlineStr">
        <is>
          <t>TIGER미국테크TOP10커버드콜</t>
        </is>
      </c>
      <c r="E277" s="295" t="n">
        <v>527845</v>
      </c>
      <c r="F277" s="349" t="n"/>
      <c r="G277" s="295" t="n">
        <v>527845</v>
      </c>
      <c r="H277" s="294" t="inlineStr">
        <is>
          <t>예측</t>
        </is>
      </c>
    </row>
    <row r="278">
      <c r="A278" s="351" t="n">
        <v>46309</v>
      </c>
      <c r="B278" s="294" t="n">
        <v>10</v>
      </c>
      <c r="C278" s="294" t="inlineStr">
        <is>
          <t>490490</t>
        </is>
      </c>
      <c r="D278" s="294" t="inlineStr">
        <is>
          <t>SOL미국배당미국채혼합50</t>
        </is>
      </c>
      <c r="E278" s="295" t="n">
        <v>80241</v>
      </c>
      <c r="F278" s="349" t="n"/>
      <c r="G278" s="295" t="n">
        <v>80241</v>
      </c>
      <c r="H278" s="294" t="inlineStr">
        <is>
          <t>예측</t>
        </is>
      </c>
    </row>
    <row r="279">
      <c r="A279" s="351" t="n">
        <v>46309</v>
      </c>
      <c r="B279" s="294" t="n">
        <v>10</v>
      </c>
      <c r="C279" s="294" t="inlineStr">
        <is>
          <t>498400</t>
        </is>
      </c>
      <c r="D279" s="294" t="inlineStr">
        <is>
          <t>KODEX 200타켓위클리커버드콜</t>
        </is>
      </c>
      <c r="E279" s="295" t="n">
        <v>121088</v>
      </c>
      <c r="F279" s="349" t="n"/>
      <c r="G279" s="295" t="n">
        <v>121088</v>
      </c>
      <c r="H279" s="294" t="inlineStr">
        <is>
          <t>예측</t>
        </is>
      </c>
    </row>
    <row r="280">
      <c r="A280" s="351" t="n">
        <v>46325</v>
      </c>
      <c r="B280" s="294" t="n">
        <v>10</v>
      </c>
      <c r="C280" s="294" t="inlineStr">
        <is>
          <t>133690</t>
        </is>
      </c>
      <c r="D280" s="294" t="inlineStr">
        <is>
          <t>TIGER 미국나스닥100</t>
        </is>
      </c>
      <c r="E280" s="295" t="n">
        <v>11457</v>
      </c>
      <c r="F280" s="349" t="n"/>
      <c r="G280" s="295" t="n">
        <v>11457</v>
      </c>
      <c r="H280" s="294" t="inlineStr">
        <is>
          <t>예측</t>
        </is>
      </c>
    </row>
    <row r="281">
      <c r="A281" s="351" t="n">
        <v>46325</v>
      </c>
      <c r="B281" s="294" t="n">
        <v>10</v>
      </c>
      <c r="C281" s="294" t="inlineStr">
        <is>
          <t>329200</t>
        </is>
      </c>
      <c r="D281" s="294" t="inlineStr">
        <is>
          <t>TIGER리츠부동산인프라</t>
        </is>
      </c>
      <c r="E281" s="295" t="n">
        <v>155000</v>
      </c>
      <c r="F281" s="349" t="n"/>
      <c r="G281" s="295" t="n">
        <v>155000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360750</t>
        </is>
      </c>
      <c r="D282" s="294" t="inlineStr">
        <is>
          <t>TIGER미국S&amp;P500</t>
        </is>
      </c>
      <c r="E282" s="295" t="n">
        <v>13812</v>
      </c>
      <c r="F282" s="349" t="n"/>
      <c r="G282" s="295" t="n">
        <v>13812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367380</t>
        </is>
      </c>
      <c r="D283" s="294" t="inlineStr">
        <is>
          <t>ACE 미국나스닥100</t>
        </is>
      </c>
      <c r="E283" s="295" t="n">
        <v>12337</v>
      </c>
      <c r="F283" s="349" t="n"/>
      <c r="G283" s="295" t="n">
        <v>12337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379810</t>
        </is>
      </c>
      <c r="D284" s="294" t="inlineStr">
        <is>
          <t>KODEX 미국나스닥100</t>
        </is>
      </c>
      <c r="E284" s="295" t="n">
        <v>32697</v>
      </c>
      <c r="F284" s="349" t="n"/>
      <c r="G284" s="295" t="n">
        <v>32697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433330</t>
        </is>
      </c>
      <c r="D285" s="294" t="inlineStr">
        <is>
          <t>SOL 미국 S&amp;P500</t>
        </is>
      </c>
      <c r="E285" s="295" t="n">
        <v>15807</v>
      </c>
      <c r="F285" s="349" t="n"/>
      <c r="G285" s="295" t="n">
        <v>15807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446720</t>
        </is>
      </c>
      <c r="D286" s="294" t="inlineStr">
        <is>
          <t>SOL 미국배당다우존스</t>
        </is>
      </c>
      <c r="E286" s="295" t="n">
        <v>43890</v>
      </c>
      <c r="F286" s="349" t="n"/>
      <c r="G286" s="295" t="n">
        <v>43890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458760</t>
        </is>
      </c>
      <c r="D287" s="294" t="inlineStr">
        <is>
          <t>TIGER 미배당다우커버드콜2호</t>
        </is>
      </c>
      <c r="E287" s="295" t="n">
        <v>1345575</v>
      </c>
      <c r="F287" s="349" t="n"/>
      <c r="G287" s="295" t="n">
        <v>1345575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468380</t>
        </is>
      </c>
      <c r="D288" s="294" t="inlineStr">
        <is>
          <t>KODEX iShares미국하이일드액티브</t>
        </is>
      </c>
      <c r="E288" s="295" t="n">
        <v>120000</v>
      </c>
      <c r="F288" s="349" t="n"/>
      <c r="G288" s="295" t="n">
        <v>120000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473330</t>
        </is>
      </c>
      <c r="D289" s="294" t="inlineStr">
        <is>
          <t>SOL 미국 30년국채커버드콜(합성)</t>
        </is>
      </c>
      <c r="E289" s="295" t="n">
        <v>78720</v>
      </c>
      <c r="F289" s="349" t="n"/>
      <c r="G289" s="295" t="n">
        <v>78720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475380</t>
        </is>
      </c>
      <c r="D290" s="294" t="inlineStr">
        <is>
          <t>RISE 글로벌리얼티인컴</t>
        </is>
      </c>
      <c r="E290" s="295" t="n">
        <v>3737</v>
      </c>
      <c r="F290" s="349" t="n"/>
      <c r="G290" s="295" t="n">
        <v>3737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476690</t>
        </is>
      </c>
      <c r="D291" s="294" t="inlineStr">
        <is>
          <t>TIGER 글로벌비만치료제 TOP2 Plus</t>
        </is>
      </c>
      <c r="E291" s="295" t="n">
        <v>1200</v>
      </c>
      <c r="F291" s="349" t="n"/>
      <c r="G291" s="295" t="n">
        <v>1200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482730</t>
        </is>
      </c>
      <c r="D292" s="294" t="inlineStr">
        <is>
          <t>미국S&amp;P500타겟데일리커버드콜</t>
        </is>
      </c>
      <c r="E292" s="295" t="n">
        <v>40375</v>
      </c>
      <c r="F292" s="349" t="n"/>
      <c r="G292" s="295" t="n">
        <v>40375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211860</v>
      </c>
      <c r="F295" s="349" t="n"/>
      <c r="G295" s="295" t="n">
        <v>211860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3073.005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18948.189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1646.97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1352.39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2236.13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2329.86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5088.2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211860</v>
      </c>
      <c r="F321" s="349" t="n"/>
      <c r="G321" s="295" t="n">
        <v>211860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5422.95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8724.924000000001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18948.189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5014.555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11113.7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184325</v>
      </c>
      <c r="F345" s="349" t="n"/>
      <c r="G345" s="295" t="n">
        <v>184325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211860</v>
      </c>
      <c r="F347" s="349" t="n"/>
      <c r="G347" s="295" t="n">
        <v>211860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2026-10-14T06:03:44Z</dcterms:modified>
  <cp:lastModifiedBy>Hyoyol Park</cp:lastModifiedBy>
</cp:coreProperties>
</file>