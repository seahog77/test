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￦1,334</t>
        </is>
      </c>
      <c r="J5" s="73" t="n">
        <v>1334.08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10190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10405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9275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11120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14115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10325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4032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27485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15030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10190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12845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21685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11535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31600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26002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11815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10190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15030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18255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7370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109900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14470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12100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166500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10840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9820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9655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259500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259500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19475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382.7000122070312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54.18000030517578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39.88999938964844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336.6400146484375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19990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160900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98.41999816894531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98.41999816894531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162700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7900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162.5700073242188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182.2400054931641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229.2799987792969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33.04000091552734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535.0700073242188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148.5800018310547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38.63999938964844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209.0500030517578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68.20999908447266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11.52999973297119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34.70999908447266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453.3099975585938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179.3899993896484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142.4400024414062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141.3999938964844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5.440000057220459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90.75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7.199999809265137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13960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34.70000076293945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15125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183780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31700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21685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211.9799957275391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168.9400024414062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111.3499984741211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97" t="n">
        <v>15</v>
      </c>
      <c r="B35" s="297">
        <f>IFERROR(INDEX('계좌현황'!A:A,INDEX($L$21:$L$95,MATCH(LARGE($N$21:$N$95,15),$N$21:$N$95,0))),"")</f>
        <v/>
      </c>
      <c r="C35" s="297">
        <f>IFERROR(INDEX('계좌현황'!C:C,INDEX($L$21:$L$95,MATCH(LARGE($N$21:$N$95,15),$N$21:$N$95,0))),"")</f>
        <v/>
      </c>
      <c r="D35" s="297">
        <f>IFERROR(INDEX('계좌현황'!D:D,INDEX($L$21:$L$95,MATCH(LARGE($N$21:$N$95,15),$N$21:$N$95,0))),"")</f>
        <v/>
      </c>
      <c r="E35" s="297">
        <f>IFERROR(INDEX('계좌현황'!E:E,INDEX($L$21:$L$95,MATCH(LARGE($N$21:$N$95,15),$N$21:$N$95,0))),"")</f>
        <v/>
      </c>
      <c r="F35" s="324">
        <f>IFERROR(INDEX('계좌현황'!F:F,INDEX($L$21:$L$95,MATCH(LARGE($N$21:$N$95,15),$N$21:$N$95,0))),"")</f>
        <v/>
      </c>
      <c r="G35" s="325">
        <f>IFERROR(INDEX('계좌현황'!K:K,INDEX($L$21:$L$95,MATCH(LARGE($N$21:$N$95,15),$N$21:$N$95,0))),0)</f>
        <v/>
      </c>
      <c r="H35" s="326">
        <f>IF($B$3=0,0,G35/$B$3)</f>
        <v/>
      </c>
      <c r="I35" s="326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85" t="n">
        <v>16</v>
      </c>
      <c r="B36" s="285">
        <f>IFERROR(INDEX('계좌현황'!A:A,INDEX($L$21:$L$95,MATCH(LARGE($N$21:$N$95,16),$N$21:$N$95,0))),"")</f>
        <v/>
      </c>
      <c r="C36" s="285">
        <f>IFERROR(INDEX('계좌현황'!C:C,INDEX($L$21:$L$95,MATCH(LARGE($N$21:$N$95,16),$N$21:$N$95,0))),"")</f>
        <v/>
      </c>
      <c r="D36" s="285">
        <f>IFERROR(INDEX('계좌현황'!D:D,INDEX($L$21:$L$95,MATCH(LARGE($N$21:$N$95,16),$N$21:$N$95,0))),"")</f>
        <v/>
      </c>
      <c r="E36" s="285">
        <f>IFERROR(INDEX('계좌현황'!E:E,INDEX($L$21:$L$95,MATCH(LARGE($N$21:$N$95,16),$N$21:$N$95,0))),"")</f>
        <v/>
      </c>
      <c r="F36" s="315">
        <f>IFERROR(INDEX('계좌현황'!F:F,INDEX($L$21:$L$95,MATCH(LARGE($N$21:$N$95,16),$N$21:$N$95,0))),"")</f>
        <v/>
      </c>
      <c r="G36" s="316">
        <f>IFERROR(INDEX('계좌현황'!K:K,INDEX($L$21:$L$95,MATCH(LARGE($N$21:$N$95,16),$N$21:$N$95,0))),0)</f>
        <v/>
      </c>
      <c r="H36" s="317">
        <f>IF($B$3=0,0,G36/$B$3)</f>
        <v/>
      </c>
      <c r="I36" s="317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9" t="n">
        <v>22</v>
      </c>
      <c r="B42" s="309">
        <f>IFERROR(INDEX('계좌현황'!A:A,INDEX($L$21:$L$95,MATCH(LARGE($N$21:$N$95,22),$N$21:$N$95,0))),"")</f>
        <v/>
      </c>
      <c r="C42" s="309">
        <f>IFERROR(INDEX('계좌현황'!C:C,INDEX($L$21:$L$95,MATCH(LARGE($N$21:$N$95,22),$N$21:$N$95,0))),"")</f>
        <v/>
      </c>
      <c r="D42" s="309">
        <f>IFERROR(INDEX('계좌현황'!D:D,INDEX($L$21:$L$95,MATCH(LARGE($N$21:$N$95,22),$N$21:$N$95,0))),"")</f>
        <v/>
      </c>
      <c r="E42" s="309">
        <f>IFERROR(INDEX('계좌현황'!E:E,INDEX($L$21:$L$95,MATCH(LARGE($N$21:$N$95,22),$N$21:$N$95,0))),"")</f>
        <v/>
      </c>
      <c r="F42" s="333">
        <f>IFERROR(INDEX('계좌현황'!F:F,INDEX($L$21:$L$95,MATCH(LARGE($N$21:$N$95,22),$N$21:$N$95,0))),"")</f>
        <v/>
      </c>
      <c r="G42" s="334">
        <f>IFERROR(INDEX('계좌현황'!K:K,INDEX($L$21:$L$95,MATCH(LARGE($N$21:$N$95,22),$N$21:$N$95,0))),0)</f>
        <v/>
      </c>
      <c r="H42" s="335">
        <f>IF($B$3=0,0,G42/$B$3)</f>
        <v/>
      </c>
      <c r="I42" s="335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3" t="n">
        <v>23</v>
      </c>
      <c r="B43" s="303">
        <f>IFERROR(INDEX('계좌현황'!A:A,INDEX($L$21:$L$95,MATCH(LARGE($N$21:$N$95,23),$N$21:$N$95,0))),"")</f>
        <v/>
      </c>
      <c r="C43" s="303">
        <f>IFERROR(INDEX('계좌현황'!C:C,INDEX($L$21:$L$95,MATCH(LARGE($N$21:$N$95,23),$N$21:$N$95,0))),"")</f>
        <v/>
      </c>
      <c r="D43" s="303">
        <f>IFERROR(INDEX('계좌현황'!D:D,INDEX($L$21:$L$95,MATCH(LARGE($N$21:$N$95,23),$N$21:$N$95,0))),"")</f>
        <v/>
      </c>
      <c r="E43" s="303">
        <f>IFERROR(INDEX('계좌현황'!E:E,INDEX($L$21:$L$95,MATCH(LARGE($N$21:$N$95,23),$N$21:$N$95,0))),"")</f>
        <v/>
      </c>
      <c r="F43" s="327">
        <f>IFERROR(INDEX('계좌현황'!F:F,INDEX($L$21:$L$95,MATCH(LARGE($N$21:$N$95,23),$N$21:$N$95,0))),"")</f>
        <v/>
      </c>
      <c r="G43" s="328">
        <f>IFERROR(INDEX('계좌현황'!K:K,INDEX($L$21:$L$95,MATCH(LARGE($N$21:$N$95,23),$N$21:$N$95,0))),0)</f>
        <v/>
      </c>
      <c r="H43" s="329">
        <f>IF($B$3=0,0,G43/$B$3)</f>
        <v/>
      </c>
      <c r="I43" s="329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IFERROR(INDEX('계좌현황'!A:A,INDEX($L$21:$L$95,MATCH(LARGE($N$21:$N$95,34),$N$21:$N$95,0))),"")</f>
        <v/>
      </c>
      <c r="C54" s="294">
        <f>IFERROR(INDEX('계좌현황'!C:C,INDEX($L$21:$L$95,MATCH(LARGE($N$21:$N$95,34),$N$21:$N$95,0))),"")</f>
        <v/>
      </c>
      <c r="D54" s="294">
        <f>IFERROR(INDEX('계좌현황'!D:D,INDEX($L$21:$L$95,MATCH(LARGE($N$21:$N$95,34),$N$21:$N$95,0))),"")</f>
        <v/>
      </c>
      <c r="E54" s="294">
        <f>IFERROR(INDEX('계좌현황'!E:E,INDEX($L$21:$L$95,MATCH(LARGE($N$21:$N$95,34),$N$21:$N$95,0))),"")</f>
        <v/>
      </c>
      <c r="F54" s="321">
        <f>IFERROR(INDEX('계좌현황'!F:F,INDEX($L$21:$L$95,MATCH(LARGE($N$21:$N$95,34),$N$21:$N$95,0))),"")</f>
        <v/>
      </c>
      <c r="G54" s="322">
        <f>IFERROR(INDEX('계좌현황'!K:K,INDEX($L$21:$L$95,MATCH(LARGE($N$21:$N$95,34),$N$21:$N$95,0))),0)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7" t="n">
        <v>64</v>
      </c>
      <c r="B84" s="297">
        <f>IFERROR(INDEX('계좌현황'!A:A,INDEX($L$21:$L$95,MATCH(LARGE($N$21:$N$95,64),$N$21:$N$95,0))),"")</f>
        <v/>
      </c>
      <c r="C84" s="297">
        <f>IFERROR(INDEX('계좌현황'!C:C,INDEX($L$21:$L$95,MATCH(LARGE($N$21:$N$95,64),$N$21:$N$95,0))),"")</f>
        <v/>
      </c>
      <c r="D84" s="297">
        <f>IFERROR(INDEX('계좌현황'!D:D,INDEX($L$21:$L$95,MATCH(LARGE($N$21:$N$95,64),$N$21:$N$95,0))),"")</f>
        <v/>
      </c>
      <c r="E84" s="297">
        <f>IFERROR(INDEX('계좌현황'!E:E,INDEX($L$21:$L$95,MATCH(LARGE($N$21:$N$95,64),$N$21:$N$95,0))),"")</f>
        <v/>
      </c>
      <c r="F84" s="324">
        <f>IFERROR(INDEX('계좌현황'!F:F,INDEX($L$21:$L$95,MATCH(LARGE($N$21:$N$95,64),$N$21:$N$95,0))),"")</f>
        <v/>
      </c>
      <c r="G84" s="325">
        <f>IFERROR(INDEX('계좌현황'!K:K,INDEX($L$21:$L$95,MATCH(LARGE($N$21:$N$95,64),$N$21:$N$95,0))),0)</f>
        <v/>
      </c>
      <c r="H84" s="326">
        <f>IF($B$3=0,0,G84/$B$3)</f>
        <v/>
      </c>
      <c r="I84" s="326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9" t="n">
        <v>65</v>
      </c>
      <c r="B85" s="309">
        <f>IFERROR(INDEX('계좌현황'!A:A,INDEX($L$21:$L$95,MATCH(LARGE($N$21:$N$95,65),$N$21:$N$95,0))),"")</f>
        <v/>
      </c>
      <c r="C85" s="309">
        <f>IFERROR(INDEX('계좌현황'!C:C,INDEX($L$21:$L$95,MATCH(LARGE($N$21:$N$95,65),$N$21:$N$95,0))),"")</f>
        <v/>
      </c>
      <c r="D85" s="309">
        <f>IFERROR(INDEX('계좌현황'!D:D,INDEX($L$21:$L$95,MATCH(LARGE($N$21:$N$95,65),$N$21:$N$95,0))),"")</f>
        <v/>
      </c>
      <c r="E85" s="309">
        <f>IFERROR(INDEX('계좌현황'!E:E,INDEX($L$21:$L$95,MATCH(LARGE($N$21:$N$95,65),$N$21:$N$95,0))),"")</f>
        <v/>
      </c>
      <c r="F85" s="333">
        <f>IFERROR(INDEX('계좌현황'!F:F,INDEX($L$21:$L$95,MATCH(LARGE($N$21:$N$95,65),$N$21:$N$95,0))),"")</f>
        <v/>
      </c>
      <c r="G85" s="334">
        <f>IFERROR(INDEX('계좌현황'!K:K,INDEX($L$21:$L$95,MATCH(LARGE($N$21:$N$95,65),$N$21:$N$95,0))),0)</f>
        <v/>
      </c>
      <c r="H85" s="335">
        <f>IF($B$3=0,0,G85/$B$3)</f>
        <v/>
      </c>
      <c r="I85" s="335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1,334원/$  | 연간 합계 51,107,878원 · 월평균 4,258,990원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3835440.54</v>
      </c>
      <c r="C7" s="289" t="n">
        <v>211860</v>
      </c>
      <c r="D7" s="289" t="n">
        <v>4047300.54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3955747.4</v>
      </c>
      <c r="C8" s="289" t="n">
        <v>211860</v>
      </c>
      <c r="D8" s="289" t="n">
        <v>4167607.4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4341490.687999999</v>
      </c>
      <c r="C9" s="289" t="n">
        <v>247268</v>
      </c>
      <c r="D9" s="289" t="n">
        <v>4588758.687999999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3965615.542</v>
      </c>
      <c r="C10" s="289" t="n">
        <v>216964</v>
      </c>
      <c r="D10" s="289" t="n">
        <v>4182579.542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4053433.162</v>
      </c>
      <c r="C11" s="289" t="n">
        <v>211860</v>
      </c>
      <c r="D11" s="289" t="n">
        <v>4265293.162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4097176.32</v>
      </c>
      <c r="C12" s="289" t="n">
        <v>247352</v>
      </c>
      <c r="D12" s="289" t="n">
        <v>4344528.32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4122812.242</v>
      </c>
      <c r="C13" s="286" t="n">
        <v>0</v>
      </c>
      <c r="D13" s="286" t="n">
        <v>4122812.242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3989940.952000001</v>
      </c>
      <c r="C14" s="286" t="n">
        <v>0</v>
      </c>
      <c r="D14" s="286" t="n">
        <v>3989940.952000001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3995411.174</v>
      </c>
      <c r="C15" s="289" t="n">
        <v>71724</v>
      </c>
      <c r="D15" s="289" t="n">
        <v>4067135.174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1334</v>
      </c>
      <c r="C16" s="289" t="n">
        <v>3797448.536</v>
      </c>
      <c r="D16" s="289" t="n">
        <v>3798782.536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4177269.264</v>
      </c>
      <c r="D17" s="295" t="n">
        <v>4177269.264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5355870.508</v>
      </c>
      <c r="D18" s="295" t="n">
        <v>5355870.508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0.1087</v>
      </c>
      <c r="F24" s="310" t="n">
        <v>156701820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0.1022</v>
      </c>
      <c r="F25" s="310" t="n">
        <v>69288300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0.1682</v>
      </c>
      <c r="F26" s="310" t="n">
        <v>26432240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0.1524</v>
      </c>
      <c r="F27" s="310" t="n">
        <v>26300190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0.1269</v>
      </c>
      <c r="F28" s="310" t="n">
        <v>27825000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0.2506</v>
      </c>
      <c r="F29" s="310" t="n">
        <v>10143600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0.1605</v>
      </c>
      <c r="F30" s="310" t="n">
        <v>13710400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0.0926</v>
      </c>
      <c r="F31" s="310" t="n">
        <v>20160000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0.0745</v>
      </c>
      <c r="F32" s="310" t="n">
        <v>20650000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0.0317</v>
      </c>
      <c r="F33" s="310" t="n">
        <v>39757505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0.0206</v>
      </c>
      <c r="F34" s="310" t="n">
        <v>51505635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0.1352</v>
      </c>
      <c r="F35" s="310" t="n">
        <v>7075200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0.032</v>
      </c>
      <c r="F36" s="310" t="n">
        <v>17083850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0.1054</v>
      </c>
      <c r="F37" s="310" t="n">
        <v>4902375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31161345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1334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19089.54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3121.56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1374.02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1654.16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2374.52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2427.88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19089.54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5442.72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5469.4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1275.304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2427.88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8228.112000000001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25512.75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19160.242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1334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11939.3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19160.242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3241.62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1654.16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1374.02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2374.52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2427.88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19160.242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5442.72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5469.4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1334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1273.97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11939.3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11392.36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8100.048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19160.242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1334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19160.242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3241.62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1654.16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11585.79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1374.02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2374.52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2427.88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5442.72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19160.242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5469.4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1334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1476.738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5042.52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8548.272000000001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11939.3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19230.944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10805.4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1334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18948.136</v>
      </c>
      <c r="H275" s="294" t="inlineStr">
        <is>
          <t>예측</t>
        </is>
      </c>
    </row>
    <row r="276">
      <c r="A276" s="351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51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51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51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51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51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3061.53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18877.434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1640.82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1347.34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2227.78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2321.16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5069.2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5402.7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8692.343999999999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18877.434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4995.83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11072.2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2026-10-12T01:04:05Z</dcterms:modified>
  <cp:lastModifiedBy>Hyoyol Park</cp:lastModifiedBy>
</cp:coreProperties>
</file>