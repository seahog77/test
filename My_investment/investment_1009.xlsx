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￦1,336</t>
        </is>
      </c>
      <c r="J5" s="73" t="n">
        <v>1335.58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10632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10645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9522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10770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13925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10265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3982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26090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14620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10635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13345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21315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11220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29990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25565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11220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10625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14615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16415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7555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111400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12750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11970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164500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10445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10175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9705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215500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215500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16175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354.7200012207031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56.08000183105469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31.28000068664551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343.4599914550781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19960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181700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87.72000122070312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87.72000122070312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158500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6615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146.0299987792969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185.2700042724609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214.1300048828125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34.34999847412109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529.0499877929688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159.1000061035156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38.83000183105469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186.0299987792969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50.84000015258789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11.31999969482422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37.13000106811523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412.6099853515625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173.1600036621094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114.9400024414062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128.2299957275391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4.659999847412109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97.51999664306641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5.829999923706055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13600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27.96999931335449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14735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174362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30560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21315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224.9900054931641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178.9799957275391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118.8099975585938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4" t="n">
        <v>49</v>
      </c>
      <c r="B69" s="294">
        <f>IFERROR(INDEX('계좌현황'!A:A,INDEX($L$21:$L$95,MATCH(LARGE($N$21:$N$95,49),$N$21:$N$95,0))),"")</f>
        <v/>
      </c>
      <c r="C69" s="294">
        <f>IFERROR(INDEX('계좌현황'!C:C,INDEX($L$21:$L$95,MATCH(LARGE($N$21:$N$95,49),$N$21:$N$95,0))),"")</f>
        <v/>
      </c>
      <c r="D69" s="294">
        <f>IFERROR(INDEX('계좌현황'!D:D,INDEX($L$21:$L$95,MATCH(LARGE($N$21:$N$95,49),$N$21:$N$95,0))),"")</f>
        <v/>
      </c>
      <c r="E69" s="294">
        <f>IFERROR(INDEX('계좌현황'!E:E,INDEX($L$21:$L$95,MATCH(LARGE($N$21:$N$95,49),$N$21:$N$95,0))),"")</f>
        <v/>
      </c>
      <c r="F69" s="321">
        <f>IFERROR(INDEX('계좌현황'!F:F,INDEX($L$21:$L$95,MATCH(LARGE($N$21:$N$95,49),$N$21:$N$95,0))),"")</f>
        <v/>
      </c>
      <c r="G69" s="322">
        <f>IFERROR(INDEX('계좌현황'!K:K,INDEX($L$21:$L$95,MATCH(LARGE($N$21:$N$95,49),$N$21:$N$95,0))),0)</f>
        <v/>
      </c>
      <c r="H69" s="323">
        <f>IF($B$3=0,0,G69/$B$3)</f>
        <v/>
      </c>
      <c r="I69" s="323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7" t="n">
        <v>50</v>
      </c>
      <c r="B70" s="297">
        <f>IFERROR(INDEX('계좌현황'!A:A,INDEX($L$21:$L$95,MATCH(LARGE($N$21:$N$95,50),$N$21:$N$95,0))),"")</f>
        <v/>
      </c>
      <c r="C70" s="297">
        <f>IFERROR(INDEX('계좌현황'!C:C,INDEX($L$21:$L$95,MATCH(LARGE($N$21:$N$95,50),$N$21:$N$95,0))),"")</f>
        <v/>
      </c>
      <c r="D70" s="297">
        <f>IFERROR(INDEX('계좌현황'!D:D,INDEX($L$21:$L$95,MATCH(LARGE($N$21:$N$95,50),$N$21:$N$95,0))),"")</f>
        <v/>
      </c>
      <c r="E70" s="297">
        <f>IFERROR(INDEX('계좌현황'!E:E,INDEX($L$21:$L$95,MATCH(LARGE($N$21:$N$95,50),$N$21:$N$95,0))),"")</f>
        <v/>
      </c>
      <c r="F70" s="324">
        <f>IFERROR(INDEX('계좌현황'!F:F,INDEX($L$21:$L$95,MATCH(LARGE($N$21:$N$95,50),$N$21:$N$95,0))),"")</f>
        <v/>
      </c>
      <c r="G70" s="325">
        <f>IFERROR(INDEX('계좌현황'!K:K,INDEX($L$21:$L$95,MATCH(LARGE($N$21:$N$95,50),$N$21:$N$95,0))),0)</f>
        <v/>
      </c>
      <c r="H70" s="326">
        <f>IF($B$3=0,0,G70/$B$3)</f>
        <v/>
      </c>
      <c r="I70" s="326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7" t="n">
        <v>61</v>
      </c>
      <c r="B81" s="297">
        <f>IFERROR(INDEX('계좌현황'!A:A,INDEX($L$21:$L$95,MATCH(LARGE($N$21:$N$95,61),$N$21:$N$95,0))),"")</f>
        <v/>
      </c>
      <c r="C81" s="297">
        <f>IFERROR(INDEX('계좌현황'!C:C,INDEX($L$21:$L$95,MATCH(LARGE($N$21:$N$95,61),$N$21:$N$95,0))),"")</f>
        <v/>
      </c>
      <c r="D81" s="297">
        <f>IFERROR(INDEX('계좌현황'!D:D,INDEX($L$21:$L$95,MATCH(LARGE($N$21:$N$95,61),$N$21:$N$95,0))),"")</f>
        <v/>
      </c>
      <c r="E81" s="297">
        <f>IFERROR(INDEX('계좌현황'!E:E,INDEX($L$21:$L$95,MATCH(LARGE($N$21:$N$95,61),$N$21:$N$95,0))),"")</f>
        <v/>
      </c>
      <c r="F81" s="324">
        <f>IFERROR(INDEX('계좌현황'!F:F,INDEX($L$21:$L$95,MATCH(LARGE($N$21:$N$95,61),$N$21:$N$95,0))),"")</f>
        <v/>
      </c>
      <c r="G81" s="325">
        <f>IFERROR(INDEX('계좌현황'!K:K,INDEX($L$21:$L$95,MATCH(LARGE($N$21:$N$95,61),$N$21:$N$95,0))),0)</f>
        <v/>
      </c>
      <c r="H81" s="326">
        <f>IF($B$3=0,0,G81/$B$3)</f>
        <v/>
      </c>
      <c r="I81" s="326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1,336원/$  | 연간 합계 51,230,492원 · 월평균 4,269,208원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3835471.16</v>
      </c>
      <c r="C7" s="289" t="n">
        <v>211860</v>
      </c>
      <c r="D7" s="289" t="n">
        <v>4047331.16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3955800.6</v>
      </c>
      <c r="C8" s="289" t="n">
        <v>211860</v>
      </c>
      <c r="D8" s="289" t="n">
        <v>4167660.6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4341583.752</v>
      </c>
      <c r="C9" s="289" t="n">
        <v>247268</v>
      </c>
      <c r="D9" s="289" t="n">
        <v>4588851.752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3965664.168</v>
      </c>
      <c r="C10" s="289" t="n">
        <v>216964</v>
      </c>
      <c r="D10" s="289" t="n">
        <v>4182628.168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4053486.648</v>
      </c>
      <c r="C11" s="289" t="n">
        <v>211860</v>
      </c>
      <c r="D11" s="289" t="n">
        <v>4265346.648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4097264.28</v>
      </c>
      <c r="C12" s="289" t="n">
        <v>247352</v>
      </c>
      <c r="D12" s="289" t="n">
        <v>4344616.279999999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4122842.968</v>
      </c>
      <c r="C13" s="286" t="n">
        <v>0</v>
      </c>
      <c r="D13" s="286" t="n">
        <v>4122842.968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3990011.808</v>
      </c>
      <c r="C14" s="286" t="n">
        <v>0</v>
      </c>
      <c r="D14" s="286" t="n">
        <v>3990011.808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3995490.696</v>
      </c>
      <c r="C15" s="289" t="n">
        <v>71724</v>
      </c>
      <c r="D15" s="289" t="n">
        <v>4067214.696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1153779</v>
      </c>
      <c r="C16" s="289" t="n">
        <v>2766944.144</v>
      </c>
      <c r="D16" s="289" t="n">
        <v>3920723.144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4177321.056</v>
      </c>
      <c r="D17" s="295" t="n">
        <v>4177321.056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5355944.032</v>
      </c>
      <c r="D18" s="295" t="n">
        <v>5355944.032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0.1042</v>
      </c>
      <c r="F24" s="310" t="n">
        <v>163497313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0.1058</v>
      </c>
      <c r="F25" s="310" t="n">
        <v>67391450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0.1736</v>
      </c>
      <c r="F26" s="310" t="n">
        <v>25600290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0.1605</v>
      </c>
      <c r="F27" s="310" t="n">
        <v>24975720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0.1241</v>
      </c>
      <c r="F28" s="310" t="n">
        <v>28566000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0.2993</v>
      </c>
      <c r="F29" s="310" t="n">
        <v>8493660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</v>
      </c>
      <c r="F30" s="310" t="n">
        <v>11387200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0.09380000000000001</v>
      </c>
      <c r="F31" s="310" t="n">
        <v>19910000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</v>
      </c>
      <c r="F32" s="310" t="n">
        <v>20530000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0.0303</v>
      </c>
      <c r="F33" s="310" t="n">
        <v>40674545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0.0209</v>
      </c>
      <c r="F34" s="310" t="n">
        <v>50812325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0.1319</v>
      </c>
      <c r="F35" s="310" t="n">
        <v>7252800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0.0308</v>
      </c>
      <c r="F36" s="310" t="n">
        <v>17748850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0.1102</v>
      </c>
      <c r="F37" s="310" t="n">
        <v>4768500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0.0092</v>
      </c>
      <c r="F38" s="310" t="n">
        <v>30629655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1336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19118.16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3126.24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1376.08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1656.64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2378.08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2431.52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19118.16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5450.88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5477.599999999999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1277.216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2431.52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8240.448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25551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19188.968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1336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11957.2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19188.968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3246.48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1656.64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1376.08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2378.08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2431.52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19188.968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5450.88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5477.599999999999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1336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1275.88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11957.2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11409.44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8112.192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19188.968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1336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19188.968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3246.48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1656.64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11603.16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1376.08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2378.08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2431.52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5450.88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19188.968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5477.599999999999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1336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1478.952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5050.08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8561.088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11957.2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19259.776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10821.6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1336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18976.544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3066.12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18905.736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1643.28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1349.36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2231.12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2324.64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5076.8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5410.8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8705.376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18905.736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5003.32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11088.8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2026-10-19T01:05:20Z</dcterms:modified>
  <cp:lastModifiedBy>Hyoyol Park</cp:lastModifiedBy>
</cp:coreProperties>
</file>