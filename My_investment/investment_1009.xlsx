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￦1,340</t>
        </is>
      </c>
      <c r="J5" s="73" t="n">
        <v>1339.7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10315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10450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9260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10875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14180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10325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4020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27150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15015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10310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12980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21665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11400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31215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25980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11840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10315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15005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17575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7410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110100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13850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11950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162900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11015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9780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9680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239250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239250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17930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375.23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54.99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34.73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341.27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19710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163700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96.44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96.44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160900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7365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156.54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179.43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228.52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33.37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543.45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153.73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38.06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208.67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64.22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12.01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35.33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445.12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181.79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134.28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143.2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4.95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92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6.49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13950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31.78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15050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181517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31750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21670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217.73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174.08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112.28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5" t="n">
        <v>10</v>
      </c>
      <c r="B30" s="285">
        <f>IFERROR(INDEX('계좌현황'!A:A,INDEX($L$21:$L$95,MATCH(LARGE($N$21:$N$95,10),$N$21:$N$95,0))),"")</f>
        <v/>
      </c>
      <c r="C30" s="285">
        <f>IFERROR(INDEX('계좌현황'!C:C,INDEX($L$21:$L$95,MATCH(LARGE($N$21:$N$95,10),$N$21:$N$95,0))),"")</f>
        <v/>
      </c>
      <c r="D30" s="285">
        <f>IFERROR(INDEX('계좌현황'!D:D,INDEX($L$21:$L$95,MATCH(LARGE($N$21:$N$95,10),$N$21:$N$95,0))),"")</f>
        <v/>
      </c>
      <c r="E30" s="285">
        <f>IFERROR(INDEX('계좌현황'!E:E,INDEX($L$21:$L$95,MATCH(LARGE($N$21:$N$95,10),$N$21:$N$95,0))),"")</f>
        <v/>
      </c>
      <c r="F30" s="315">
        <f>IFERROR(INDEX('계좌현황'!F:F,INDEX($L$21:$L$95,MATCH(LARGE($N$21:$N$95,10),$N$21:$N$95,0))),"")</f>
        <v/>
      </c>
      <c r="G30" s="316">
        <f>IFERROR(INDEX('계좌현황'!K:K,INDEX($L$21:$L$95,MATCH(LARGE($N$21:$N$95,10),$N$21:$N$95,0))),0)</f>
        <v/>
      </c>
      <c r="H30" s="317">
        <f>IF($B$3=0,0,G30/$B$3)</f>
        <v/>
      </c>
      <c r="I30" s="317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4" t="n">
        <v>11</v>
      </c>
      <c r="B31" s="294">
        <f>IFERROR(INDEX('계좌현황'!A:A,INDEX($L$21:$L$95,MATCH(LARGE($N$21:$N$95,11),$N$21:$N$95,0))),"")</f>
        <v/>
      </c>
      <c r="C31" s="294">
        <f>IFERROR(INDEX('계좌현황'!C:C,INDEX($L$21:$L$95,MATCH(LARGE($N$21:$N$95,11),$N$21:$N$95,0))),"")</f>
        <v/>
      </c>
      <c r="D31" s="294">
        <f>IFERROR(INDEX('계좌현황'!D:D,INDEX($L$21:$L$95,MATCH(LARGE($N$21:$N$95,11),$N$21:$N$95,0))),"")</f>
        <v/>
      </c>
      <c r="E31" s="294">
        <f>IFERROR(INDEX('계좌현황'!E:E,INDEX($L$21:$L$95,MATCH(LARGE($N$21:$N$95,11),$N$21:$N$95,0))),"")</f>
        <v/>
      </c>
      <c r="F31" s="321">
        <f>IFERROR(INDEX('계좌현황'!F:F,INDEX($L$21:$L$95,MATCH(LARGE($N$21:$N$95,11),$N$21:$N$95,0))),"")</f>
        <v/>
      </c>
      <c r="G31" s="322">
        <f>IFERROR(INDEX('계좌현황'!K:K,INDEX($L$21:$L$95,MATCH(LARGE($N$21:$N$95,11),$N$21:$N$95,0))),0)</f>
        <v/>
      </c>
      <c r="H31" s="323">
        <f>IF($B$3=0,0,G31/$B$3)</f>
        <v/>
      </c>
      <c r="I31" s="323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4" t="n">
        <v>12</v>
      </c>
      <c r="B32" s="294">
        <f>IFERROR(INDEX('계좌현황'!A:A,INDEX($L$21:$L$95,MATCH(LARGE($N$21:$N$95,12),$N$21:$N$95,0))),"")</f>
        <v/>
      </c>
      <c r="C32" s="294">
        <f>IFERROR(INDEX('계좌현황'!C:C,INDEX($L$21:$L$95,MATCH(LARGE($N$21:$N$95,12),$N$21:$N$95,0))),"")</f>
        <v/>
      </c>
      <c r="D32" s="294">
        <f>IFERROR(INDEX('계좌현황'!D:D,INDEX($L$21:$L$95,MATCH(LARGE($N$21:$N$95,12),$N$21:$N$95,0))),"")</f>
        <v/>
      </c>
      <c r="E32" s="294">
        <f>IFERROR(INDEX('계좌현황'!E:E,INDEX($L$21:$L$95,MATCH(LARGE($N$21:$N$95,12),$N$21:$N$95,0))),"")</f>
        <v/>
      </c>
      <c r="F32" s="321">
        <f>IFERROR(INDEX('계좌현황'!F:F,INDEX($L$21:$L$95,MATCH(LARGE($N$21:$N$95,12),$N$21:$N$95,0))),"")</f>
        <v/>
      </c>
      <c r="G32" s="322">
        <f>IFERROR(INDEX('계좌현황'!K:K,INDEX($L$21:$L$95,MATCH(LARGE($N$21:$N$95,12),$N$21:$N$95,0))),0)</f>
        <v/>
      </c>
      <c r="H32" s="323">
        <f>IF($B$3=0,0,G32/$B$3)</f>
        <v/>
      </c>
      <c r="I32" s="323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5" t="n">
        <v>13</v>
      </c>
      <c r="B33" s="285">
        <f>IFERROR(INDEX('계좌현황'!A:A,INDEX($L$21:$L$95,MATCH(LARGE($N$21:$N$95,13),$N$21:$N$95,0))),"")</f>
        <v/>
      </c>
      <c r="C33" s="285">
        <f>IFERROR(INDEX('계좌현황'!C:C,INDEX($L$21:$L$95,MATCH(LARGE($N$21:$N$95,13),$N$21:$N$95,0))),"")</f>
        <v/>
      </c>
      <c r="D33" s="285">
        <f>IFERROR(INDEX('계좌현황'!D:D,INDEX($L$21:$L$95,MATCH(LARGE($N$21:$N$95,13),$N$21:$N$95,0))),"")</f>
        <v/>
      </c>
      <c r="E33" s="285">
        <f>IFERROR(INDEX('계좌현황'!E:E,INDEX($L$21:$L$95,MATCH(LARGE($N$21:$N$95,13),$N$21:$N$95,0))),"")</f>
        <v/>
      </c>
      <c r="F33" s="315">
        <f>IFERROR(INDEX('계좌현황'!F:F,INDEX($L$21:$L$95,MATCH(LARGE($N$21:$N$95,13),$N$21:$N$95,0))),"")</f>
        <v/>
      </c>
      <c r="G33" s="316">
        <f>IFERROR(INDEX('계좌현황'!K:K,INDEX($L$21:$L$95,MATCH(LARGE($N$21:$N$95,13),$N$21:$N$95,0))),0)</f>
        <v/>
      </c>
      <c r="H33" s="317">
        <f>IF($B$3=0,0,G33/$B$3)</f>
        <v/>
      </c>
      <c r="I33" s="317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7" t="n">
        <v>20</v>
      </c>
      <c r="B40" s="297">
        <f>IFERROR(INDEX('계좌현황'!A:A,INDEX($L$21:$L$95,MATCH(LARGE($N$21:$N$95,20),$N$21:$N$95,0))),"")</f>
        <v/>
      </c>
      <c r="C40" s="297">
        <f>IFERROR(INDEX('계좌현황'!C:C,INDEX($L$21:$L$95,MATCH(LARGE($N$21:$N$95,20),$N$21:$N$95,0))),"")</f>
        <v/>
      </c>
      <c r="D40" s="297">
        <f>IFERROR(INDEX('계좌현황'!D:D,INDEX($L$21:$L$95,MATCH(LARGE($N$21:$N$95,20),$N$21:$N$95,0))),"")</f>
        <v/>
      </c>
      <c r="E40" s="297">
        <f>IFERROR(INDEX('계좌현황'!E:E,INDEX($L$21:$L$95,MATCH(LARGE($N$21:$N$95,20),$N$21:$N$95,0))),"")</f>
        <v/>
      </c>
      <c r="F40" s="324">
        <f>IFERROR(INDEX('계좌현황'!F:F,INDEX($L$21:$L$95,MATCH(LARGE($N$21:$N$95,20),$N$21:$N$95,0))),"")</f>
        <v/>
      </c>
      <c r="G40" s="325">
        <f>IFERROR(INDEX('계좌현황'!K:K,INDEX($L$21:$L$95,MATCH(LARGE($N$21:$N$95,20),$N$21:$N$95,0))),0)</f>
        <v/>
      </c>
      <c r="H40" s="326">
        <f>IF($B$3=0,0,G40/$B$3)</f>
        <v/>
      </c>
      <c r="I40" s="326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3" t="n">
        <v>22</v>
      </c>
      <c r="B42" s="303">
        <f>IFERROR(INDEX('계좌현황'!A:A,INDEX($L$21:$L$95,MATCH(LARGE($N$21:$N$95,22),$N$21:$N$95,0))),"")</f>
        <v/>
      </c>
      <c r="C42" s="303">
        <f>IFERROR(INDEX('계좌현황'!C:C,INDEX($L$21:$L$95,MATCH(LARGE($N$21:$N$95,22),$N$21:$N$95,0))),"")</f>
        <v/>
      </c>
      <c r="D42" s="303">
        <f>IFERROR(INDEX('계좌현황'!D:D,INDEX($L$21:$L$95,MATCH(LARGE($N$21:$N$95,22),$N$21:$N$95,0))),"")</f>
        <v/>
      </c>
      <c r="E42" s="303">
        <f>IFERROR(INDEX('계좌현황'!E:E,INDEX($L$21:$L$95,MATCH(LARGE($N$21:$N$95,22),$N$21:$N$95,0))),"")</f>
        <v/>
      </c>
      <c r="F42" s="327">
        <f>IFERROR(INDEX('계좌현황'!F:F,INDEX($L$21:$L$95,MATCH(LARGE($N$21:$N$95,22),$N$21:$N$95,0))),"")</f>
        <v/>
      </c>
      <c r="G42" s="328">
        <f>IFERROR(INDEX('계좌현황'!K:K,INDEX($L$21:$L$95,MATCH(LARGE($N$21:$N$95,22),$N$21:$N$95,0))),0)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7" t="n">
        <v>43</v>
      </c>
      <c r="B63" s="297">
        <f>IFERROR(INDEX('계좌현황'!A:A,INDEX($L$21:$L$95,MATCH(LARGE($N$21:$N$95,43),$N$21:$N$95,0))),"")</f>
        <v/>
      </c>
      <c r="C63" s="297">
        <f>IFERROR(INDEX('계좌현황'!C:C,INDEX($L$21:$L$95,MATCH(LARGE($N$21:$N$95,43),$N$21:$N$95,0))),"")</f>
        <v/>
      </c>
      <c r="D63" s="297">
        <f>IFERROR(INDEX('계좌현황'!D:D,INDEX($L$21:$L$95,MATCH(LARGE($N$21:$N$95,43),$N$21:$N$95,0))),"")</f>
        <v/>
      </c>
      <c r="E63" s="297">
        <f>IFERROR(INDEX('계좌현황'!E:E,INDEX($L$21:$L$95,MATCH(LARGE($N$21:$N$95,43),$N$21:$N$95,0))),"")</f>
        <v/>
      </c>
      <c r="F63" s="324">
        <f>IFERROR(INDEX('계좌현황'!F:F,INDEX($L$21:$L$95,MATCH(LARGE($N$21:$N$95,43),$N$21:$N$95,0))),"")</f>
        <v/>
      </c>
      <c r="G63" s="325">
        <f>IFERROR(INDEX('계좌현황'!K:K,INDEX($L$21:$L$95,MATCH(LARGE($N$21:$N$95,43),$N$21:$N$95,0))),0)</f>
        <v/>
      </c>
      <c r="H63" s="326">
        <f>IF($B$3=0,0,G63/$B$3)</f>
        <v/>
      </c>
      <c r="I63" s="326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1,340원/$  | 연간 합계 51,110,038원 · 월평균 4,259,170원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3835532.4</v>
      </c>
      <c r="C7" s="289" t="n">
        <v>211860</v>
      </c>
      <c r="D7" s="289" t="n">
        <v>4047392.4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3955907</v>
      </c>
      <c r="C8" s="289" t="n">
        <v>211860</v>
      </c>
      <c r="D8" s="289" t="n">
        <v>4167767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4341769.88</v>
      </c>
      <c r="C9" s="289" t="n">
        <v>247268</v>
      </c>
      <c r="D9" s="289" t="n">
        <v>4589037.88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3965761.42</v>
      </c>
      <c r="C10" s="289" t="n">
        <v>216964</v>
      </c>
      <c r="D10" s="289" t="n">
        <v>4182725.42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4053593.62</v>
      </c>
      <c r="C11" s="289" t="n">
        <v>211860</v>
      </c>
      <c r="D11" s="289" t="n">
        <v>4265453.62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4097440.2</v>
      </c>
      <c r="C12" s="289" t="n">
        <v>247352</v>
      </c>
      <c r="D12" s="289" t="n">
        <v>4344792.2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4122904.42</v>
      </c>
      <c r="C13" s="286" t="n">
        <v>0</v>
      </c>
      <c r="D13" s="286" t="n">
        <v>4122904.42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3990153.52</v>
      </c>
      <c r="C14" s="286" t="n">
        <v>0</v>
      </c>
      <c r="D14" s="286" t="n">
        <v>3990153.52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3995649.74</v>
      </c>
      <c r="C15" s="289" t="n">
        <v>71724</v>
      </c>
      <c r="D15" s="289" t="n">
        <v>4067373.74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1340</v>
      </c>
      <c r="C16" s="289" t="n">
        <v>3797582.36</v>
      </c>
      <c r="D16" s="289" t="n">
        <v>3798922.36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4177424.64</v>
      </c>
      <c r="D17" s="295" t="n">
        <v>4177424.64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5356091.08</v>
      </c>
      <c r="D18" s="295" t="n">
        <v>5356091.08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0.1074</v>
      </c>
      <c r="F24" s="310" t="n">
        <v>158603795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7080960</v>
      </c>
      <c r="E25" s="335" t="n">
        <v>0.1023</v>
      </c>
      <c r="F25" s="310" t="n">
        <v>69205650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0.172</v>
      </c>
      <c r="F26" s="310" t="n">
        <v>25849875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0.1521</v>
      </c>
      <c r="F27" s="310" t="n">
        <v>26355840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3531000</v>
      </c>
      <c r="E28" s="335" t="n">
        <v>0.1271</v>
      </c>
      <c r="F28" s="310" t="n">
        <v>27780000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0.2688</v>
      </c>
      <c r="F29" s="310" t="n">
        <v>9456660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2200704</v>
      </c>
      <c r="E30" s="335" t="n">
        <v>0.1743</v>
      </c>
      <c r="F30" s="310" t="n">
        <v>12622720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0.0929</v>
      </c>
      <c r="F31" s="310" t="n">
        <v>20100000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0.0745</v>
      </c>
      <c r="F32" s="310" t="n">
        <v>20650000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1260930</v>
      </c>
      <c r="E33" s="335" t="n">
        <v>0.0316</v>
      </c>
      <c r="F33" s="310" t="n">
        <v>39929450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0.0205</v>
      </c>
      <c r="F34" s="310" t="n">
        <v>51742820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0.1345</v>
      </c>
      <c r="F35" s="310" t="n">
        <v>7113600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0.0317</v>
      </c>
      <c r="F36" s="310" t="n">
        <v>17263400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516800</v>
      </c>
      <c r="E37" s="335" t="n">
        <v>0.1067</v>
      </c>
      <c r="F37" s="310" t="n">
        <v>4845000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31134485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1340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19175.4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3135.6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1380.2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1661.6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2385.2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2438.8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19175.4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5467.2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5493.999999999999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1281.04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2438.8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8265.120000000001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25627.5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19246.42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1340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11993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19246.42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3256.2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1661.6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1380.2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2385.2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2438.8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19246.42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5467.2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5493.999999999999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1340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1279.7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11993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11443.6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8136.48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19246.42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1340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19246.42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3256.2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1661.6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11637.9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1380.2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2385.2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2438.8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5467.2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19246.42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5493.999999999999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1340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1483.38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5065.2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8586.720000000001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11993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19317.44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10854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1340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19033.36</v>
      </c>
      <c r="H275" s="294" t="inlineStr">
        <is>
          <t>예측</t>
        </is>
      </c>
    </row>
    <row r="276">
      <c r="A276" s="351" t="n">
        <v>46309</v>
      </c>
      <c r="B276" s="294" t="n">
        <v>10</v>
      </c>
      <c r="C276" s="294" t="inlineStr">
        <is>
          <t>0008S0</t>
        </is>
      </c>
      <c r="D276" s="294" t="inlineStr">
        <is>
          <t>TIGER 미국배당다우존스타겟데일리커버드콜</t>
        </is>
      </c>
      <c r="E276" s="295" t="n">
        <v>261000</v>
      </c>
      <c r="F276" s="349" t="n"/>
      <c r="G276" s="295" t="n">
        <v>261000</v>
      </c>
      <c r="H276" s="294" t="inlineStr">
        <is>
          <t>예측</t>
        </is>
      </c>
    </row>
    <row r="277">
      <c r="A277" s="351" t="n">
        <v>46309</v>
      </c>
      <c r="B277" s="294" t="n">
        <v>10</v>
      </c>
      <c r="C277" s="294" t="inlineStr">
        <is>
          <t>474220</t>
        </is>
      </c>
      <c r="D277" s="294" t="inlineStr">
        <is>
          <t>TIGER미국테크TOP10커버드콜</t>
        </is>
      </c>
      <c r="E277" s="295" t="n">
        <v>527845</v>
      </c>
      <c r="F277" s="349" t="n"/>
      <c r="G277" s="295" t="n">
        <v>527845</v>
      </c>
      <c r="H277" s="294" t="inlineStr">
        <is>
          <t>예측</t>
        </is>
      </c>
    </row>
    <row r="278">
      <c r="A278" s="351" t="n">
        <v>46309</v>
      </c>
      <c r="B278" s="294" t="n">
        <v>10</v>
      </c>
      <c r="C278" s="294" t="inlineStr">
        <is>
          <t>490490</t>
        </is>
      </c>
      <c r="D278" s="294" t="inlineStr">
        <is>
          <t>SOL미국배당미국채혼합50</t>
        </is>
      </c>
      <c r="E278" s="295" t="n">
        <v>80241</v>
      </c>
      <c r="F278" s="349" t="n"/>
      <c r="G278" s="295" t="n">
        <v>80241</v>
      </c>
      <c r="H278" s="294" t="inlineStr">
        <is>
          <t>예측</t>
        </is>
      </c>
    </row>
    <row r="279">
      <c r="A279" s="351" t="n">
        <v>46309</v>
      </c>
      <c r="B279" s="294" t="n">
        <v>10</v>
      </c>
      <c r="C279" s="294" t="inlineStr">
        <is>
          <t>498400</t>
        </is>
      </c>
      <c r="D279" s="294" t="inlineStr">
        <is>
          <t>KODEX 200타켓위클리커버드콜</t>
        </is>
      </c>
      <c r="E279" s="295" t="n">
        <v>121088</v>
      </c>
      <c r="F279" s="349" t="n"/>
      <c r="G279" s="295" t="n">
        <v>121088</v>
      </c>
      <c r="H279" s="294" t="inlineStr">
        <is>
          <t>예측</t>
        </is>
      </c>
    </row>
    <row r="280">
      <c r="A280" s="351" t="n">
        <v>46325</v>
      </c>
      <c r="B280" s="294" t="n">
        <v>10</v>
      </c>
      <c r="C280" s="294" t="inlineStr">
        <is>
          <t>133690</t>
        </is>
      </c>
      <c r="D280" s="294" t="inlineStr">
        <is>
          <t>TIGER 미국나스닥100</t>
        </is>
      </c>
      <c r="E280" s="295" t="n">
        <v>11457</v>
      </c>
      <c r="F280" s="349" t="n"/>
      <c r="G280" s="295" t="n">
        <v>11457</v>
      </c>
      <c r="H280" s="294" t="inlineStr">
        <is>
          <t>예측</t>
        </is>
      </c>
    </row>
    <row r="281">
      <c r="A281" s="351" t="n">
        <v>46325</v>
      </c>
      <c r="B281" s="294" t="n">
        <v>10</v>
      </c>
      <c r="C281" s="294" t="inlineStr">
        <is>
          <t>329200</t>
        </is>
      </c>
      <c r="D281" s="294" t="inlineStr">
        <is>
          <t>TIGER리츠부동산인프라</t>
        </is>
      </c>
      <c r="E281" s="295" t="n">
        <v>155000</v>
      </c>
      <c r="F281" s="349" t="n"/>
      <c r="G281" s="295" t="n">
        <v>155000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360750</t>
        </is>
      </c>
      <c r="D282" s="294" t="inlineStr">
        <is>
          <t>TIGER미국S&amp;P500</t>
        </is>
      </c>
      <c r="E282" s="295" t="n">
        <v>13812</v>
      </c>
      <c r="F282" s="349" t="n"/>
      <c r="G282" s="295" t="n">
        <v>13812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367380</t>
        </is>
      </c>
      <c r="D283" s="294" t="inlineStr">
        <is>
          <t>ACE 미국나스닥100</t>
        </is>
      </c>
      <c r="E283" s="295" t="n">
        <v>12337</v>
      </c>
      <c r="F283" s="349" t="n"/>
      <c r="G283" s="295" t="n">
        <v>12337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379810</t>
        </is>
      </c>
      <c r="D284" s="294" t="inlineStr">
        <is>
          <t>KODEX 미국나스닥100</t>
        </is>
      </c>
      <c r="E284" s="295" t="n">
        <v>32697</v>
      </c>
      <c r="F284" s="349" t="n"/>
      <c r="G284" s="295" t="n">
        <v>32697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433330</t>
        </is>
      </c>
      <c r="D285" s="294" t="inlineStr">
        <is>
          <t>SOL 미국 S&amp;P500</t>
        </is>
      </c>
      <c r="E285" s="295" t="n">
        <v>15807</v>
      </c>
      <c r="F285" s="349" t="n"/>
      <c r="G285" s="295" t="n">
        <v>15807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446720</t>
        </is>
      </c>
      <c r="D286" s="294" t="inlineStr">
        <is>
          <t>SOL 미국배당다우존스</t>
        </is>
      </c>
      <c r="E286" s="295" t="n">
        <v>43890</v>
      </c>
      <c r="F286" s="349" t="n"/>
      <c r="G286" s="295" t="n">
        <v>43890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458760</t>
        </is>
      </c>
      <c r="D287" s="294" t="inlineStr">
        <is>
          <t>TIGER 미배당다우커버드콜2호</t>
        </is>
      </c>
      <c r="E287" s="295" t="n">
        <v>1345575</v>
      </c>
      <c r="F287" s="349" t="n"/>
      <c r="G287" s="295" t="n">
        <v>1345575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468380</t>
        </is>
      </c>
      <c r="D288" s="294" t="inlineStr">
        <is>
          <t>KODEX iShares미국하이일드액티브</t>
        </is>
      </c>
      <c r="E288" s="295" t="n">
        <v>120000</v>
      </c>
      <c r="F288" s="349" t="n"/>
      <c r="G288" s="295" t="n">
        <v>120000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473330</t>
        </is>
      </c>
      <c r="D289" s="294" t="inlineStr">
        <is>
          <t>SOL 미국 30년국채커버드콜(합성)</t>
        </is>
      </c>
      <c r="E289" s="295" t="n">
        <v>78720</v>
      </c>
      <c r="F289" s="349" t="n"/>
      <c r="G289" s="295" t="n">
        <v>78720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475380</t>
        </is>
      </c>
      <c r="D290" s="294" t="inlineStr">
        <is>
          <t>RISE 글로벌리얼티인컴</t>
        </is>
      </c>
      <c r="E290" s="295" t="n">
        <v>3737</v>
      </c>
      <c r="F290" s="349" t="n"/>
      <c r="G290" s="295" t="n">
        <v>3737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476690</t>
        </is>
      </c>
      <c r="D291" s="294" t="inlineStr">
        <is>
          <t>TIGER 글로벌비만치료제 TOP2 Plus</t>
        </is>
      </c>
      <c r="E291" s="295" t="n">
        <v>1200</v>
      </c>
      <c r="F291" s="349" t="n"/>
      <c r="G291" s="295" t="n">
        <v>1200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482730</t>
        </is>
      </c>
      <c r="D292" s="294" t="inlineStr">
        <is>
          <t>미국S&amp;P500타겟데일리커버드콜</t>
        </is>
      </c>
      <c r="E292" s="295" t="n">
        <v>40375</v>
      </c>
      <c r="F292" s="349" t="n"/>
      <c r="G292" s="295" t="n">
        <v>40375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3075.3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18962.34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1648.2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1353.4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2237.8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2331.6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5092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5427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8731.440000000001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18962.34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5018.3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11122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2026-10-14T01:04:51Z</dcterms:modified>
  <cp:lastModifiedBy>Hyoyol Park</cp:lastModifiedBy>
</cp:coreProperties>
</file>