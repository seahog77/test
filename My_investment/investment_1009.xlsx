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￦1,328</t>
        </is>
      </c>
      <c r="J5" s="73" t="n">
        <v>1328.38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10535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10540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9450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10800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13905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10185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4000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25890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14585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10535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13245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21150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11140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29775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25367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11185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10535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14585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16435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7495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111100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12625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11740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163000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10650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10000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9555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211500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211500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15965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368.0599975585938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55.5099983215332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30.78000068664551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342.9400024414062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19900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183900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89.79000091552734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89.79000091552734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160200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6507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147.9600067138672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183.0299987792969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217.0899963378906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34.2400016784668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533.52001953125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156.0899963378906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38.41999816894531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194.1499938964844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51.36000061035156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11.27999973297119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37.20999908447266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420.2200012207031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168.4499969482422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110.120002746582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129.5899963378906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4.610000133514404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97.87000274658203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5.690000057220459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13740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27.23999977111816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14630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172982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30420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21140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224.3699951171875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178.2799987792969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118.6999969482422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303" t="n">
        <v>17</v>
      </c>
      <c r="B37" s="303">
        <f>IFERROR(INDEX('계좌현황'!A:A,INDEX($L$21:$L$95,MATCH(LARGE($N$21:$N$95,17),$N$21:$N$95,0))),"")</f>
        <v/>
      </c>
      <c r="C37" s="303">
        <f>IFERROR(INDEX('계좌현황'!C:C,INDEX($L$21:$L$95,MATCH(LARGE($N$21:$N$95,17),$N$21:$N$95,0))),"")</f>
        <v/>
      </c>
      <c r="D37" s="303">
        <f>IFERROR(INDEX('계좌현황'!D:D,INDEX($L$21:$L$95,MATCH(LARGE($N$21:$N$95,17),$N$21:$N$95,0))),"")</f>
        <v/>
      </c>
      <c r="E37" s="303">
        <f>IFERROR(INDEX('계좌현황'!E:E,INDEX($L$21:$L$95,MATCH(LARGE($N$21:$N$95,17),$N$21:$N$95,0))),"")</f>
        <v/>
      </c>
      <c r="F37" s="327">
        <f>IFERROR(INDEX('계좌현황'!F:F,INDEX($L$21:$L$95,MATCH(LARGE($N$21:$N$95,17),$N$21:$N$95,0))),"")</f>
        <v/>
      </c>
      <c r="G37" s="328">
        <f>IFERROR(INDEX('계좌현황'!K:K,INDEX($L$21:$L$95,MATCH(LARGE($N$21:$N$95,17),$N$21:$N$95,0))),0)</f>
        <v/>
      </c>
      <c r="H37" s="329">
        <f>IF($B$3=0,0,G37/$B$3)</f>
        <v/>
      </c>
      <c r="I37" s="329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7" t="n">
        <v>22</v>
      </c>
      <c r="B42" s="297">
        <f>IFERROR(INDEX('계좌현황'!A:A,INDEX($L$21:$L$95,MATCH(LARGE($N$21:$N$95,22),$N$21:$N$95,0))),"")</f>
        <v/>
      </c>
      <c r="C42" s="297">
        <f>IFERROR(INDEX('계좌현황'!C:C,INDEX($L$21:$L$95,MATCH(LARGE($N$21:$N$95,22),$N$21:$N$95,0))),"")</f>
        <v/>
      </c>
      <c r="D42" s="297">
        <f>IFERROR(INDEX('계좌현황'!D:D,INDEX($L$21:$L$95,MATCH(LARGE($N$21:$N$95,22),$N$21:$N$95,0))),"")</f>
        <v/>
      </c>
      <c r="E42" s="297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7" t="n">
        <v>25</v>
      </c>
      <c r="B45" s="297">
        <f>IFERROR(INDEX('계좌현황'!A:A,INDEX($L$21:$L$95,MATCH(LARGE($N$21:$N$95,25),$N$21:$N$95,0))),"")</f>
        <v/>
      </c>
      <c r="C45" s="297">
        <f>IFERROR(INDEX('계좌현황'!C:C,INDEX($L$21:$L$95,MATCH(LARGE($N$21:$N$95,25),$N$21:$N$95,0))),"")</f>
        <v/>
      </c>
      <c r="D45" s="297">
        <f>IFERROR(INDEX('계좌현황'!D:D,INDEX($L$21:$L$95,MATCH(LARGE($N$21:$N$95,25),$N$21:$N$95,0))),"")</f>
        <v/>
      </c>
      <c r="E45" s="297">
        <f>IFERROR(INDEX('계좌현황'!E:E,INDEX($L$21:$L$95,MATCH(LARGE($N$21:$N$95,25),$N$21:$N$95,0))),"")</f>
        <v/>
      </c>
      <c r="F45" s="324">
        <f>IFERROR(INDEX('계좌현황'!F:F,INDEX($L$21:$L$95,MATCH(LARGE($N$21:$N$95,25),$N$21:$N$95,0))),"")</f>
        <v/>
      </c>
      <c r="G45" s="325">
        <f>IFERROR(INDEX('계좌현황'!K:K,INDEX($L$21:$L$95,MATCH(LARGE($N$21:$N$95,25),$N$21:$N$95,0))),0)</f>
        <v/>
      </c>
      <c r="H45" s="326">
        <f>IF($B$3=0,0,G45/$B$3)</f>
        <v/>
      </c>
      <c r="I45" s="326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4" t="n">
        <v>26</v>
      </c>
      <c r="B46" s="294">
        <f>IFERROR(INDEX('계좌현황'!A:A,INDEX($L$21:$L$95,MATCH(LARGE($N$21:$N$95,26),$N$21:$N$95,0))),"")</f>
        <v/>
      </c>
      <c r="C46" s="294">
        <f>IFERROR(INDEX('계좌현황'!C:C,INDEX($L$21:$L$95,MATCH(LARGE($N$21:$N$95,26),$N$21:$N$95,0))),"")</f>
        <v/>
      </c>
      <c r="D46" s="294">
        <f>IFERROR(INDEX('계좌현황'!D:D,INDEX($L$21:$L$95,MATCH(LARGE($N$21:$N$95,26),$N$21:$N$95,0))),"")</f>
        <v/>
      </c>
      <c r="E46" s="294">
        <f>IFERROR(INDEX('계좌현황'!E:E,INDEX($L$21:$L$95,MATCH(LARGE($N$21:$N$95,26),$N$21:$N$95,0))),"")</f>
        <v/>
      </c>
      <c r="F46" s="321">
        <f>IFERROR(INDEX('계좌현황'!F:F,INDEX($L$21:$L$95,MATCH(LARGE($N$21:$N$95,26),$N$21:$N$95,0))),"")</f>
        <v/>
      </c>
      <c r="G46" s="322">
        <f>IFERROR(INDEX('계좌현황'!K:K,INDEX($L$21:$L$95,MATCH(LARGE($N$21:$N$95,26),$N$21:$N$95,0))),0)</f>
        <v/>
      </c>
      <c r="H46" s="323">
        <f>IF($B$3=0,0,G46/$B$3)</f>
        <v/>
      </c>
      <c r="I46" s="323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4" t="n">
        <v>30</v>
      </c>
      <c r="B50" s="294">
        <f>IFERROR(INDEX('계좌현황'!A:A,INDEX($L$21:$L$95,MATCH(LARGE($N$21:$N$95,30),$N$21:$N$95,0))),"")</f>
        <v/>
      </c>
      <c r="C50" s="294">
        <f>IFERROR(INDEX('계좌현황'!C:C,INDEX($L$21:$L$95,MATCH(LARGE($N$21:$N$95,30),$N$21:$N$95,0))),"")</f>
        <v/>
      </c>
      <c r="D50" s="294">
        <f>IFERROR(INDEX('계좌현황'!D:D,INDEX($L$21:$L$95,MATCH(LARGE($N$21:$N$95,30),$N$21:$N$95,0))),"")</f>
        <v/>
      </c>
      <c r="E50" s="294">
        <f>IFERROR(INDEX('계좌현황'!E:E,INDEX($L$21:$L$95,MATCH(LARGE($N$21:$N$95,30),$N$21:$N$95,0))),"")</f>
        <v/>
      </c>
      <c r="F50" s="321">
        <f>IFERROR(INDEX('계좌현황'!F:F,INDEX($L$21:$L$95,MATCH(LARGE($N$21:$N$95,30),$N$21:$N$95,0))),"")</f>
        <v/>
      </c>
      <c r="G50" s="322">
        <f>IFERROR(INDEX('계좌현황'!K:K,INDEX($L$21:$L$95,MATCH(LARGE($N$21:$N$95,30),$N$21:$N$95,0))),0)</f>
        <v/>
      </c>
      <c r="H50" s="323">
        <f>IF($B$3=0,0,G50/$B$3)</f>
        <v/>
      </c>
      <c r="I50" s="323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1" t="n">
        <v>31</v>
      </c>
      <c r="B51" s="291">
        <f>IFERROR(INDEX('계좌현황'!A:A,INDEX($L$21:$L$95,MATCH(LARGE($N$21:$N$95,31),$N$21:$N$95,0))),"")</f>
        <v/>
      </c>
      <c r="C51" s="291">
        <f>IFERROR(INDEX('계좌현황'!C:C,INDEX($L$21:$L$95,MATCH(LARGE($N$21:$N$95,31),$N$21:$N$95,0))),"")</f>
        <v/>
      </c>
      <c r="D51" s="291">
        <f>IFERROR(INDEX('계좌현황'!D:D,INDEX($L$21:$L$95,MATCH(LARGE($N$21:$N$95,31),$N$21:$N$95,0))),"")</f>
        <v/>
      </c>
      <c r="E51" s="291">
        <f>IFERROR(INDEX('계좌현황'!E:E,INDEX($L$21:$L$95,MATCH(LARGE($N$21:$N$95,31),$N$21:$N$95,0))),"")</f>
        <v/>
      </c>
      <c r="F51" s="330">
        <f>IFERROR(INDEX('계좌현황'!F:F,INDEX($L$21:$L$95,MATCH(LARGE($N$21:$N$95,31),$N$21:$N$95,0))),"")</f>
        <v/>
      </c>
      <c r="G51" s="331">
        <f>IFERROR(INDEX('계좌현황'!K:K,INDEX($L$21:$L$95,MATCH(LARGE($N$21:$N$95,31),$N$21:$N$95,0))),0)</f>
        <v/>
      </c>
      <c r="H51" s="332">
        <f>IF($B$3=0,0,G51/$B$3)</f>
        <v/>
      </c>
      <c r="I51" s="332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4" t="n">
        <v>35</v>
      </c>
      <c r="B55" s="294">
        <f>IFERROR(INDEX('계좌현황'!A:A,INDEX($L$21:$L$95,MATCH(LARGE($N$21:$N$95,35),$N$21:$N$95,0))),"")</f>
        <v/>
      </c>
      <c r="C55" s="294">
        <f>IFERROR(INDEX('계좌현황'!C:C,INDEX($L$21:$L$95,MATCH(LARGE($N$21:$N$95,35),$N$21:$N$95,0))),"")</f>
        <v/>
      </c>
      <c r="D55" s="294">
        <f>IFERROR(INDEX('계좌현황'!D:D,INDEX($L$21:$L$95,MATCH(LARGE($N$21:$N$95,35),$N$21:$N$95,0))),"")</f>
        <v/>
      </c>
      <c r="E55" s="294">
        <f>IFERROR(INDEX('계좌현황'!E:E,INDEX($L$21:$L$95,MATCH(LARGE($N$21:$N$95,35),$N$21:$N$95,0))),"")</f>
        <v/>
      </c>
      <c r="F55" s="321">
        <f>IFERROR(INDEX('계좌현황'!F:F,INDEX($L$21:$L$95,MATCH(LARGE($N$21:$N$95,35),$N$21:$N$95,0))),"")</f>
        <v/>
      </c>
      <c r="G55" s="322">
        <f>IFERROR(INDEX('계좌현황'!K:K,INDEX($L$21:$L$95,MATCH(LARGE($N$21:$N$95,35),$N$21:$N$95,0))),0)</f>
        <v/>
      </c>
      <c r="H55" s="323">
        <f>IF($B$3=0,0,G55/$B$3)</f>
        <v/>
      </c>
      <c r="I55" s="323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7" t="n">
        <v>37</v>
      </c>
      <c r="B57" s="297">
        <f>IFERROR(INDEX('계좌현황'!A:A,INDEX($L$21:$L$95,MATCH(LARGE($N$21:$N$95,37),$N$21:$N$95,0))),"")</f>
        <v/>
      </c>
      <c r="C57" s="297">
        <f>IFERROR(INDEX('계좌현황'!C:C,INDEX($L$21:$L$95,MATCH(LARGE($N$21:$N$95,37),$N$21:$N$95,0))),"")</f>
        <v/>
      </c>
      <c r="D57" s="297">
        <f>IFERROR(INDEX('계좌현황'!D:D,INDEX($L$21:$L$95,MATCH(LARGE($N$21:$N$95,37),$N$21:$N$95,0))),"")</f>
        <v/>
      </c>
      <c r="E57" s="297">
        <f>IFERROR(INDEX('계좌현황'!E:E,INDEX($L$21:$L$95,MATCH(LARGE($N$21:$N$95,37),$N$21:$N$95,0))),"")</f>
        <v/>
      </c>
      <c r="F57" s="324">
        <f>IFERROR(INDEX('계좌현황'!F:F,INDEX($L$21:$L$95,MATCH(LARGE($N$21:$N$95,37),$N$21:$N$95,0))),"")</f>
        <v/>
      </c>
      <c r="G57" s="325">
        <f>IFERROR(INDEX('계좌현황'!K:K,INDEX($L$21:$L$95,MATCH(LARGE($N$21:$N$95,37),$N$21:$N$95,0))),0)</f>
        <v/>
      </c>
      <c r="H57" s="326">
        <f>IF($B$3=0,0,G57/$B$3)</f>
        <v/>
      </c>
      <c r="I57" s="326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4" t="n">
        <v>42</v>
      </c>
      <c r="B62" s="294">
        <f>IFERROR(INDEX('계좌현황'!A:A,INDEX($L$21:$L$95,MATCH(LARGE($N$21:$N$95,42),$N$21:$N$95,0))),"")</f>
        <v/>
      </c>
      <c r="C62" s="294">
        <f>IFERROR(INDEX('계좌현황'!C:C,INDEX($L$21:$L$95,MATCH(LARGE($N$21:$N$95,42),$N$21:$N$95,0))),"")</f>
        <v/>
      </c>
      <c r="D62" s="294">
        <f>IFERROR(INDEX('계좌현황'!D:D,INDEX($L$21:$L$95,MATCH(LARGE($N$21:$N$95,42),$N$21:$N$95,0))),"")</f>
        <v/>
      </c>
      <c r="E62" s="294">
        <f>IFERROR(INDEX('계좌현황'!E:E,INDEX($L$21:$L$95,MATCH(LARGE($N$21:$N$95,42),$N$21:$N$95,0))),"")</f>
        <v/>
      </c>
      <c r="F62" s="321">
        <f>IFERROR(INDEX('계좌현황'!F:F,INDEX($L$21:$L$95,MATCH(LARGE($N$21:$N$95,42),$N$21:$N$95,0))),"")</f>
        <v/>
      </c>
      <c r="G62" s="322">
        <f>IFERROR(INDEX('계좌현황'!K:K,INDEX($L$21:$L$95,MATCH(LARGE($N$21:$N$95,42),$N$21:$N$95,0))),0)</f>
        <v/>
      </c>
      <c r="H62" s="323">
        <f>IF($B$3=0,0,G62/$B$3)</f>
        <v/>
      </c>
      <c r="I62" s="323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7" t="n">
        <v>43</v>
      </c>
      <c r="B63" s="297">
        <f>IFERROR(INDEX('계좌현황'!A:A,INDEX($L$21:$L$95,MATCH(LARGE($N$21:$N$95,43),$N$21:$N$95,0))),"")</f>
        <v/>
      </c>
      <c r="C63" s="297">
        <f>IFERROR(INDEX('계좌현황'!C:C,INDEX($L$21:$L$95,MATCH(LARGE($N$21:$N$95,43),$N$21:$N$95,0))),"")</f>
        <v/>
      </c>
      <c r="D63" s="297">
        <f>IFERROR(INDEX('계좌현황'!D:D,INDEX($L$21:$L$95,MATCH(LARGE($N$21:$N$95,43),$N$21:$N$95,0))),"")</f>
        <v/>
      </c>
      <c r="E63" s="297">
        <f>IFERROR(INDEX('계좌현황'!E:E,INDEX($L$21:$L$95,MATCH(LARGE($N$21:$N$95,43),$N$21:$N$95,0))),"")</f>
        <v/>
      </c>
      <c r="F63" s="324">
        <f>IFERROR(INDEX('계좌현황'!F:F,INDEX($L$21:$L$95,MATCH(LARGE($N$21:$N$95,43),$N$21:$N$95,0))),"")</f>
        <v/>
      </c>
      <c r="G63" s="325">
        <f>IFERROR(INDEX('계좌현황'!K:K,INDEX($L$21:$L$95,MATCH(LARGE($N$21:$N$95,43),$N$21:$N$95,0))),0)</f>
        <v/>
      </c>
      <c r="H63" s="326">
        <f>IF($B$3=0,0,G63/$B$3)</f>
        <v/>
      </c>
      <c r="I63" s="326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1,328원/$  | 연간 합계 51,227,612원 · 월평균 4,268,968원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3835348.68</v>
      </c>
      <c r="C7" s="289" t="n">
        <v>211860</v>
      </c>
      <c r="D7" s="289" t="n">
        <v>4047208.68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3955587.8</v>
      </c>
      <c r="C8" s="289" t="n">
        <v>211860</v>
      </c>
      <c r="D8" s="289" t="n">
        <v>4167447.8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4341211.496</v>
      </c>
      <c r="C9" s="289" t="n">
        <v>247268</v>
      </c>
      <c r="D9" s="289" t="n">
        <v>4588479.496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3965469.664</v>
      </c>
      <c r="C10" s="289" t="n">
        <v>216964</v>
      </c>
      <c r="D10" s="289" t="n">
        <v>4182433.664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4053272.704</v>
      </c>
      <c r="C11" s="289" t="n">
        <v>211860</v>
      </c>
      <c r="D11" s="289" t="n">
        <v>4265132.704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4096912.44</v>
      </c>
      <c r="C12" s="289" t="n">
        <v>247352</v>
      </c>
      <c r="D12" s="289" t="n">
        <v>4344264.439999999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4122720.064</v>
      </c>
      <c r="C13" s="286" t="n">
        <v>0</v>
      </c>
      <c r="D13" s="286" t="n">
        <v>4122720.064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3989728.384</v>
      </c>
      <c r="C14" s="286" t="n">
        <v>0</v>
      </c>
      <c r="D14" s="286" t="n">
        <v>3989728.384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3995172.608</v>
      </c>
      <c r="C15" s="289" t="n">
        <v>71724</v>
      </c>
      <c r="D15" s="289" t="n">
        <v>4066896.608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1153771</v>
      </c>
      <c r="C16" s="289" t="n">
        <v>2766765.712</v>
      </c>
      <c r="D16" s="289" t="n">
        <v>3920536.712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4177113.888</v>
      </c>
      <c r="D17" s="295" t="n">
        <v>4177113.888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5355649.936000001</v>
      </c>
      <c r="D18" s="295" t="n">
        <v>5355649.936000001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0.1052</v>
      </c>
      <c r="F24" s="310" t="n">
        <v>162007230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0.106</v>
      </c>
      <c r="F25" s="310" t="n">
        <v>67236850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0.1731</v>
      </c>
      <c r="F26" s="310" t="n">
        <v>25671600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0.161</v>
      </c>
      <c r="F27" s="310" t="n">
        <v>24897810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0.1251</v>
      </c>
      <c r="F28" s="310" t="n">
        <v>28350000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0.3043</v>
      </c>
      <c r="F29" s="310" t="n">
        <v>8354988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0.2026</v>
      </c>
      <c r="F30" s="310" t="n">
        <v>11239360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0.0934</v>
      </c>
      <c r="F31" s="310" t="n">
        <v>20000000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0.0756</v>
      </c>
      <c r="F32" s="310" t="n">
        <v>20370000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0.0306</v>
      </c>
      <c r="F33" s="310" t="n">
        <v>40273340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0.0209</v>
      </c>
      <c r="F34" s="310" t="n">
        <v>50739345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0.133</v>
      </c>
      <c r="F35" s="310" t="n">
        <v>7195200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0.0311</v>
      </c>
      <c r="F36" s="310" t="n">
        <v>17615850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0.111</v>
      </c>
      <c r="F37" s="310" t="n">
        <v>4734500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0.009300000000000001</v>
      </c>
      <c r="F38" s="310" t="n">
        <v>30388790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1328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19003.68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3107.52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1367.84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1646.72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2363.84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2416.96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19003.68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5418.24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5444.799999999999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1269.568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2416.96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8191.104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25398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19074.064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1328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11885.6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19074.064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3227.04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1646.72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1367.84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2363.84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2416.96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19074.064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5418.24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5444.799999999999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1328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1268.24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11885.6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11341.12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8063.616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19074.064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1328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19074.064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3227.04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1646.72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11533.68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1367.84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2363.84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2416.96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5418.24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19074.064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5444.799999999999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1328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1470.096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5019.84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8509.824000000001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11885.6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19144.448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10756.8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1328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18862.912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32697</v>
      </c>
      <c r="F285" s="349" t="n"/>
      <c r="G285" s="295" t="n">
        <v>32697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3047.76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18792.528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1633.44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1341.28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2217.76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2310.72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5046.4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5378.4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8653.248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18792.528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4973.360000000001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11022.4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2026-10-20T06:04:35Z</dcterms:modified>
  <cp:lastModifiedBy>Hyoyol Park</cp:lastModifiedBy>
</cp:coreProperties>
</file>