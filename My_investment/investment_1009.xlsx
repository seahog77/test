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￦1,324</t>
        </is>
      </c>
      <c r="J5" s="73" t="n">
        <v>1323.68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10595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10590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9510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10695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13860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10175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3992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25750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14455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10600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13350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21100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11115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29610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25310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11065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10600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14455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16235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7530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108200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12670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11560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158600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9905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10220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9545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213500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213500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15902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386.4700012207031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55.34999847412109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32.27999877929688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343.989990234375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19790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176800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91.45999908447266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91.45999908447266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157600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6495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159.3099975585938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177.6399993896484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221.9700012207031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34.65999984741211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532.9500122070312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153.75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39.06000137329102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201.7200012207031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53.66999816894531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11.78999996185303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37.52999877929688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431.8900146484375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177.0800018310547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108.9100036621094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129.1300048828125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4.639999866485596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99.08000183105469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5.5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14400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27.72999954223633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14570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172130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30135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21105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226.7799987792969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178.0899963378906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117.8000030517578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9" t="n">
        <v>22</v>
      </c>
      <c r="B42" s="309">
        <f>IFERROR(INDEX('계좌현황'!A:A,INDEX($L$21:$L$95,MATCH(LARGE($N$21:$N$95,22),$N$21:$N$95,0))),"")</f>
        <v/>
      </c>
      <c r="C42" s="309">
        <f>IFERROR(INDEX('계좌현황'!C:C,INDEX($L$21:$L$95,MATCH(LARGE($N$21:$N$95,22),$N$21:$N$95,0))),"")</f>
        <v/>
      </c>
      <c r="D42" s="309">
        <f>IFERROR(INDEX('계좌현황'!D:D,INDEX($L$21:$L$95,MATCH(LARGE($N$21:$N$95,22),$N$21:$N$95,0))),"")</f>
        <v/>
      </c>
      <c r="E42" s="309">
        <f>IFERROR(INDEX('계좌현황'!E:E,INDEX($L$21:$L$95,MATCH(LARGE($N$21:$N$95,22),$N$21:$N$95,0))),"")</f>
        <v/>
      </c>
      <c r="F42" s="333">
        <f>IFERROR(INDEX('계좌현황'!F:F,INDEX($L$21:$L$95,MATCH(LARGE($N$21:$N$95,22),$N$21:$N$95,0))),"")</f>
        <v/>
      </c>
      <c r="G42" s="334">
        <f>IFERROR(INDEX('계좌현황'!K:K,INDEX($L$21:$L$95,MATCH(LARGE($N$21:$N$95,22),$N$21:$N$95,0))),0)</f>
        <v/>
      </c>
      <c r="H42" s="335">
        <f>IF($B$3=0,0,G42/$B$3)</f>
        <v/>
      </c>
      <c r="I42" s="335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7" t="n">
        <v>23</v>
      </c>
      <c r="B43" s="297">
        <f>IFERROR(INDEX('계좌현황'!A:A,INDEX($L$21:$L$95,MATCH(LARGE($N$21:$N$95,23),$N$21:$N$95,0))),"")</f>
        <v/>
      </c>
      <c r="C43" s="297">
        <f>IFERROR(INDEX('계좌현황'!C:C,INDEX($L$21:$L$95,MATCH(LARGE($N$21:$N$95,23),$N$21:$N$95,0))),"")</f>
        <v/>
      </c>
      <c r="D43" s="297">
        <f>IFERROR(INDEX('계좌현황'!D:D,INDEX($L$21:$L$95,MATCH(LARGE($N$21:$N$95,23),$N$21:$N$95,0))),"")</f>
        <v/>
      </c>
      <c r="E43" s="297">
        <f>IFERROR(INDEX('계좌현황'!E:E,INDEX($L$21:$L$95,MATCH(LARGE($N$21:$N$95,23),$N$21:$N$95,0))),"")</f>
        <v/>
      </c>
      <c r="F43" s="324">
        <f>IFERROR(INDEX('계좌현황'!F:F,INDEX($L$21:$L$95,MATCH(LARGE($N$21:$N$95,23),$N$21:$N$95,0))),"")</f>
        <v/>
      </c>
      <c r="G43" s="325">
        <f>IFERROR(INDEX('계좌현황'!K:K,INDEX($L$21:$L$95,MATCH(LARGE($N$21:$N$95,23),$N$21:$N$95,0))),0)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1,324원/$  | 연간 합계 51,226,172원 · 월평균 4,268,848원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3835287.44</v>
      </c>
      <c r="C7" s="289" t="n">
        <v>211860</v>
      </c>
      <c r="D7" s="289" t="n">
        <v>4047147.44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3955481.4</v>
      </c>
      <c r="C8" s="289" t="n">
        <v>211860</v>
      </c>
      <c r="D8" s="289" t="n">
        <v>4167341.4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4341025.368</v>
      </c>
      <c r="C9" s="289" t="n">
        <v>247268</v>
      </c>
      <c r="D9" s="289" t="n">
        <v>4588293.368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3965372.412</v>
      </c>
      <c r="C10" s="289" t="n">
        <v>216964</v>
      </c>
      <c r="D10" s="289" t="n">
        <v>4182336.412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4053165.732</v>
      </c>
      <c r="C11" s="289" t="n">
        <v>211860</v>
      </c>
      <c r="D11" s="289" t="n">
        <v>4265025.732000001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4096736.52</v>
      </c>
      <c r="C12" s="289" t="n">
        <v>247352</v>
      </c>
      <c r="D12" s="289" t="n">
        <v>4344088.52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4122658.612</v>
      </c>
      <c r="C13" s="286" t="n">
        <v>0</v>
      </c>
      <c r="D13" s="286" t="n">
        <v>4122658.612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3989586.672</v>
      </c>
      <c r="C14" s="286" t="n">
        <v>0</v>
      </c>
      <c r="D14" s="286" t="n">
        <v>3989586.672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3995013.564</v>
      </c>
      <c r="C15" s="289" t="n">
        <v>71724</v>
      </c>
      <c r="D15" s="289" t="n">
        <v>4066737.564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1153767</v>
      </c>
      <c r="C16" s="289" t="n">
        <v>2766676.496</v>
      </c>
      <c r="D16" s="289" t="n">
        <v>3920443.496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4177010.304</v>
      </c>
      <c r="D17" s="295" t="n">
        <v>4177010.304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5355502.888</v>
      </c>
      <c r="D18" s="295" t="n">
        <v>5355502.888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0.1046</v>
      </c>
      <c r="F24" s="310" t="n">
        <v>162960005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0.107</v>
      </c>
      <c r="F25" s="310" t="n">
        <v>66637550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0.1748</v>
      </c>
      <c r="F26" s="310" t="n">
        <v>25422015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0.1628</v>
      </c>
      <c r="F27" s="310" t="n">
        <v>24630690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0.1243</v>
      </c>
      <c r="F28" s="310" t="n">
        <v>28530000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0.3048</v>
      </c>
      <c r="F29" s="310" t="n">
        <v>8339580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0.2034</v>
      </c>
      <c r="F30" s="310" t="n">
        <v>11195008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0.09359999999999999</v>
      </c>
      <c r="F31" s="310" t="n">
        <v>19960000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0.0756</v>
      </c>
      <c r="F32" s="310" t="n">
        <v>20350000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0.0305</v>
      </c>
      <c r="F33" s="310" t="n">
        <v>40464390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</v>
      </c>
      <c r="F34" s="310" t="n">
        <v>50575140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0.1323</v>
      </c>
      <c r="F35" s="310" t="n">
        <v>7228800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0.0308</v>
      </c>
      <c r="F36" s="310" t="n">
        <v>17755500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0.1112</v>
      </c>
      <c r="F37" s="310" t="n">
        <v>4723875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30322580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1324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18946.44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3098.16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1363.72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1641.76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2356.72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2409.68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18946.44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5401.92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5428.4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1265.744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2409.68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8166.432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25321.5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19016.612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1324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11849.8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19016.612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3217.32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1641.76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1363.72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2356.72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2409.68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19016.612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5401.92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5428.4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1324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1264.42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11849.8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11306.96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8039.328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19016.612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1324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19016.612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3217.32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1641.76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11498.94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1363.72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2356.72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2409.68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5401.92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19016.612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5428.4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1324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1465.668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5004.719999999999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8484.192000000001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11849.8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19086.784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10724.4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1324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18806.096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3038.58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18735.924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1628.52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1337.24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2211.08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2303.76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5031.2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5362.2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8627.183999999999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18735.924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4958.38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10989.2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2026-10-22T06:04:16Z</dcterms:modified>
  <cp:lastModifiedBy>Hyoyol Park</cp:lastModifiedBy>
</cp:coreProperties>
</file>