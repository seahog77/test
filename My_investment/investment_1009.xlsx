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8" fontId="0" fillId="25" borderId="16" pivotButton="0" quotePrefix="0" xfId="0"/>
    <xf numFmtId="176" fontId="0" fillId="25" borderId="16" pivotButton="0" quotePrefix="0" xfId="0"/>
    <xf numFmtId="178" fontId="0" fillId="28" borderId="16" pivotButton="0" quotePrefix="0" xfId="0"/>
    <xf numFmtId="176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￦1,344</t>
        </is>
      </c>
      <c r="J5" s="73" t="n">
        <v>1344.1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10070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10305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9125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11075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14130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10310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4035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27525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15080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10070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12680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21565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11460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31640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25865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11910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10070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15080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18060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7240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106800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14430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11845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166800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10945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9750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9480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262000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262000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19805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375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54.16999816894531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39.45000076293945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340.4200134277344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19750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163900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97.54000091552734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97.54000091552734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162800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8090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79900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160.5700073242188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166.7299957275391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230.4799957275391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33.15000152587891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522.6099853515625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171.3099975585938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38.18000030517578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198.7799987792969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68.40000152587891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11.34000015258789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34.7400016784668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457.989990234375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172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142.0899963378906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135.6900024414062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5.75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93.20999908447266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7.320000171661377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14100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34.56999969482422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15130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184090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31815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21565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211.5500030517578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168.5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110.5599975585938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4" t="n">
        <v>7</v>
      </c>
      <c r="B27" s="294">
        <f>IFERROR(INDEX('계좌현황'!A:A,INDEX($L$21:$L$95,MATCH(LARGE($N$21:$N$95,7),$N$21:$N$95,0))),"")</f>
        <v/>
      </c>
      <c r="C27" s="294">
        <f>IFERROR(INDEX('계좌현황'!C:C,INDEX($L$21:$L$95,MATCH(LARGE($N$21:$N$95,7),$N$21:$N$95,0))),"")</f>
        <v/>
      </c>
      <c r="D27" s="294">
        <f>IFERROR(INDEX('계좌현황'!D:D,INDEX($L$21:$L$95,MATCH(LARGE($N$21:$N$95,7),$N$21:$N$95,0))),"")</f>
        <v/>
      </c>
      <c r="E27" s="294">
        <f>IFERROR(INDEX('계좌현황'!E:E,INDEX($L$21:$L$95,MATCH(LARGE($N$21:$N$95,7),$N$21:$N$95,0))),"")</f>
        <v/>
      </c>
      <c r="F27" s="321">
        <f>IFERROR(INDEX('계좌현황'!F:F,INDEX($L$21:$L$95,MATCH(LARGE($N$21:$N$95,7),$N$21:$N$95,0))),"")</f>
        <v/>
      </c>
      <c r="G27" s="322">
        <f>IFERROR(INDEX('계좌현황'!K:K,INDEX($L$21:$L$95,MATCH(LARGE($N$21:$N$95,7),$N$21:$N$95,0))),0)</f>
        <v/>
      </c>
      <c r="H27" s="323">
        <f>IF($B$3=0,0,G27/$B$3)</f>
        <v/>
      </c>
      <c r="I27" s="323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5" t="n">
        <v>8</v>
      </c>
      <c r="B28" s="285">
        <f>IFERROR(INDEX('계좌현황'!A:A,INDEX($L$21:$L$95,MATCH(LARGE($N$21:$N$95,8),$N$21:$N$95,0))),"")</f>
        <v/>
      </c>
      <c r="C28" s="285">
        <f>IFERROR(INDEX('계좌현황'!C:C,INDEX($L$21:$L$95,MATCH(LARGE($N$21:$N$95,8),$N$21:$N$95,0))),"")</f>
        <v/>
      </c>
      <c r="D28" s="285">
        <f>IFERROR(INDEX('계좌현황'!D:D,INDEX($L$21:$L$95,MATCH(LARGE($N$21:$N$95,8),$N$21:$N$95,0))),"")</f>
        <v/>
      </c>
      <c r="E28" s="285">
        <f>IFERROR(INDEX('계좌현황'!E:E,INDEX($L$21:$L$95,MATCH(LARGE($N$21:$N$95,8),$N$21:$N$95,0))),"")</f>
        <v/>
      </c>
      <c r="F28" s="315">
        <f>IFERROR(INDEX('계좌현황'!F:F,INDEX($L$21:$L$95,MATCH(LARGE($N$21:$N$95,8),$N$21:$N$95,0))),"")</f>
        <v/>
      </c>
      <c r="G28" s="316">
        <f>IFERROR(INDEX('계좌현황'!K:K,INDEX($L$21:$L$95,MATCH(LARGE($N$21:$N$95,8),$N$21:$N$95,0))),0)</f>
        <v/>
      </c>
      <c r="H28" s="317">
        <f>IF($B$3=0,0,G28/$B$3)</f>
        <v/>
      </c>
      <c r="I28" s="317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5" t="n">
        <v>10</v>
      </c>
      <c r="B30" s="285">
        <f>IFERROR(INDEX('계좌현황'!A:A,INDEX($L$21:$L$95,MATCH(LARGE($N$21:$N$95,10),$N$21:$N$95,0))),"")</f>
        <v/>
      </c>
      <c r="C30" s="285">
        <f>IFERROR(INDEX('계좌현황'!C:C,INDEX($L$21:$L$95,MATCH(LARGE($N$21:$N$95,10),$N$21:$N$95,0))),"")</f>
        <v/>
      </c>
      <c r="D30" s="285">
        <f>IFERROR(INDEX('계좌현황'!D:D,INDEX($L$21:$L$95,MATCH(LARGE($N$21:$N$95,10),$N$21:$N$95,0))),"")</f>
        <v/>
      </c>
      <c r="E30" s="285">
        <f>IFERROR(INDEX('계좌현황'!E:E,INDEX($L$21:$L$95,MATCH(LARGE($N$21:$N$95,10),$N$21:$N$95,0))),"")</f>
        <v/>
      </c>
      <c r="F30" s="315">
        <f>IFERROR(INDEX('계좌현황'!F:F,INDEX($L$21:$L$95,MATCH(LARGE($N$21:$N$95,10),$N$21:$N$95,0))),"")</f>
        <v/>
      </c>
      <c r="G30" s="316">
        <f>IFERROR(INDEX('계좌현황'!K:K,INDEX($L$21:$L$95,MATCH(LARGE($N$21:$N$95,10),$N$21:$N$95,0))),0)</f>
        <v/>
      </c>
      <c r="H30" s="317">
        <f>IF($B$3=0,0,G30/$B$3)</f>
        <v/>
      </c>
      <c r="I30" s="317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94" t="n">
        <v>11</v>
      </c>
      <c r="B31" s="294">
        <f>IFERROR(INDEX('계좌현황'!A:A,INDEX($L$21:$L$95,MATCH(LARGE($N$21:$N$95,11),$N$21:$N$95,0))),"")</f>
        <v/>
      </c>
      <c r="C31" s="294">
        <f>IFERROR(INDEX('계좌현황'!C:C,INDEX($L$21:$L$95,MATCH(LARGE($N$21:$N$95,11),$N$21:$N$95,0))),"")</f>
        <v/>
      </c>
      <c r="D31" s="294">
        <f>IFERROR(INDEX('계좌현황'!D:D,INDEX($L$21:$L$95,MATCH(LARGE($N$21:$N$95,11),$N$21:$N$95,0))),"")</f>
        <v/>
      </c>
      <c r="E31" s="294">
        <f>IFERROR(INDEX('계좌현황'!E:E,INDEX($L$21:$L$95,MATCH(LARGE($N$21:$N$95,11),$N$21:$N$95,0))),"")</f>
        <v/>
      </c>
      <c r="F31" s="321">
        <f>IFERROR(INDEX('계좌현황'!F:F,INDEX($L$21:$L$95,MATCH(LARGE($N$21:$N$95,11),$N$21:$N$95,0))),"")</f>
        <v/>
      </c>
      <c r="G31" s="322">
        <f>IFERROR(INDEX('계좌현황'!K:K,INDEX($L$21:$L$95,MATCH(LARGE($N$21:$N$95,11),$N$21:$N$95,0))),0)</f>
        <v/>
      </c>
      <c r="H31" s="323">
        <f>IF($B$3=0,0,G31/$B$3)</f>
        <v/>
      </c>
      <c r="I31" s="323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97" t="n">
        <v>15</v>
      </c>
      <c r="B35" s="297">
        <f>IFERROR(INDEX('계좌현황'!A:A,INDEX($L$21:$L$95,MATCH(LARGE($N$21:$N$95,15),$N$21:$N$95,0))),"")</f>
        <v/>
      </c>
      <c r="C35" s="297">
        <f>IFERROR(INDEX('계좌현황'!C:C,INDEX($L$21:$L$95,MATCH(LARGE($N$21:$N$95,15),$N$21:$N$95,0))),"")</f>
        <v/>
      </c>
      <c r="D35" s="297">
        <f>IFERROR(INDEX('계좌현황'!D:D,INDEX($L$21:$L$95,MATCH(LARGE($N$21:$N$95,15),$N$21:$N$95,0))),"")</f>
        <v/>
      </c>
      <c r="E35" s="297">
        <f>IFERROR(INDEX('계좌현황'!E:E,INDEX($L$21:$L$95,MATCH(LARGE($N$21:$N$95,15),$N$21:$N$95,0))),"")</f>
        <v/>
      </c>
      <c r="F35" s="324">
        <f>IFERROR(INDEX('계좌현황'!F:F,INDEX($L$21:$L$95,MATCH(LARGE($N$21:$N$95,15),$N$21:$N$95,0))),"")</f>
        <v/>
      </c>
      <c r="G35" s="325">
        <f>IFERROR(INDEX('계좌현황'!K:K,INDEX($L$21:$L$95,MATCH(LARGE($N$21:$N$95,15),$N$21:$N$95,0))),0)</f>
        <v/>
      </c>
      <c r="H35" s="326">
        <f>IF($B$3=0,0,G35/$B$3)</f>
        <v/>
      </c>
      <c r="I35" s="326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85" t="n">
        <v>16</v>
      </c>
      <c r="B36" s="285">
        <f>IFERROR(INDEX('계좌현황'!A:A,INDEX($L$21:$L$95,MATCH(LARGE($N$21:$N$95,16),$N$21:$N$95,0))),"")</f>
        <v/>
      </c>
      <c r="C36" s="285">
        <f>IFERROR(INDEX('계좌현황'!C:C,INDEX($L$21:$L$95,MATCH(LARGE($N$21:$N$95,16),$N$21:$N$95,0))),"")</f>
        <v/>
      </c>
      <c r="D36" s="285">
        <f>IFERROR(INDEX('계좌현황'!D:D,INDEX($L$21:$L$95,MATCH(LARGE($N$21:$N$95,16),$N$21:$N$95,0))),"")</f>
        <v/>
      </c>
      <c r="E36" s="285">
        <f>IFERROR(INDEX('계좌현황'!E:E,INDEX($L$21:$L$95,MATCH(LARGE($N$21:$N$95,16),$N$21:$N$95,0))),"")</f>
        <v/>
      </c>
      <c r="F36" s="315">
        <f>IFERROR(INDEX('계좌현황'!F:F,INDEX($L$21:$L$95,MATCH(LARGE($N$21:$N$95,16),$N$21:$N$95,0))),"")</f>
        <v/>
      </c>
      <c r="G36" s="316">
        <f>IFERROR(INDEX('계좌현황'!K:K,INDEX($L$21:$L$95,MATCH(LARGE($N$21:$N$95,16),$N$21:$N$95,0))),0)</f>
        <v/>
      </c>
      <c r="H36" s="317">
        <f>IF($B$3=0,0,G36/$B$3)</f>
        <v/>
      </c>
      <c r="I36" s="317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7" t="n">
        <v>19</v>
      </c>
      <c r="B39" s="297">
        <f>IFERROR(INDEX('계좌현황'!A:A,INDEX($L$21:$L$95,MATCH(LARGE($N$21:$N$95,19),$N$21:$N$95,0))),"")</f>
        <v/>
      </c>
      <c r="C39" s="297">
        <f>IFERROR(INDEX('계좌현황'!C:C,INDEX($L$21:$L$95,MATCH(LARGE($N$21:$N$95,19),$N$21:$N$95,0))),"")</f>
        <v/>
      </c>
      <c r="D39" s="297">
        <f>IFERROR(INDEX('계좌현황'!D:D,INDEX($L$21:$L$95,MATCH(LARGE($N$21:$N$95,19),$N$21:$N$95,0))),"")</f>
        <v/>
      </c>
      <c r="E39" s="297">
        <f>IFERROR(INDEX('계좌현황'!E:E,INDEX($L$21:$L$95,MATCH(LARGE($N$21:$N$95,19),$N$21:$N$95,0))),"")</f>
        <v/>
      </c>
      <c r="F39" s="324">
        <f>IFERROR(INDEX('계좌현황'!F:F,INDEX($L$21:$L$95,MATCH(LARGE($N$21:$N$95,19),$N$21:$N$95,0))),"")</f>
        <v/>
      </c>
      <c r="G39" s="325">
        <f>IFERROR(INDEX('계좌현황'!K:K,INDEX($L$21:$L$95,MATCH(LARGE($N$21:$N$95,19),$N$21:$N$95,0))),0)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1" t="n">
        <v>20</v>
      </c>
      <c r="B40" s="291">
        <f>IFERROR(INDEX('계좌현황'!A:A,INDEX($L$21:$L$95,MATCH(LARGE($N$21:$N$95,20),$N$21:$N$95,0))),"")</f>
        <v/>
      </c>
      <c r="C40" s="291">
        <f>IFERROR(INDEX('계좌현황'!C:C,INDEX($L$21:$L$95,MATCH(LARGE($N$21:$N$95,20),$N$21:$N$95,0))),"")</f>
        <v/>
      </c>
      <c r="D40" s="291">
        <f>IFERROR(INDEX('계좌현황'!D:D,INDEX($L$21:$L$95,MATCH(LARGE($N$21:$N$95,20),$N$21:$N$95,0))),"")</f>
        <v/>
      </c>
      <c r="E40" s="291">
        <f>IFERROR(INDEX('계좌현황'!E:E,INDEX($L$21:$L$95,MATCH(LARGE($N$21:$N$95,20),$N$21:$N$95,0))),"")</f>
        <v/>
      </c>
      <c r="F40" s="330">
        <f>IFERROR(INDEX('계좌현황'!F:F,INDEX($L$21:$L$95,MATCH(LARGE($N$21:$N$95,20),$N$21:$N$95,0))),"")</f>
        <v/>
      </c>
      <c r="G40" s="331">
        <f>IFERROR(INDEX('계좌현황'!K:K,INDEX($L$21:$L$95,MATCH(LARGE($N$21:$N$95,20),$N$21:$N$95,0))),0)</f>
        <v/>
      </c>
      <c r="H40" s="332">
        <f>IF($B$3=0,0,G40/$B$3)</f>
        <v/>
      </c>
      <c r="I40" s="332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3" t="n">
        <v>23</v>
      </c>
      <c r="B43" s="303">
        <f>IFERROR(INDEX('계좌현황'!A:A,INDEX($L$21:$L$95,MATCH(LARGE($N$21:$N$95,23),$N$21:$N$95,0))),"")</f>
        <v/>
      </c>
      <c r="C43" s="303">
        <f>IFERROR(INDEX('계좌현황'!C:C,INDEX($L$21:$L$95,MATCH(LARGE($N$21:$N$95,23),$N$21:$N$95,0))),"")</f>
        <v/>
      </c>
      <c r="D43" s="303">
        <f>IFERROR(INDEX('계좌현황'!D:D,INDEX($L$21:$L$95,MATCH(LARGE($N$21:$N$95,23),$N$21:$N$95,0))),"")</f>
        <v/>
      </c>
      <c r="E43" s="303">
        <f>IFERROR(INDEX('계좌현황'!E:E,INDEX($L$21:$L$95,MATCH(LARGE($N$21:$N$95,23),$N$21:$N$95,0))),"")</f>
        <v/>
      </c>
      <c r="F43" s="327">
        <f>IFERROR(INDEX('계좌현황'!F:F,INDEX($L$21:$L$95,MATCH(LARGE($N$21:$N$95,23),$N$21:$N$95,0))),"")</f>
        <v/>
      </c>
      <c r="G43" s="328">
        <f>IFERROR(INDEX('계좌현황'!K:K,INDEX($L$21:$L$95,MATCH(LARGE($N$21:$N$95,23),$N$21:$N$95,0))),0)</f>
        <v/>
      </c>
      <c r="H43" s="329">
        <f>IF($B$3=0,0,G43/$B$3)</f>
        <v/>
      </c>
      <c r="I43" s="329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9" t="n">
        <v>24</v>
      </c>
      <c r="B44" s="309">
        <f>IFERROR(INDEX('계좌현황'!A:A,INDEX($L$21:$L$95,MATCH(LARGE($N$21:$N$95,24),$N$21:$N$95,0))),"")</f>
        <v/>
      </c>
      <c r="C44" s="309">
        <f>IFERROR(INDEX('계좌현황'!C:C,INDEX($L$21:$L$95,MATCH(LARGE($N$21:$N$95,24),$N$21:$N$95,0))),"")</f>
        <v/>
      </c>
      <c r="D44" s="309">
        <f>IFERROR(INDEX('계좌현황'!D:D,INDEX($L$21:$L$95,MATCH(LARGE($N$21:$N$95,24),$N$21:$N$95,0))),"")</f>
        <v/>
      </c>
      <c r="E44" s="309">
        <f>IFERROR(INDEX('계좌현황'!E:E,INDEX($L$21:$L$95,MATCH(LARGE($N$21:$N$95,24),$N$21:$N$95,0))),"")</f>
        <v/>
      </c>
      <c r="F44" s="333">
        <f>IFERROR(INDEX('계좌현황'!F:F,INDEX($L$21:$L$95,MATCH(LARGE($N$21:$N$95,24),$N$21:$N$95,0))),"")</f>
        <v/>
      </c>
      <c r="G44" s="334">
        <f>IFERROR(INDEX('계좌현황'!K:K,INDEX($L$21:$L$95,MATCH(LARGE($N$21:$N$95,24),$N$21:$N$95,0))),0)</f>
        <v/>
      </c>
      <c r="H44" s="335">
        <f>IF($B$3=0,0,G44/$B$3)</f>
        <v/>
      </c>
      <c r="I44" s="335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7" t="n">
        <v>27</v>
      </c>
      <c r="B47" s="297">
        <f>IFERROR(INDEX('계좌현황'!A:A,INDEX($L$21:$L$95,MATCH(LARGE($N$21:$N$95,27),$N$21:$N$95,0))),"")</f>
        <v/>
      </c>
      <c r="C47" s="297">
        <f>IFERROR(INDEX('계좌현황'!C:C,INDEX($L$21:$L$95,MATCH(LARGE($N$21:$N$95,27),$N$21:$N$95,0))),"")</f>
        <v/>
      </c>
      <c r="D47" s="297">
        <f>IFERROR(INDEX('계좌현황'!D:D,INDEX($L$21:$L$95,MATCH(LARGE($N$21:$N$95,27),$N$21:$N$95,0))),"")</f>
        <v/>
      </c>
      <c r="E47" s="297">
        <f>IFERROR(INDEX('계좌현황'!E:E,INDEX($L$21:$L$95,MATCH(LARGE($N$21:$N$95,27),$N$21:$N$95,0))),"")</f>
        <v/>
      </c>
      <c r="F47" s="324">
        <f>IFERROR(INDEX('계좌현황'!F:F,INDEX($L$21:$L$95,MATCH(LARGE($N$21:$N$95,27),$N$21:$N$95,0))),"")</f>
        <v/>
      </c>
      <c r="G47" s="325">
        <f>IFERROR(INDEX('계좌현황'!K:K,INDEX($L$21:$L$95,MATCH(LARGE($N$21:$N$95,27),$N$21:$N$95,0))),0)</f>
        <v/>
      </c>
      <c r="H47" s="326">
        <f>IF($B$3=0,0,G47/$B$3)</f>
        <v/>
      </c>
      <c r="I47" s="326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3" t="n">
        <v>28</v>
      </c>
      <c r="B48" s="303">
        <f>IFERROR(INDEX('계좌현황'!A:A,INDEX($L$21:$L$95,MATCH(LARGE($N$21:$N$95,28),$N$21:$N$95,0))),"")</f>
        <v/>
      </c>
      <c r="C48" s="303">
        <f>IFERROR(INDEX('계좌현황'!C:C,INDEX($L$21:$L$95,MATCH(LARGE($N$21:$N$95,28),$N$21:$N$95,0))),"")</f>
        <v/>
      </c>
      <c r="D48" s="303">
        <f>IFERROR(INDEX('계좌현황'!D:D,INDEX($L$21:$L$95,MATCH(LARGE($N$21:$N$95,28),$N$21:$N$95,0))),"")</f>
        <v/>
      </c>
      <c r="E48" s="303">
        <f>IFERROR(INDEX('계좌현황'!E:E,INDEX($L$21:$L$95,MATCH(LARGE($N$21:$N$95,28),$N$21:$N$95,0))),"")</f>
        <v/>
      </c>
      <c r="F48" s="327">
        <f>IFERROR(INDEX('계좌현황'!F:F,INDEX($L$21:$L$95,MATCH(LARGE($N$21:$N$95,28),$N$21:$N$95,0))),"")</f>
        <v/>
      </c>
      <c r="G48" s="328">
        <f>IFERROR(INDEX('계좌현황'!K:K,INDEX($L$21:$L$95,MATCH(LARGE($N$21:$N$95,28),$N$21:$N$95,0))),0)</f>
        <v/>
      </c>
      <c r="H48" s="329">
        <f>IF($B$3=0,0,G48/$B$3)</f>
        <v/>
      </c>
      <c r="I48" s="329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4" t="n">
        <v>34</v>
      </c>
      <c r="B54" s="294">
        <f>IFERROR(INDEX('계좌현황'!A:A,INDEX($L$21:$L$95,MATCH(LARGE($N$21:$N$95,34),$N$21:$N$95,0))),"")</f>
        <v/>
      </c>
      <c r="C54" s="294">
        <f>IFERROR(INDEX('계좌현황'!C:C,INDEX($L$21:$L$95,MATCH(LARGE($N$21:$N$95,34),$N$21:$N$95,0))),"")</f>
        <v/>
      </c>
      <c r="D54" s="294">
        <f>IFERROR(INDEX('계좌현황'!D:D,INDEX($L$21:$L$95,MATCH(LARGE($N$21:$N$95,34),$N$21:$N$95,0))),"")</f>
        <v/>
      </c>
      <c r="E54" s="294">
        <f>IFERROR(INDEX('계좌현황'!E:E,INDEX($L$21:$L$95,MATCH(LARGE($N$21:$N$95,34),$N$21:$N$95,0))),"")</f>
        <v/>
      </c>
      <c r="F54" s="321">
        <f>IFERROR(INDEX('계좌현황'!F:F,INDEX($L$21:$L$95,MATCH(LARGE($N$21:$N$95,34),$N$21:$N$95,0))),"")</f>
        <v/>
      </c>
      <c r="G54" s="322">
        <f>IFERROR(INDEX('계좌현황'!K:K,INDEX($L$21:$L$95,MATCH(LARGE($N$21:$N$95,34),$N$21:$N$95,0))),0)</f>
        <v/>
      </c>
      <c r="H54" s="323">
        <f>IF($B$3=0,0,G54/$B$3)</f>
        <v/>
      </c>
      <c r="I54" s="323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4" t="n">
        <v>42</v>
      </c>
      <c r="B62" s="294">
        <f>IFERROR(INDEX('계좌현황'!A:A,INDEX($L$21:$L$95,MATCH(LARGE($N$21:$N$95,42),$N$21:$N$95,0))),"")</f>
        <v/>
      </c>
      <c r="C62" s="294">
        <f>IFERROR(INDEX('계좌현황'!C:C,INDEX($L$21:$L$95,MATCH(LARGE($N$21:$N$95,42),$N$21:$N$95,0))),"")</f>
        <v/>
      </c>
      <c r="D62" s="294">
        <f>IFERROR(INDEX('계좌현황'!D:D,INDEX($L$21:$L$95,MATCH(LARGE($N$21:$N$95,42),$N$21:$N$95,0))),"")</f>
        <v/>
      </c>
      <c r="E62" s="294">
        <f>IFERROR(INDEX('계좌현황'!E:E,INDEX($L$21:$L$95,MATCH(LARGE($N$21:$N$95,42),$N$21:$N$95,0))),"")</f>
        <v/>
      </c>
      <c r="F62" s="321">
        <f>IFERROR(INDEX('계좌현황'!F:F,INDEX($L$21:$L$95,MATCH(LARGE($N$21:$N$95,42),$N$21:$N$95,0))),"")</f>
        <v/>
      </c>
      <c r="G62" s="322">
        <f>IFERROR(INDEX('계좌현황'!K:K,INDEX($L$21:$L$95,MATCH(LARGE($N$21:$N$95,42),$N$21:$N$95,0))),0)</f>
        <v/>
      </c>
      <c r="H62" s="323">
        <f>IF($B$3=0,0,G62/$B$3)</f>
        <v/>
      </c>
      <c r="I62" s="323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7" t="n">
        <v>43</v>
      </c>
      <c r="B63" s="297">
        <f>IFERROR(INDEX('계좌현황'!A:A,INDEX($L$21:$L$95,MATCH(LARGE($N$21:$N$95,43),$N$21:$N$95,0))),"")</f>
        <v/>
      </c>
      <c r="C63" s="297">
        <f>IFERROR(INDEX('계좌현황'!C:C,INDEX($L$21:$L$95,MATCH(LARGE($N$21:$N$95,43),$N$21:$N$95,0))),"")</f>
        <v/>
      </c>
      <c r="D63" s="297">
        <f>IFERROR(INDEX('계좌현황'!D:D,INDEX($L$21:$L$95,MATCH(LARGE($N$21:$N$95,43),$N$21:$N$95,0))),"")</f>
        <v/>
      </c>
      <c r="E63" s="297">
        <f>IFERROR(INDEX('계좌현황'!E:E,INDEX($L$21:$L$95,MATCH(LARGE($N$21:$N$95,43),$N$21:$N$95,0))),"")</f>
        <v/>
      </c>
      <c r="F63" s="324">
        <f>IFERROR(INDEX('계좌현황'!F:F,INDEX($L$21:$L$95,MATCH(LARGE($N$21:$N$95,43),$N$21:$N$95,0))),"")</f>
        <v/>
      </c>
      <c r="G63" s="325">
        <f>IFERROR(INDEX('계좌현황'!K:K,INDEX($L$21:$L$95,MATCH(LARGE($N$21:$N$95,43),$N$21:$N$95,0))),0)</f>
        <v/>
      </c>
      <c r="H63" s="326">
        <f>IF($B$3=0,0,G63/$B$3)</f>
        <v/>
      </c>
      <c r="I63" s="326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7" t="n">
        <v>60</v>
      </c>
      <c r="B80" s="297">
        <f>IFERROR(INDEX('계좌현황'!A:A,INDEX($L$21:$L$95,MATCH(LARGE($N$21:$N$95,60),$N$21:$N$95,0))),"")</f>
        <v/>
      </c>
      <c r="C80" s="297">
        <f>IFERROR(INDEX('계좌현황'!C:C,INDEX($L$21:$L$95,MATCH(LARGE($N$21:$N$95,60),$N$21:$N$95,0))),"")</f>
        <v/>
      </c>
      <c r="D80" s="297">
        <f>IFERROR(INDEX('계좌현황'!D:D,INDEX($L$21:$L$95,MATCH(LARGE($N$21:$N$95,60),$N$21:$N$95,0))),"")</f>
        <v/>
      </c>
      <c r="E80" s="297">
        <f>IFERROR(INDEX('계좌현황'!E:E,INDEX($L$21:$L$95,MATCH(LARGE($N$21:$N$95,60),$N$21:$N$95,0))),"")</f>
        <v/>
      </c>
      <c r="F80" s="324">
        <f>IFERROR(INDEX('계좌현황'!F:F,INDEX($L$21:$L$95,MATCH(LARGE($N$21:$N$95,60),$N$21:$N$95,0))),"")</f>
        <v/>
      </c>
      <c r="G80" s="325">
        <f>IFERROR(INDEX('계좌현황'!K:K,INDEX($L$21:$L$95,MATCH(LARGE($N$21:$N$95,60),$N$21:$N$95,0))),0)</f>
        <v/>
      </c>
      <c r="H80" s="326">
        <f>IF($B$3=0,0,G80/$B$3)</f>
        <v/>
      </c>
      <c r="I80" s="326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7" t="n">
        <v>64</v>
      </c>
      <c r="B84" s="297">
        <f>IFERROR(INDEX('계좌현황'!A:A,INDEX($L$21:$L$95,MATCH(LARGE($N$21:$N$95,64),$N$21:$N$95,0))),"")</f>
        <v/>
      </c>
      <c r="C84" s="297">
        <f>IFERROR(INDEX('계좌현황'!C:C,INDEX($L$21:$L$95,MATCH(LARGE($N$21:$N$95,64),$N$21:$N$95,0))),"")</f>
        <v/>
      </c>
      <c r="D84" s="297">
        <f>IFERROR(INDEX('계좌현황'!D:D,INDEX($L$21:$L$95,MATCH(LARGE($N$21:$N$95,64),$N$21:$N$95,0))),"")</f>
        <v/>
      </c>
      <c r="E84" s="297">
        <f>IFERROR(INDEX('계좌현황'!E:E,INDEX($L$21:$L$95,MATCH(LARGE($N$21:$N$95,64),$N$21:$N$95,0))),"")</f>
        <v/>
      </c>
      <c r="F84" s="324">
        <f>IFERROR(INDEX('계좌현황'!F:F,INDEX($L$21:$L$95,MATCH(LARGE($N$21:$N$95,64),$N$21:$N$95,0))),"")</f>
        <v/>
      </c>
      <c r="G84" s="325">
        <f>IFERROR(INDEX('계좌현황'!K:K,INDEX($L$21:$L$95,MATCH(LARGE($N$21:$N$95,64),$N$21:$N$95,0))),0)</f>
        <v/>
      </c>
      <c r="H84" s="326">
        <f>IF($B$3=0,0,G84/$B$3)</f>
        <v/>
      </c>
      <c r="I84" s="326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9" t="n">
        <v>65</v>
      </c>
      <c r="B85" s="309">
        <f>IFERROR(INDEX('계좌현황'!A:A,INDEX($L$21:$L$95,MATCH(LARGE($N$21:$N$95,65),$N$21:$N$95,0))),"")</f>
        <v/>
      </c>
      <c r="C85" s="309">
        <f>IFERROR(INDEX('계좌현황'!C:C,INDEX($L$21:$L$95,MATCH(LARGE($N$21:$N$95,65),$N$21:$N$95,0))),"")</f>
        <v/>
      </c>
      <c r="D85" s="309">
        <f>IFERROR(INDEX('계좌현황'!D:D,INDEX($L$21:$L$95,MATCH(LARGE($N$21:$N$95,65),$N$21:$N$95,0))),"")</f>
        <v/>
      </c>
      <c r="E85" s="309">
        <f>IFERROR(INDEX('계좌현황'!E:E,INDEX($L$21:$L$95,MATCH(LARGE($N$21:$N$95,65),$N$21:$N$95,0))),"")</f>
        <v/>
      </c>
      <c r="F85" s="333">
        <f>IFERROR(INDEX('계좌현황'!F:F,INDEX($L$21:$L$95,MATCH(LARGE($N$21:$N$95,65),$N$21:$N$95,0))),"")</f>
        <v/>
      </c>
      <c r="G85" s="334">
        <f>IFERROR(INDEX('계좌현황'!K:K,INDEX($L$21:$L$95,MATCH(LARGE($N$21:$N$95,65),$N$21:$N$95,0))),0)</f>
        <v/>
      </c>
      <c r="H85" s="335">
        <f>IF($B$3=0,0,G85/$B$3)</f>
        <v/>
      </c>
      <c r="I85" s="335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1,344원/$  | 연간 합계 51,111,344원 · 월평균 4,259,279원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3835593.64</v>
      </c>
      <c r="C7" s="289" t="n">
        <v>211860</v>
      </c>
      <c r="D7" s="289" t="n">
        <v>4047453.64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3956013.4</v>
      </c>
      <c r="C8" s="289" t="n">
        <v>211860</v>
      </c>
      <c r="D8" s="289" t="n">
        <v>4167873.4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4341956.008</v>
      </c>
      <c r="C9" s="289" t="n">
        <v>247268</v>
      </c>
      <c r="D9" s="289" t="n">
        <v>4589224.008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3965858.672</v>
      </c>
      <c r="C10" s="289" t="n">
        <v>216964</v>
      </c>
      <c r="D10" s="289" t="n">
        <v>4182822.672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4053700.592</v>
      </c>
      <c r="C11" s="289" t="n">
        <v>211860</v>
      </c>
      <c r="D11" s="289" t="n">
        <v>4265560.592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4097616.12</v>
      </c>
      <c r="C12" s="289" t="n">
        <v>247352</v>
      </c>
      <c r="D12" s="289" t="n">
        <v>4344968.119999999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4122965.872</v>
      </c>
      <c r="C13" s="286" t="n">
        <v>0</v>
      </c>
      <c r="D13" s="286" t="n">
        <v>4122965.872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3990295.232</v>
      </c>
      <c r="C14" s="286" t="n">
        <v>0</v>
      </c>
      <c r="D14" s="286" t="n">
        <v>3990295.232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3995808.784</v>
      </c>
      <c r="C15" s="289" t="n">
        <v>71724</v>
      </c>
      <c r="D15" s="289" t="n">
        <v>4067532.784</v>
      </c>
      <c r="E15" s="288" t="inlineStr">
        <is>
          <t>혼합</t>
        </is>
      </c>
    </row>
    <row r="16">
      <c r="A16" s="294" t="inlineStr">
        <is>
          <t>10월</t>
        </is>
      </c>
      <c r="B16" s="295" t="n">
        <v>0</v>
      </c>
      <c r="C16" s="295" t="n">
        <v>3798881.176</v>
      </c>
      <c r="D16" s="295" t="n">
        <v>3798881.176</v>
      </c>
      <c r="E16" s="294" t="inlineStr">
        <is>
          <t>예측</t>
        </is>
      </c>
    </row>
    <row r="17">
      <c r="A17" s="294" t="inlineStr">
        <is>
          <t>11월</t>
        </is>
      </c>
      <c r="B17" s="295" t="n">
        <v>0</v>
      </c>
      <c r="C17" s="295" t="n">
        <v>4177528.224</v>
      </c>
      <c r="D17" s="295" t="n">
        <v>4177528.224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5356238.128</v>
      </c>
      <c r="D18" s="295" t="n">
        <v>5356238.128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0.11</v>
      </c>
      <c r="F24" s="310" t="n">
        <v>154856460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7080960</v>
      </c>
      <c r="E25" s="335" t="n">
        <v>0.1019</v>
      </c>
      <c r="F25" s="310" t="n">
        <v>69518800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0.1688</v>
      </c>
      <c r="F26" s="310" t="n">
        <v>26325275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0.1512</v>
      </c>
      <c r="F27" s="310" t="n">
        <v>26511660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3531000</v>
      </c>
      <c r="E28" s="335" t="n">
        <v>0.129</v>
      </c>
      <c r="F28" s="310" t="n">
        <v>27375000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0.2447</v>
      </c>
      <c r="F29" s="310" t="n">
        <v>10387560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2200704</v>
      </c>
      <c r="E30" s="335" t="n">
        <v>0.1578</v>
      </c>
      <c r="F30" s="310" t="n">
        <v>13942720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0.0926</v>
      </c>
      <c r="F31" s="310" t="n">
        <v>20175000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0.0746</v>
      </c>
      <c r="F32" s="310" t="n">
        <v>20620000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1260930</v>
      </c>
      <c r="E33" s="335" t="n">
        <v>0.032</v>
      </c>
      <c r="F33" s="310" t="n">
        <v>39375405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0.0206</v>
      </c>
      <c r="F34" s="310" t="n">
        <v>51560370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0.1376</v>
      </c>
      <c r="F35" s="310" t="n">
        <v>6950400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0.0325</v>
      </c>
      <c r="F36" s="310" t="n">
        <v>16864400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516800</v>
      </c>
      <c r="E37" s="335" t="n">
        <v>0.1061</v>
      </c>
      <c r="F37" s="310" t="n">
        <v>4870500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0.0091</v>
      </c>
      <c r="F38" s="310" t="n">
        <v>30988905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46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1344</v>
      </c>
      <c r="H44" s="285" t="inlineStr">
        <is>
          <t>실적</t>
        </is>
      </c>
    </row>
    <row r="45">
      <c r="A45" s="346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46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46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46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46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46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46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46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46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46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46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46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46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46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46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46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46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46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46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46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46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19232.64</v>
      </c>
      <c r="H65" s="285" t="inlineStr">
        <is>
          <t>실적</t>
        </is>
      </c>
    </row>
    <row r="66">
      <c r="A66" s="348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46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3144.96</v>
      </c>
      <c r="H67" s="285" t="inlineStr">
        <is>
          <t>실적</t>
        </is>
      </c>
    </row>
    <row r="68">
      <c r="A68" s="346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46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46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46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46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1384.32</v>
      </c>
      <c r="H72" s="285" t="inlineStr">
        <is>
          <t>실적</t>
        </is>
      </c>
    </row>
    <row r="73">
      <c r="A73" s="346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1666.56</v>
      </c>
      <c r="H73" s="285" t="inlineStr">
        <is>
          <t>실적</t>
        </is>
      </c>
    </row>
    <row r="74">
      <c r="A74" s="346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2392.32</v>
      </c>
      <c r="H74" s="285" t="inlineStr">
        <is>
          <t>실적</t>
        </is>
      </c>
    </row>
    <row r="75">
      <c r="A75" s="346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2446.08</v>
      </c>
      <c r="H75" s="285" t="inlineStr">
        <is>
          <t>실적</t>
        </is>
      </c>
    </row>
    <row r="76">
      <c r="A76" s="346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46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46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46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46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46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46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46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46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46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46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46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46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46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19232.64</v>
      </c>
      <c r="H89" s="285" t="inlineStr">
        <is>
          <t>실적</t>
        </is>
      </c>
    </row>
    <row r="90">
      <c r="A90" s="346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5483.52</v>
      </c>
      <c r="H90" s="285" t="inlineStr">
        <is>
          <t>실적</t>
        </is>
      </c>
    </row>
    <row r="91">
      <c r="A91" s="348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46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5510.4</v>
      </c>
      <c r="H92" s="285" t="inlineStr">
        <is>
          <t>실적</t>
        </is>
      </c>
    </row>
    <row r="93">
      <c r="A93" s="346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46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46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46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46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46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1284.864</v>
      </c>
      <c r="H98" s="285" t="inlineStr">
        <is>
          <t>실적</t>
        </is>
      </c>
    </row>
    <row r="99">
      <c r="A99" s="346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46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2446.08</v>
      </c>
      <c r="H100" s="285" t="inlineStr">
        <is>
          <t>실적</t>
        </is>
      </c>
    </row>
    <row r="101">
      <c r="A101" s="346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8289.791999999999</v>
      </c>
      <c r="H101" s="285" t="inlineStr">
        <is>
          <t>실적</t>
        </is>
      </c>
    </row>
    <row r="102">
      <c r="A102" s="348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48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46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46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46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46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46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46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46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46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46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46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46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46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46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46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25704</v>
      </c>
      <c r="H117" s="285" t="inlineStr">
        <is>
          <t>실적</t>
        </is>
      </c>
    </row>
    <row r="118">
      <c r="A118" s="348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46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19303.872</v>
      </c>
      <c r="H119" s="285" t="inlineStr">
        <is>
          <t>실적</t>
        </is>
      </c>
    </row>
    <row r="120">
      <c r="A120" s="346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46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1344</v>
      </c>
      <c r="H121" s="285" t="inlineStr">
        <is>
          <t>실적</t>
        </is>
      </c>
    </row>
    <row r="122">
      <c r="A122" s="346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46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46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46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46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12028.8</v>
      </c>
      <c r="H126" s="285" t="inlineStr">
        <is>
          <t>실적</t>
        </is>
      </c>
    </row>
    <row r="127">
      <c r="A127" s="346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46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46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48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46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46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46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46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46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46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46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46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46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46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46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46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46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48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46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19303.872</v>
      </c>
      <c r="H145" s="285" t="inlineStr">
        <is>
          <t>실적</t>
        </is>
      </c>
    </row>
    <row r="146">
      <c r="A146" s="346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46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3265.92</v>
      </c>
      <c r="H147" s="285" t="inlineStr">
        <is>
          <t>실적</t>
        </is>
      </c>
    </row>
    <row r="148">
      <c r="A148" s="346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46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46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46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46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1666.56</v>
      </c>
      <c r="H152" s="285" t="inlineStr">
        <is>
          <t>실적</t>
        </is>
      </c>
    </row>
    <row r="153">
      <c r="A153" s="346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1384.32</v>
      </c>
      <c r="H153" s="285" t="inlineStr">
        <is>
          <t>실적</t>
        </is>
      </c>
    </row>
    <row r="154">
      <c r="A154" s="346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2392.32</v>
      </c>
      <c r="H154" s="285" t="inlineStr">
        <is>
          <t>실적</t>
        </is>
      </c>
    </row>
    <row r="155">
      <c r="A155" s="346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2446.08</v>
      </c>
      <c r="H155" s="285" t="inlineStr">
        <is>
          <t>실적</t>
        </is>
      </c>
    </row>
    <row r="156">
      <c r="A156" s="346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46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46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46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46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46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46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46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46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46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46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46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46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19303.872</v>
      </c>
      <c r="H168" s="285" t="inlineStr">
        <is>
          <t>실적</t>
        </is>
      </c>
    </row>
    <row r="169">
      <c r="A169" s="346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5483.52</v>
      </c>
      <c r="H169" s="285" t="inlineStr">
        <is>
          <t>실적</t>
        </is>
      </c>
    </row>
    <row r="170">
      <c r="A170" s="348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46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5510.4</v>
      </c>
      <c r="H171" s="285" t="inlineStr">
        <is>
          <t>실적</t>
        </is>
      </c>
    </row>
    <row r="172">
      <c r="A172" s="346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1344</v>
      </c>
      <c r="H172" s="285" t="inlineStr">
        <is>
          <t>실적</t>
        </is>
      </c>
    </row>
    <row r="173">
      <c r="A173" s="346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1283.52</v>
      </c>
      <c r="H173" s="285" t="inlineStr">
        <is>
          <t>실적</t>
        </is>
      </c>
    </row>
    <row r="174">
      <c r="A174" s="346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46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46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46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46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12028.8</v>
      </c>
      <c r="H178" s="285" t="inlineStr">
        <is>
          <t>실적</t>
        </is>
      </c>
    </row>
    <row r="179">
      <c r="A179" s="346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11477.76</v>
      </c>
      <c r="H179" s="285" t="inlineStr">
        <is>
          <t>실적</t>
        </is>
      </c>
    </row>
    <row r="180">
      <c r="A180" s="346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8160.768</v>
      </c>
      <c r="H180" s="285" t="inlineStr">
        <is>
          <t>실적</t>
        </is>
      </c>
    </row>
    <row r="181">
      <c r="A181" s="348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48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46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46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46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46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46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46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46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46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46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46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46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46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48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46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19303.872</v>
      </c>
      <c r="H196" s="285" t="inlineStr">
        <is>
          <t>실적</t>
        </is>
      </c>
    </row>
    <row r="197">
      <c r="A197" s="346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1344</v>
      </c>
      <c r="H197" s="285" t="inlineStr">
        <is>
          <t>실적</t>
        </is>
      </c>
    </row>
    <row r="198">
      <c r="A198" s="346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46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46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46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46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46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46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46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46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46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46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46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46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46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46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46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46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46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46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46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46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46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46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19303.872</v>
      </c>
      <c r="H220" s="285" t="inlineStr">
        <is>
          <t>실적</t>
        </is>
      </c>
    </row>
    <row r="221">
      <c r="A221" s="346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46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3265.92</v>
      </c>
      <c r="H222" s="285" t="inlineStr">
        <is>
          <t>실적</t>
        </is>
      </c>
    </row>
    <row r="223">
      <c r="A223" s="346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46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46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46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46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1666.56</v>
      </c>
      <c r="H227" s="285" t="inlineStr">
        <is>
          <t>실적</t>
        </is>
      </c>
    </row>
    <row r="228">
      <c r="A228" s="346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11672.64</v>
      </c>
      <c r="H228" s="285" t="inlineStr">
        <is>
          <t>실적</t>
        </is>
      </c>
    </row>
    <row r="229">
      <c r="A229" s="346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1384.32</v>
      </c>
      <c r="H229" s="285" t="inlineStr">
        <is>
          <t>실적</t>
        </is>
      </c>
    </row>
    <row r="230">
      <c r="A230" s="346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2392.32</v>
      </c>
      <c r="H230" s="285" t="inlineStr">
        <is>
          <t>실적</t>
        </is>
      </c>
    </row>
    <row r="231">
      <c r="A231" s="346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2446.08</v>
      </c>
      <c r="H231" s="285" t="inlineStr">
        <is>
          <t>실적</t>
        </is>
      </c>
    </row>
    <row r="232">
      <c r="A232" s="346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46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46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46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46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46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46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46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46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46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46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46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46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46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5483.52</v>
      </c>
      <c r="H245" s="285" t="inlineStr">
        <is>
          <t>실적</t>
        </is>
      </c>
    </row>
    <row r="246">
      <c r="A246" s="346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19303.872</v>
      </c>
      <c r="H246" s="285" t="inlineStr">
        <is>
          <t>실적</t>
        </is>
      </c>
    </row>
    <row r="247">
      <c r="A247" s="346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5510.4</v>
      </c>
      <c r="H247" s="285" t="inlineStr">
        <is>
          <t>실적</t>
        </is>
      </c>
    </row>
    <row r="248">
      <c r="A248" s="346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1344</v>
      </c>
      <c r="H248" s="285" t="inlineStr">
        <is>
          <t>실적</t>
        </is>
      </c>
    </row>
    <row r="249">
      <c r="A249" s="346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46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46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46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46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46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1487.808</v>
      </c>
      <c r="H254" s="285" t="inlineStr">
        <is>
          <t>실적</t>
        </is>
      </c>
    </row>
    <row r="255">
      <c r="A255" s="346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5080.32</v>
      </c>
      <c r="H255" s="285" t="inlineStr">
        <is>
          <t>실적</t>
        </is>
      </c>
    </row>
    <row r="256">
      <c r="A256" s="346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8612.352000000001</v>
      </c>
      <c r="H256" s="285" t="inlineStr">
        <is>
          <t>실적</t>
        </is>
      </c>
    </row>
    <row r="257">
      <c r="A257" s="348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48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48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46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46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46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46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46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46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46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46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46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46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46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46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12028.8</v>
      </c>
      <c r="H271" s="285" t="inlineStr">
        <is>
          <t>실적</t>
        </is>
      </c>
    </row>
    <row r="272">
      <c r="A272" s="346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19375.104</v>
      </c>
      <c r="H272" s="285" t="inlineStr">
        <is>
          <t>실적</t>
        </is>
      </c>
    </row>
    <row r="273">
      <c r="A273" s="348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10886.4</v>
      </c>
      <c r="H273" s="294" t="inlineStr">
        <is>
          <t>예측</t>
        </is>
      </c>
    </row>
    <row r="274">
      <c r="A274" s="348" t="n">
        <v>46305</v>
      </c>
      <c r="B274" s="294" t="n">
        <v>10</v>
      </c>
      <c r="C274" s="294" t="inlineStr">
        <is>
          <t>ORCL</t>
        </is>
      </c>
      <c r="D274" s="294" t="inlineStr">
        <is>
          <t>오라클</t>
        </is>
      </c>
      <c r="E274" s="295" t="n"/>
      <c r="F274" s="349" t="n">
        <v>0.9</v>
      </c>
      <c r="G274" s="295" t="n">
        <v>1209.6</v>
      </c>
      <c r="H274" s="294" t="inlineStr">
        <is>
          <t>예측</t>
        </is>
      </c>
    </row>
    <row r="275">
      <c r="A275" s="348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19090.176</v>
      </c>
      <c r="H275" s="294" t="inlineStr">
        <is>
          <t>예측</t>
        </is>
      </c>
    </row>
    <row r="276">
      <c r="A276" s="348" t="n">
        <v>46309</v>
      </c>
      <c r="B276" s="294" t="n">
        <v>10</v>
      </c>
      <c r="C276" s="294" t="inlineStr">
        <is>
          <t>0008S0</t>
        </is>
      </c>
      <c r="D276" s="294" t="inlineStr">
        <is>
          <t>TIGER 미국배당다우존스타겟데일리커버드콜</t>
        </is>
      </c>
      <c r="E276" s="295" t="n">
        <v>261000</v>
      </c>
      <c r="F276" s="349" t="n"/>
      <c r="G276" s="295" t="n">
        <v>261000</v>
      </c>
      <c r="H276" s="294" t="inlineStr">
        <is>
          <t>예측</t>
        </is>
      </c>
    </row>
    <row r="277">
      <c r="A277" s="348" t="n">
        <v>46309</v>
      </c>
      <c r="B277" s="294" t="n">
        <v>10</v>
      </c>
      <c r="C277" s="294" t="inlineStr">
        <is>
          <t>474220</t>
        </is>
      </c>
      <c r="D277" s="294" t="inlineStr">
        <is>
          <t>TIGER미국테크TOP10커버드콜</t>
        </is>
      </c>
      <c r="E277" s="295" t="n">
        <v>527845</v>
      </c>
      <c r="F277" s="349" t="n"/>
      <c r="G277" s="295" t="n">
        <v>527845</v>
      </c>
      <c r="H277" s="294" t="inlineStr">
        <is>
          <t>예측</t>
        </is>
      </c>
    </row>
    <row r="278">
      <c r="A278" s="348" t="n">
        <v>46309</v>
      </c>
      <c r="B278" s="294" t="n">
        <v>10</v>
      </c>
      <c r="C278" s="294" t="inlineStr">
        <is>
          <t>490490</t>
        </is>
      </c>
      <c r="D278" s="294" t="inlineStr">
        <is>
          <t>SOL미국배당미국채혼합50</t>
        </is>
      </c>
      <c r="E278" s="295" t="n">
        <v>80241</v>
      </c>
      <c r="F278" s="349" t="n"/>
      <c r="G278" s="295" t="n">
        <v>80241</v>
      </c>
      <c r="H278" s="294" t="inlineStr">
        <is>
          <t>예측</t>
        </is>
      </c>
    </row>
    <row r="279">
      <c r="A279" s="348" t="n">
        <v>46309</v>
      </c>
      <c r="B279" s="294" t="n">
        <v>10</v>
      </c>
      <c r="C279" s="294" t="inlineStr">
        <is>
          <t>498400</t>
        </is>
      </c>
      <c r="D279" s="294" t="inlineStr">
        <is>
          <t>KODEX 200타켓위클리커버드콜</t>
        </is>
      </c>
      <c r="E279" s="295" t="n">
        <v>121088</v>
      </c>
      <c r="F279" s="349" t="n"/>
      <c r="G279" s="295" t="n">
        <v>121088</v>
      </c>
      <c r="H279" s="294" t="inlineStr">
        <is>
          <t>예측</t>
        </is>
      </c>
    </row>
    <row r="280">
      <c r="A280" s="348" t="n">
        <v>46325</v>
      </c>
      <c r="B280" s="294" t="n">
        <v>10</v>
      </c>
      <c r="C280" s="294" t="inlineStr">
        <is>
          <t>133690</t>
        </is>
      </c>
      <c r="D280" s="294" t="inlineStr">
        <is>
          <t>TIGER 미국나스닥100</t>
        </is>
      </c>
      <c r="E280" s="295" t="n">
        <v>11457</v>
      </c>
      <c r="F280" s="349" t="n"/>
      <c r="G280" s="295" t="n">
        <v>11457</v>
      </c>
      <c r="H280" s="294" t="inlineStr">
        <is>
          <t>예측</t>
        </is>
      </c>
    </row>
    <row r="281">
      <c r="A281" s="348" t="n">
        <v>46325</v>
      </c>
      <c r="B281" s="294" t="n">
        <v>10</v>
      </c>
      <c r="C281" s="294" t="inlineStr">
        <is>
          <t>329200</t>
        </is>
      </c>
      <c r="D281" s="294" t="inlineStr">
        <is>
          <t>TIGER리츠부동산인프라</t>
        </is>
      </c>
      <c r="E281" s="295" t="n">
        <v>155000</v>
      </c>
      <c r="F281" s="349" t="n"/>
      <c r="G281" s="295" t="n">
        <v>155000</v>
      </c>
      <c r="H281" s="294" t="inlineStr">
        <is>
          <t>예측</t>
        </is>
      </c>
    </row>
    <row r="282">
      <c r="A282" s="348" t="n">
        <v>46325</v>
      </c>
      <c r="B282" s="294" t="n">
        <v>10</v>
      </c>
      <c r="C282" s="294" t="inlineStr">
        <is>
          <t>360750</t>
        </is>
      </c>
      <c r="D282" s="294" t="inlineStr">
        <is>
          <t>TIGER미국S&amp;P500</t>
        </is>
      </c>
      <c r="E282" s="295" t="n">
        <v>13812</v>
      </c>
      <c r="F282" s="349" t="n"/>
      <c r="G282" s="295" t="n">
        <v>13812</v>
      </c>
      <c r="H282" s="294" t="inlineStr">
        <is>
          <t>예측</t>
        </is>
      </c>
    </row>
    <row r="283">
      <c r="A283" s="348" t="n">
        <v>46325</v>
      </c>
      <c r="B283" s="294" t="n">
        <v>10</v>
      </c>
      <c r="C283" s="294" t="inlineStr">
        <is>
          <t>367380</t>
        </is>
      </c>
      <c r="D283" s="294" t="inlineStr">
        <is>
          <t>ACE 미국나스닥100</t>
        </is>
      </c>
      <c r="E283" s="295" t="n">
        <v>12337</v>
      </c>
      <c r="F283" s="349" t="n"/>
      <c r="G283" s="295" t="n">
        <v>12337</v>
      </c>
      <c r="H283" s="294" t="inlineStr">
        <is>
          <t>예측</t>
        </is>
      </c>
    </row>
    <row r="284">
      <c r="A284" s="348" t="n">
        <v>46325</v>
      </c>
      <c r="B284" s="294" t="n">
        <v>10</v>
      </c>
      <c r="C284" s="294" t="inlineStr">
        <is>
          <t>379810</t>
        </is>
      </c>
      <c r="D284" s="294" t="inlineStr">
        <is>
          <t>KODEX 미국나스닥100</t>
        </is>
      </c>
      <c r="E284" s="295" t="n">
        <v>32697</v>
      </c>
      <c r="F284" s="349" t="n"/>
      <c r="G284" s="295" t="n">
        <v>32697</v>
      </c>
      <c r="H284" s="294" t="inlineStr">
        <is>
          <t>예측</t>
        </is>
      </c>
    </row>
    <row r="285">
      <c r="A285" s="348" t="n">
        <v>46325</v>
      </c>
      <c r="B285" s="294" t="n">
        <v>10</v>
      </c>
      <c r="C285" s="294" t="inlineStr">
        <is>
          <t>433330</t>
        </is>
      </c>
      <c r="D285" s="294" t="inlineStr">
        <is>
          <t>SOL 미국 S&amp;P500</t>
        </is>
      </c>
      <c r="E285" s="295" t="n">
        <v>15807</v>
      </c>
      <c r="F285" s="349" t="n"/>
      <c r="G285" s="295" t="n">
        <v>15807</v>
      </c>
      <c r="H285" s="294" t="inlineStr">
        <is>
          <t>예측</t>
        </is>
      </c>
    </row>
    <row r="286">
      <c r="A286" s="348" t="n">
        <v>46325</v>
      </c>
      <c r="B286" s="294" t="n">
        <v>10</v>
      </c>
      <c r="C286" s="294" t="inlineStr">
        <is>
          <t>446720</t>
        </is>
      </c>
      <c r="D286" s="294" t="inlineStr">
        <is>
          <t>SOL 미국배당다우존스</t>
        </is>
      </c>
      <c r="E286" s="295" t="n">
        <v>43890</v>
      </c>
      <c r="F286" s="349" t="n"/>
      <c r="G286" s="295" t="n">
        <v>43890</v>
      </c>
      <c r="H286" s="294" t="inlineStr">
        <is>
          <t>예측</t>
        </is>
      </c>
    </row>
    <row r="287">
      <c r="A287" s="348" t="n">
        <v>46325</v>
      </c>
      <c r="B287" s="294" t="n">
        <v>10</v>
      </c>
      <c r="C287" s="294" t="inlineStr">
        <is>
          <t>458760</t>
        </is>
      </c>
      <c r="D287" s="294" t="inlineStr">
        <is>
          <t>TIGER 미배당다우커버드콜2호</t>
        </is>
      </c>
      <c r="E287" s="295" t="n">
        <v>1345575</v>
      </c>
      <c r="F287" s="349" t="n"/>
      <c r="G287" s="295" t="n">
        <v>1345575</v>
      </c>
      <c r="H287" s="294" t="inlineStr">
        <is>
          <t>예측</t>
        </is>
      </c>
    </row>
    <row r="288">
      <c r="A288" s="348" t="n">
        <v>46325</v>
      </c>
      <c r="B288" s="294" t="n">
        <v>10</v>
      </c>
      <c r="C288" s="294" t="inlineStr">
        <is>
          <t>468380</t>
        </is>
      </c>
      <c r="D288" s="294" t="inlineStr">
        <is>
          <t>KODEX iShares미국하이일드액티브</t>
        </is>
      </c>
      <c r="E288" s="295" t="n">
        <v>120000</v>
      </c>
      <c r="F288" s="349" t="n"/>
      <c r="G288" s="295" t="n">
        <v>120000</v>
      </c>
      <c r="H288" s="294" t="inlineStr">
        <is>
          <t>예측</t>
        </is>
      </c>
    </row>
    <row r="289">
      <c r="A289" s="348" t="n">
        <v>46325</v>
      </c>
      <c r="B289" s="294" t="n">
        <v>10</v>
      </c>
      <c r="C289" s="294" t="inlineStr">
        <is>
          <t>473330</t>
        </is>
      </c>
      <c r="D289" s="294" t="inlineStr">
        <is>
          <t>SOL 미국 30년국채커버드콜(합성)</t>
        </is>
      </c>
      <c r="E289" s="295" t="n">
        <v>78720</v>
      </c>
      <c r="F289" s="349" t="n"/>
      <c r="G289" s="295" t="n">
        <v>78720</v>
      </c>
      <c r="H289" s="294" t="inlineStr">
        <is>
          <t>예측</t>
        </is>
      </c>
    </row>
    <row r="290">
      <c r="A290" s="348" t="n">
        <v>46325</v>
      </c>
      <c r="B290" s="294" t="n">
        <v>10</v>
      </c>
      <c r="C290" s="294" t="inlineStr">
        <is>
          <t>475380</t>
        </is>
      </c>
      <c r="D290" s="294" t="inlineStr">
        <is>
          <t>RISE 글로벌리얼티인컴</t>
        </is>
      </c>
      <c r="E290" s="295" t="n">
        <v>3737</v>
      </c>
      <c r="F290" s="349" t="n"/>
      <c r="G290" s="295" t="n">
        <v>3737</v>
      </c>
      <c r="H290" s="294" t="inlineStr">
        <is>
          <t>예측</t>
        </is>
      </c>
    </row>
    <row r="291">
      <c r="A291" s="348" t="n">
        <v>46325</v>
      </c>
      <c r="B291" s="294" t="n">
        <v>10</v>
      </c>
      <c r="C291" s="294" t="inlineStr">
        <is>
          <t>476690</t>
        </is>
      </c>
      <c r="D291" s="294" t="inlineStr">
        <is>
          <t>TIGER 글로벌비만치료제 TOP2 Plus</t>
        </is>
      </c>
      <c r="E291" s="295" t="n">
        <v>1200</v>
      </c>
      <c r="F291" s="349" t="n"/>
      <c r="G291" s="295" t="n">
        <v>1200</v>
      </c>
      <c r="H291" s="294" t="inlineStr">
        <is>
          <t>예측</t>
        </is>
      </c>
    </row>
    <row r="292">
      <c r="A292" s="348" t="n">
        <v>46325</v>
      </c>
      <c r="B292" s="294" t="n">
        <v>10</v>
      </c>
      <c r="C292" s="294" t="inlineStr">
        <is>
          <t>482730</t>
        </is>
      </c>
      <c r="D292" s="294" t="inlineStr">
        <is>
          <t>미국S&amp;P500타겟데일리커버드콜</t>
        </is>
      </c>
      <c r="E292" s="295" t="n">
        <v>40375</v>
      </c>
      <c r="F292" s="349" t="n"/>
      <c r="G292" s="295" t="n">
        <v>40375</v>
      </c>
      <c r="H292" s="294" t="inlineStr">
        <is>
          <t>예측</t>
        </is>
      </c>
    </row>
    <row r="293">
      <c r="A293" s="348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48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48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48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3084.48</v>
      </c>
      <c r="H296" s="294" t="inlineStr">
        <is>
          <t>예측</t>
        </is>
      </c>
    </row>
    <row r="297">
      <c r="A297" s="348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48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48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48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48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48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19018.944</v>
      </c>
      <c r="H302" s="294" t="inlineStr">
        <is>
          <t>예측</t>
        </is>
      </c>
    </row>
    <row r="303">
      <c r="A303" s="348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1653.12</v>
      </c>
      <c r="H303" s="294" t="inlineStr">
        <is>
          <t>예측</t>
        </is>
      </c>
    </row>
    <row r="304">
      <c r="A304" s="348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1357.44</v>
      </c>
      <c r="H304" s="294" t="inlineStr">
        <is>
          <t>예측</t>
        </is>
      </c>
    </row>
    <row r="305">
      <c r="A305" s="348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2244.48</v>
      </c>
      <c r="H305" s="294" t="inlineStr">
        <is>
          <t>예측</t>
        </is>
      </c>
    </row>
    <row r="306">
      <c r="A306" s="348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2338.56</v>
      </c>
      <c r="H306" s="294" t="inlineStr">
        <is>
          <t>예측</t>
        </is>
      </c>
    </row>
    <row r="307">
      <c r="A307" s="348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5107.2</v>
      </c>
      <c r="H307" s="294" t="inlineStr">
        <is>
          <t>예측</t>
        </is>
      </c>
    </row>
    <row r="308">
      <c r="A308" s="348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48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48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48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48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48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48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48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48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48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48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48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48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48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48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5443.2</v>
      </c>
      <c r="H322" s="294" t="inlineStr">
        <is>
          <t>예측</t>
        </is>
      </c>
    </row>
    <row r="323">
      <c r="A323" s="348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8757.504000000001</v>
      </c>
      <c r="H323" s="294" t="inlineStr">
        <is>
          <t>예측</t>
        </is>
      </c>
    </row>
    <row r="324">
      <c r="A324" s="348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48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48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48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48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19018.944</v>
      </c>
      <c r="H328" s="294" t="inlineStr">
        <is>
          <t>예측</t>
        </is>
      </c>
    </row>
    <row r="329">
      <c r="A329" s="348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5033.28</v>
      </c>
      <c r="H329" s="294" t="inlineStr">
        <is>
          <t>예측</t>
        </is>
      </c>
    </row>
    <row r="330">
      <c r="A330" s="348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48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48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48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48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48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48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48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48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48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48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48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48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11155.2</v>
      </c>
      <c r="H342" s="294" t="inlineStr">
        <is>
          <t>예측</t>
        </is>
      </c>
    </row>
    <row r="343">
      <c r="A343" s="348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48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48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48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48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2026-10-09T04:20:58Z</dcterms:modified>
  <cp:lastModifiedBy>Hyoyol Park</cp:lastModifiedBy>
</cp:coreProperties>
</file>