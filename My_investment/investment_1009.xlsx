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￦1,337</t>
        </is>
      </c>
      <c r="J5" s="73" t="n">
        <v>1336.98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10535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10620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9470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10855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14040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10325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26590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14810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10535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13275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21515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11320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30560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25795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11485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10535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14810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17060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7570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111600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13290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11990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162800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10390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10220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9680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218500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218500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16520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362.4400024414062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55.54999923706055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34.34999847412109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342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20100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179700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92.36000061035156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92.36000061035156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161600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6745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148.6199951171875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181.3600006103516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217.2299957275391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34.09999847412109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539.4400024414062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157.0299987792969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39.22000122070312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200.5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55.25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12.15999984741211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37.13999938964844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422.25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183.8099975585938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127.0100021362305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134.4700012207031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4.809999942779541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96.87999725341797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6.150000095367432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13800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30.01000022888184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14885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177710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31025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21505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219.3200073242188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174.6799926757812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117.870002746582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4" t="n">
        <v>12</v>
      </c>
      <c r="B32" s="294">
        <f>IFERROR(INDEX('계좌현황'!A:A,INDEX($L$21:$L$95,MATCH(LARGE($N$21:$N$95,12),$N$21:$N$95,0))),"")</f>
        <v/>
      </c>
      <c r="C32" s="294">
        <f>IFERROR(INDEX('계좌현황'!C:C,INDEX($L$21:$L$95,MATCH(LARGE($N$21:$N$95,12),$N$21:$N$95,0))),"")</f>
        <v/>
      </c>
      <c r="D32" s="294">
        <f>IFERROR(INDEX('계좌현황'!D:D,INDEX($L$21:$L$95,MATCH(LARGE($N$21:$N$95,12),$N$21:$N$95,0))),"")</f>
        <v/>
      </c>
      <c r="E32" s="294">
        <f>IFERROR(INDEX('계좌현황'!E:E,INDEX($L$21:$L$95,MATCH(LARGE($N$21:$N$95,12),$N$21:$N$95,0))),"")</f>
        <v/>
      </c>
      <c r="F32" s="321">
        <f>IFERROR(INDEX('계좌현황'!F:F,INDEX($L$21:$L$95,MATCH(LARGE($N$21:$N$95,12),$N$21:$N$95,0))),"")</f>
        <v/>
      </c>
      <c r="G32" s="322">
        <f>IFERROR(INDEX('계좌현황'!K:K,INDEX($L$21:$L$95,MATCH(LARGE($N$21:$N$95,12),$N$21:$N$95,0))),0)</f>
        <v/>
      </c>
      <c r="H32" s="323">
        <f>IF($B$3=0,0,G32/$B$3)</f>
        <v/>
      </c>
      <c r="I32" s="323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5" t="n">
        <v>13</v>
      </c>
      <c r="B33" s="285">
        <f>IFERROR(INDEX('계좌현황'!A:A,INDEX($L$21:$L$95,MATCH(LARGE($N$21:$N$95,13),$N$21:$N$95,0))),"")</f>
        <v/>
      </c>
      <c r="C33" s="285">
        <f>IFERROR(INDEX('계좌현황'!C:C,INDEX($L$21:$L$95,MATCH(LARGE($N$21:$N$95,13),$N$21:$N$95,0))),"")</f>
        <v/>
      </c>
      <c r="D33" s="285">
        <f>IFERROR(INDEX('계좌현황'!D:D,INDEX($L$21:$L$95,MATCH(LARGE($N$21:$N$95,13),$N$21:$N$95,0))),"")</f>
        <v/>
      </c>
      <c r="E33" s="285">
        <f>IFERROR(INDEX('계좌현황'!E:E,INDEX($L$21:$L$95,MATCH(LARGE($N$21:$N$95,13),$N$21:$N$95,0))),"")</f>
        <v/>
      </c>
      <c r="F33" s="315">
        <f>IFERROR(INDEX('계좌현황'!F:F,INDEX($L$21:$L$95,MATCH(LARGE($N$21:$N$95,13),$N$21:$N$95,0))),"")</f>
        <v/>
      </c>
      <c r="G33" s="316">
        <f>IFERROR(INDEX('계좌현황'!K:K,INDEX($L$21:$L$95,MATCH(LARGE($N$21:$N$95,13),$N$21:$N$95,0))),0)</f>
        <v/>
      </c>
      <c r="H33" s="317">
        <f>IF($B$3=0,0,G33/$B$3)</f>
        <v/>
      </c>
      <c r="I33" s="317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7" t="n">
        <v>23</v>
      </c>
      <c r="B43" s="297">
        <f>IFERROR(INDEX('계좌현황'!A:A,INDEX($L$21:$L$95,MATCH(LARGE($N$21:$N$95,23),$N$21:$N$95,0))),"")</f>
        <v/>
      </c>
      <c r="C43" s="297">
        <f>IFERROR(INDEX('계좌현황'!C:C,INDEX($L$21:$L$95,MATCH(LARGE($N$21:$N$95,23),$N$21:$N$95,0))),"")</f>
        <v/>
      </c>
      <c r="D43" s="297">
        <f>IFERROR(INDEX('계좌현황'!D:D,INDEX($L$21:$L$95,MATCH(LARGE($N$21:$N$95,23),$N$21:$N$95,0))),"")</f>
        <v/>
      </c>
      <c r="E43" s="297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1,337원/$  | 연간 합계 51,230,852원 · 월평균 4,269,238원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3835486.47</v>
      </c>
      <c r="C7" s="289" t="n">
        <v>211860</v>
      </c>
      <c r="D7" s="289" t="n">
        <v>4047346.47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3955827.200000001</v>
      </c>
      <c r="C8" s="289" t="n">
        <v>211860</v>
      </c>
      <c r="D8" s="289" t="n">
        <v>4167687.200000001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4341630.284</v>
      </c>
      <c r="C9" s="289" t="n">
        <v>247268</v>
      </c>
      <c r="D9" s="289" t="n">
        <v>4588898.284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3965688.481</v>
      </c>
      <c r="C10" s="289" t="n">
        <v>216964</v>
      </c>
      <c r="D10" s="289" t="n">
        <v>4182652.481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4053513.391</v>
      </c>
      <c r="C11" s="289" t="n">
        <v>211860</v>
      </c>
      <c r="D11" s="289" t="n">
        <v>4265373.391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4097308.259999999</v>
      </c>
      <c r="C12" s="289" t="n">
        <v>247352</v>
      </c>
      <c r="D12" s="289" t="n">
        <v>4344660.26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4122858.331</v>
      </c>
      <c r="C13" s="286" t="n">
        <v>0</v>
      </c>
      <c r="D13" s="286" t="n">
        <v>4122858.331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3990047.236</v>
      </c>
      <c r="C14" s="286" t="n">
        <v>0</v>
      </c>
      <c r="D14" s="286" t="n">
        <v>3990047.236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3995530.457</v>
      </c>
      <c r="C15" s="289" t="n">
        <v>71724</v>
      </c>
      <c r="D15" s="289" t="n">
        <v>4067254.457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1153780</v>
      </c>
      <c r="C16" s="289" t="n">
        <v>2766966.448</v>
      </c>
      <c r="D16" s="289" t="n">
        <v>3920746.448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4177346.952000001</v>
      </c>
      <c r="D17" s="295" t="n">
        <v>4177346.952000001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5355980.794</v>
      </c>
      <c r="D18" s="295" t="n">
        <v>5355980.794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0.1052</v>
      </c>
      <c r="F24" s="310" t="n">
        <v>162007230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0.1044</v>
      </c>
      <c r="F25" s="310" t="n">
        <v>68274100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0.1723</v>
      </c>
      <c r="F26" s="310" t="n">
        <v>25802335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0.1568</v>
      </c>
      <c r="F27" s="310" t="n">
        <v>25565610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0.1248</v>
      </c>
      <c r="F28" s="310" t="n">
        <v>28410000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0.2936</v>
      </c>
      <c r="F29" s="310" t="n">
        <v>8660580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0.1958</v>
      </c>
      <c r="F30" s="310" t="n">
        <v>11630080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</v>
      </c>
      <c r="F31" s="310" t="n">
        <v>19975000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0.0745</v>
      </c>
      <c r="F32" s="310" t="n">
        <v>20650000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0.0304</v>
      </c>
      <c r="F33" s="310" t="n">
        <v>40579020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0.0207</v>
      </c>
      <c r="F34" s="310" t="n">
        <v>51231960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0.1316</v>
      </c>
      <c r="F35" s="310" t="n">
        <v>7267200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</v>
      </c>
      <c r="F36" s="310" t="n">
        <v>17655750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0.1092</v>
      </c>
      <c r="F37" s="310" t="n">
        <v>4811000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30913295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1337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19132.47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3128.58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1377.11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1657.88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2379.86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2433.34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19132.47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5454.96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5481.7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1278.172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2433.34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8246.616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25570.125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19203.331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1337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11966.15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19203.331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3248.91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1657.88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1377.11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2379.86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2433.34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19203.331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5454.96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5481.7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1337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1276.835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11966.15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11417.98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8118.264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19203.331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1337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19203.331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3248.91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1657.88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11611.845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1377.11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2379.86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2433.34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5454.96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19203.331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5481.7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1337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1480.059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5053.86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8567.496000000001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11966.15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19274.192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10829.7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1337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18990.748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3068.415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18919.887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1644.51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1350.37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2232.79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2326.38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5080.599999999999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5414.849999999999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8711.892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18919.887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5007.065000000001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11097.1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2026-10-16T06:04:40Z</dcterms:modified>
  <cp:lastModifiedBy>Hyoyol Park</cp:lastModifiedBy>
</cp:coreProperties>
</file>