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￦1,346</t>
        </is>
      </c>
      <c r="J5" s="73" t="n">
        <v>1346.38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10595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10675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9520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10805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14040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10365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26570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14820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10595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13340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21565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11350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30540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25855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11480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10590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14820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16835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7605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110400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13200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11975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156800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10250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10270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9690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16390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362.4400024414062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55.54999923706055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34.35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342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19885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178400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92.36000061035156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92.36000061035156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160500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6700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148.62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181.3600006103516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217.2299957275391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34.09999847412109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539.4400024414062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157.0299987792969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39.22000122070312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200.5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55.25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12.16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37.13999938964844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422.25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183.81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127.0100021362305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134.4700012207031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4.81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96.87999725341797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6.15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13960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30.01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14910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177645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31060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21565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219.3200073242188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174.6799926757812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117.870002746582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4" t="n">
        <v>12</v>
      </c>
      <c r="B32" s="294">
        <f>IFERROR(INDEX('계좌현황'!A:A,INDEX($L$21:$L$95,MATCH(LARGE($N$21:$N$95,12),$N$21:$N$95,0))),"")</f>
        <v/>
      </c>
      <c r="C32" s="294">
        <f>IFERROR(INDEX('계좌현황'!C:C,INDEX($L$21:$L$95,MATCH(LARGE($N$21:$N$95,12),$N$21:$N$95,0))),"")</f>
        <v/>
      </c>
      <c r="D32" s="294">
        <f>IFERROR(INDEX('계좌현황'!D:D,INDEX($L$21:$L$95,MATCH(LARGE($N$21:$N$95,12),$N$21:$N$95,0))),"")</f>
        <v/>
      </c>
      <c r="E32" s="294">
        <f>IFERROR(INDEX('계좌현황'!E:E,INDEX($L$21:$L$95,MATCH(LARGE($N$21:$N$95,12),$N$21:$N$95,0))),"")</f>
        <v/>
      </c>
      <c r="F32" s="321">
        <f>IFERROR(INDEX('계좌현황'!F:F,INDEX($L$21:$L$95,MATCH(LARGE($N$21:$N$95,12),$N$21:$N$95,0))),"")</f>
        <v/>
      </c>
      <c r="G32" s="322">
        <f>IFERROR(INDEX('계좌현황'!K:K,INDEX($L$21:$L$95,MATCH(LARGE($N$21:$N$95,12),$N$21:$N$95,0))),0)</f>
        <v/>
      </c>
      <c r="H32" s="323">
        <f>IF($B$3=0,0,G32/$B$3)</f>
        <v/>
      </c>
      <c r="I32" s="323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5" t="n">
        <v>13</v>
      </c>
      <c r="B33" s="285">
        <f>IFERROR(INDEX('계좌현황'!A:A,INDEX($L$21:$L$95,MATCH(LARGE($N$21:$N$95,13),$N$21:$N$95,0))),"")</f>
        <v/>
      </c>
      <c r="C33" s="285">
        <f>IFERROR(INDEX('계좌현황'!C:C,INDEX($L$21:$L$95,MATCH(LARGE($N$21:$N$95,13),$N$21:$N$95,0))),"")</f>
        <v/>
      </c>
      <c r="D33" s="285">
        <f>IFERROR(INDEX('계좌현황'!D:D,INDEX($L$21:$L$95,MATCH(LARGE($N$21:$N$95,13),$N$21:$N$95,0))),"")</f>
        <v/>
      </c>
      <c r="E33" s="285">
        <f>IFERROR(INDEX('계좌현황'!E:E,INDEX($L$21:$L$95,MATCH(LARGE($N$21:$N$95,13),$N$21:$N$95,0))),"")</f>
        <v/>
      </c>
      <c r="F33" s="315">
        <f>IFERROR(INDEX('계좌현황'!F:F,INDEX($L$21:$L$95,MATCH(LARGE($N$21:$N$95,13),$N$21:$N$95,0))),"")</f>
        <v/>
      </c>
      <c r="G33" s="316">
        <f>IFERROR(INDEX('계좌현황'!K:K,INDEX($L$21:$L$95,MATCH(LARGE($N$21:$N$95,13),$N$21:$N$95,0))),0)</f>
        <v/>
      </c>
      <c r="H33" s="317">
        <f>IF($B$3=0,0,G33/$B$3)</f>
        <v/>
      </c>
      <c r="I33" s="317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303" t="n">
        <v>16</v>
      </c>
      <c r="B36" s="303">
        <f>IFERROR(INDEX('계좌현황'!A:A,INDEX($L$21:$L$95,MATCH(LARGE($N$21:$N$95,16),$N$21:$N$95,0))),"")</f>
        <v/>
      </c>
      <c r="C36" s="303">
        <f>IFERROR(INDEX('계좌현황'!C:C,INDEX($L$21:$L$95,MATCH(LARGE($N$21:$N$95,16),$N$21:$N$95,0))),"")</f>
        <v/>
      </c>
      <c r="D36" s="303">
        <f>IFERROR(INDEX('계좌현황'!D:D,INDEX($L$21:$L$95,MATCH(LARGE($N$21:$N$95,16),$N$21:$N$95,0))),"")</f>
        <v/>
      </c>
      <c r="E36" s="303">
        <f>IFERROR(INDEX('계좌현황'!E:E,INDEX($L$21:$L$95,MATCH(LARGE($N$21:$N$95,16),$N$21:$N$95,0))),"")</f>
        <v/>
      </c>
      <c r="F36" s="327">
        <f>IFERROR(INDEX('계좌현황'!F:F,INDEX($L$21:$L$95,MATCH(LARGE($N$21:$N$95,16),$N$21:$N$95,0))),"")</f>
        <v/>
      </c>
      <c r="G36" s="328">
        <f>IFERROR(INDEX('계좌현황'!K:K,INDEX($L$21:$L$95,MATCH(LARGE($N$21:$N$95,16),$N$21:$N$95,0))),0)</f>
        <v/>
      </c>
      <c r="H36" s="329">
        <f>IF($B$3=0,0,G36/$B$3)</f>
        <v/>
      </c>
      <c r="I36" s="329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9" t="n">
        <v>22</v>
      </c>
      <c r="B42" s="309">
        <f>IFERROR(INDEX('계좌현황'!A:A,INDEX($L$21:$L$95,MATCH(LARGE($N$21:$N$95,22),$N$21:$N$95,0))),"")</f>
        <v/>
      </c>
      <c r="C42" s="309">
        <f>IFERROR(INDEX('계좌현황'!C:C,INDEX($L$21:$L$95,MATCH(LARGE($N$21:$N$95,22),$N$21:$N$95,0))),"")</f>
        <v/>
      </c>
      <c r="D42" s="309">
        <f>IFERROR(INDEX('계좌현황'!D:D,INDEX($L$21:$L$95,MATCH(LARGE($N$21:$N$95,22),$N$21:$N$95,0))),"")</f>
        <v/>
      </c>
      <c r="E42" s="309">
        <f>IFERROR(INDEX('계좌현황'!E:E,INDEX($L$21:$L$95,MATCH(LARGE($N$21:$N$95,22),$N$21:$N$95,0))),"")</f>
        <v/>
      </c>
      <c r="F42" s="333">
        <f>IFERROR(INDEX('계좌현황'!F:F,INDEX($L$21:$L$95,MATCH(LARGE($N$21:$N$95,22),$N$21:$N$95,0))),"")</f>
        <v/>
      </c>
      <c r="G42" s="334">
        <f>IFERROR(INDEX('계좌현황'!K:K,INDEX($L$21:$L$95,MATCH(LARGE($N$21:$N$95,22),$N$21:$N$95,0))),0)</f>
        <v/>
      </c>
      <c r="H42" s="335">
        <f>IF($B$3=0,0,G42/$B$3)</f>
        <v/>
      </c>
      <c r="I42" s="335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7" t="n">
        <v>23</v>
      </c>
      <c r="B43" s="297">
        <f>IFERROR(INDEX('계좌현황'!A:A,INDEX($L$21:$L$95,MATCH(LARGE($N$21:$N$95,23),$N$21:$N$95,0))),"")</f>
        <v/>
      </c>
      <c r="C43" s="297">
        <f>IFERROR(INDEX('계좌현황'!C:C,INDEX($L$21:$L$95,MATCH(LARGE($N$21:$N$95,23),$N$21:$N$95,0))),"")</f>
        <v/>
      </c>
      <c r="D43" s="297">
        <f>IFERROR(INDEX('계좌현황'!D:D,INDEX($L$21:$L$95,MATCH(LARGE($N$21:$N$95,23),$N$21:$N$95,0))),"")</f>
        <v/>
      </c>
      <c r="E43" s="297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1,346원/$  | 연간 합계 51,234,092원 · 월평균 4,269,508원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3835624.26</v>
      </c>
      <c r="C7" s="289" t="n">
        <v>211860</v>
      </c>
      <c r="D7" s="289" t="n">
        <v>4047484.26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3956066.6</v>
      </c>
      <c r="C8" s="289" t="n">
        <v>211860</v>
      </c>
      <c r="D8" s="289" t="n">
        <v>4167926.6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4342049.072000001</v>
      </c>
      <c r="C9" s="289" t="n">
        <v>247268</v>
      </c>
      <c r="D9" s="289" t="n">
        <v>4589317.072000001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3965907.298</v>
      </c>
      <c r="C10" s="289" t="n">
        <v>216964</v>
      </c>
      <c r="D10" s="289" t="n">
        <v>4182871.298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4053754.078</v>
      </c>
      <c r="C11" s="289" t="n">
        <v>211860</v>
      </c>
      <c r="D11" s="289" t="n">
        <v>4265614.078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4097704.08</v>
      </c>
      <c r="C12" s="289" t="n">
        <v>247352</v>
      </c>
      <c r="D12" s="289" t="n">
        <v>4345056.08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4122996.598</v>
      </c>
      <c r="C13" s="286" t="n">
        <v>0</v>
      </c>
      <c r="D13" s="286" t="n">
        <v>4122996.598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3990366.088</v>
      </c>
      <c r="C14" s="286" t="n">
        <v>0</v>
      </c>
      <c r="D14" s="286" t="n">
        <v>3990366.088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3995888.306</v>
      </c>
      <c r="C15" s="289" t="n">
        <v>71724</v>
      </c>
      <c r="D15" s="289" t="n">
        <v>4067612.306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1153789</v>
      </c>
      <c r="C16" s="289" t="n">
        <v>2767167.184</v>
      </c>
      <c r="D16" s="289" t="n">
        <v>3920956.184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4177580.016</v>
      </c>
      <c r="D17" s="295" t="n">
        <v>4177580.016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5356311.652</v>
      </c>
      <c r="D18" s="295" t="n">
        <v>5356311.652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0.1046</v>
      </c>
      <c r="F24" s="310" t="n">
        <v>162920090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0.1044</v>
      </c>
      <c r="F25" s="310" t="n">
        <v>68320200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0.1731</v>
      </c>
      <c r="F26" s="310" t="n">
        <v>25683485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0.1569</v>
      </c>
      <c r="F27" s="310" t="n">
        <v>25554480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0.1242</v>
      </c>
      <c r="F28" s="310" t="n">
        <v>28560000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0.2955</v>
      </c>
      <c r="F29" s="310" t="n">
        <v>8602800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0.1974</v>
      </c>
      <c r="F30" s="310" t="n">
        <v>11538560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</v>
      </c>
      <c r="F31" s="310" t="n">
        <v>19975000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0.0742</v>
      </c>
      <c r="F32" s="310" t="n">
        <v>20730000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0.0303</v>
      </c>
      <c r="F33" s="310" t="n">
        <v>40789175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0.0207</v>
      </c>
      <c r="F34" s="310" t="n">
        <v>51231960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</v>
      </c>
      <c r="F35" s="310" t="n">
        <v>7300800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17742200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0.1089</v>
      </c>
      <c r="F37" s="310" t="n">
        <v>4823750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30988905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1346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19261.26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3149.64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1386.38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1669.04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2395.88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2449.72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19261.26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5491.68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5518.599999999999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1286.776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2449.72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8302.128000000001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25742.25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19332.598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1346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12046.7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19332.598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3270.78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1669.04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1386.38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2395.88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2449.72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19332.598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5491.68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5518.599999999999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1346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1285.43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12046.7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11494.84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8172.912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19332.598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1346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19332.598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3270.78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1669.04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11690.01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1386.38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2395.88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2449.72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5491.68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19332.598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5518.599999999999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1346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1490.022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5087.88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8625.168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12046.7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19403.936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10902.6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1346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19118.584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3089.07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19047.246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1655.58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1359.46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2247.82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2342.04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5114.8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5451.3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8770.536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19047.246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5040.77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11171.8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2026-10-16T01:05:41Z</dcterms:modified>
  <cp:lastModifiedBy>Hyoyol Park</cp:lastModifiedBy>
</cp:coreProperties>
</file>