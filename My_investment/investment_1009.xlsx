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￦1,329</t>
        </is>
      </c>
      <c r="J5" s="73" t="n">
        <v>1329.36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10585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10595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9480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10960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13900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10210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26035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14585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10585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13275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21240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11185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29925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25467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11195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10580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14585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16315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7520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116000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12785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11922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168300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11100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10095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9665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215500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215500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16380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354.7200012207031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56.08000183105469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31.28000068664551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343.4599914550781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20200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187300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87.72000122070312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87.72000122070312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162700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6690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146.0299987792969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185.2700042724609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214.1300048828125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34.34999847412109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529.0499877929688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159.1000061035156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38.83000183105469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186.0299987792969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50.84000015258789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11.31999969482422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37.13000106811523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412.6099853515625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173.1600036621094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114.9400024414062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128.2299957275391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4.659999847412109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97.51999664306641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5.829999923706055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13920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27.96999931335449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14675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173985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30465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21240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224.9900054931641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178.9799957275391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118.8099975585938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7" t="n">
        <v>37</v>
      </c>
      <c r="B57" s="297">
        <f>IFERROR(INDEX('계좌현황'!A:A,INDEX($L$21:$L$95,MATCH(LARGE($N$21:$N$95,37),$N$21:$N$95,0))),"")</f>
        <v/>
      </c>
      <c r="C57" s="297">
        <f>IFERROR(INDEX('계좌현황'!C:C,INDEX($L$21:$L$95,MATCH(LARGE($N$21:$N$95,37),$N$21:$N$95,0))),"")</f>
        <v/>
      </c>
      <c r="D57" s="297">
        <f>IFERROR(INDEX('계좌현황'!D:D,INDEX($L$21:$L$95,MATCH(LARGE($N$21:$N$95,37),$N$21:$N$95,0))),"")</f>
        <v/>
      </c>
      <c r="E57" s="297">
        <f>IFERROR(INDEX('계좌현황'!E:E,INDEX($L$21:$L$95,MATCH(LARGE($N$21:$N$95,37),$N$21:$N$95,0))),"")</f>
        <v/>
      </c>
      <c r="F57" s="324">
        <f>IFERROR(INDEX('계좌현황'!F:F,INDEX($L$21:$L$95,MATCH(LARGE($N$21:$N$95,37),$N$21:$N$95,0))),"")</f>
        <v/>
      </c>
      <c r="G57" s="325">
        <f>IFERROR(INDEX('계좌현황'!K:K,INDEX($L$21:$L$95,MATCH(LARGE($N$21:$N$95,37),$N$21:$N$95,0))),0)</f>
        <v/>
      </c>
      <c r="H57" s="326">
        <f>IF($B$3=0,0,G57/$B$3)</f>
        <v/>
      </c>
      <c r="I57" s="326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IFERROR(INDEX('계좌현황'!A:A,INDEX($L$21:$L$95,MATCH(LARGE($N$21:$N$95,49),$N$21:$N$95,0))),"")</f>
        <v/>
      </c>
      <c r="C69" s="294">
        <f>IFERROR(INDEX('계좌현황'!C:C,INDEX($L$21:$L$95,MATCH(LARGE($N$21:$N$95,49),$N$21:$N$95,0))),"")</f>
        <v/>
      </c>
      <c r="D69" s="294">
        <f>IFERROR(INDEX('계좌현황'!D:D,INDEX($L$21:$L$95,MATCH(LARGE($N$21:$N$95,49),$N$21:$N$95,0))),"")</f>
        <v/>
      </c>
      <c r="E69" s="294">
        <f>IFERROR(INDEX('계좌현황'!E:E,INDEX($L$21:$L$95,MATCH(LARGE($N$21:$N$95,49),$N$21:$N$95,0))),"")</f>
        <v/>
      </c>
      <c r="F69" s="321">
        <f>IFERROR(INDEX('계좌현황'!F:F,INDEX($L$21:$L$95,MATCH(LARGE($N$21:$N$95,49),$N$21:$N$95,0))),"")</f>
        <v/>
      </c>
      <c r="G69" s="322">
        <f>IFERROR(INDEX('계좌현황'!K:K,INDEX($L$21:$L$95,MATCH(LARGE($N$21:$N$95,49),$N$21:$N$95,0))),0)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7" t="n">
        <v>50</v>
      </c>
      <c r="B70" s="297">
        <f>IFERROR(INDEX('계좌현황'!A:A,INDEX($L$21:$L$95,MATCH(LARGE($N$21:$N$95,50),$N$21:$N$95,0))),"")</f>
        <v/>
      </c>
      <c r="C70" s="297">
        <f>IFERROR(INDEX('계좌현황'!C:C,INDEX($L$21:$L$95,MATCH(LARGE($N$21:$N$95,50),$N$21:$N$95,0))),"")</f>
        <v/>
      </c>
      <c r="D70" s="297">
        <f>IFERROR(INDEX('계좌현황'!D:D,INDEX($L$21:$L$95,MATCH(LARGE($N$21:$N$95,50),$N$21:$N$95,0))),"")</f>
        <v/>
      </c>
      <c r="E70" s="297">
        <f>IFERROR(INDEX('계좌현황'!E:E,INDEX($L$21:$L$95,MATCH(LARGE($N$21:$N$95,50),$N$21:$N$95,0))),"")</f>
        <v/>
      </c>
      <c r="F70" s="324">
        <f>IFERROR(INDEX('계좌현황'!F:F,INDEX($L$21:$L$95,MATCH(LARGE($N$21:$N$95,50),$N$21:$N$95,0))),"")</f>
        <v/>
      </c>
      <c r="G70" s="325">
        <f>IFERROR(INDEX('계좌현황'!K:K,INDEX($L$21:$L$95,MATCH(LARGE($N$21:$N$95,50),$N$21:$N$95,0))),0)</f>
        <v/>
      </c>
      <c r="H70" s="326">
        <f>IF($B$3=0,0,G70/$B$3)</f>
        <v/>
      </c>
      <c r="I70" s="326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7" t="n">
        <v>61</v>
      </c>
      <c r="B81" s="297">
        <f>IFERROR(INDEX('계좌현황'!A:A,INDEX($L$21:$L$95,MATCH(LARGE($N$21:$N$95,61),$N$21:$N$95,0))),"")</f>
        <v/>
      </c>
      <c r="C81" s="297">
        <f>IFERROR(INDEX('계좌현황'!C:C,INDEX($L$21:$L$95,MATCH(LARGE($N$21:$N$95,61),$N$21:$N$95,0))),"")</f>
        <v/>
      </c>
      <c r="D81" s="297">
        <f>IFERROR(INDEX('계좌현황'!D:D,INDEX($L$21:$L$95,MATCH(LARGE($N$21:$N$95,61),$N$21:$N$95,0))),"")</f>
        <v/>
      </c>
      <c r="E81" s="297">
        <f>IFERROR(INDEX('계좌현황'!E:E,INDEX($L$21:$L$95,MATCH(LARGE($N$21:$N$95,61),$N$21:$N$95,0))),"")</f>
        <v/>
      </c>
      <c r="F81" s="324">
        <f>IFERROR(INDEX('계좌현황'!F:F,INDEX($L$21:$L$95,MATCH(LARGE($N$21:$N$95,61),$N$21:$N$95,0))),"")</f>
        <v/>
      </c>
      <c r="G81" s="325">
        <f>IFERROR(INDEX('계좌현황'!K:K,INDEX($L$21:$L$95,MATCH(LARGE($N$21:$N$95,61),$N$21:$N$95,0))),0)</f>
        <v/>
      </c>
      <c r="H81" s="326">
        <f>IF($B$3=0,0,G81/$B$3)</f>
        <v/>
      </c>
      <c r="I81" s="326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1,329원/$  | 연간 합계 51,227,972원 · 월평균 4,268,998원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3835363.99</v>
      </c>
      <c r="C7" s="289" t="n">
        <v>211860</v>
      </c>
      <c r="D7" s="289" t="n">
        <v>4047223.99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3955614.4</v>
      </c>
      <c r="C8" s="289" t="n">
        <v>211860</v>
      </c>
      <c r="D8" s="289" t="n">
        <v>4167474.4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4341258.028</v>
      </c>
      <c r="C9" s="289" t="n">
        <v>247268</v>
      </c>
      <c r="D9" s="289" t="n">
        <v>4588526.028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3965493.977</v>
      </c>
      <c r="C10" s="289" t="n">
        <v>216964</v>
      </c>
      <c r="D10" s="289" t="n">
        <v>4182457.977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4053299.447</v>
      </c>
      <c r="C11" s="289" t="n">
        <v>211860</v>
      </c>
      <c r="D11" s="289" t="n">
        <v>4265159.447000001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4096956.42</v>
      </c>
      <c r="C12" s="289" t="n">
        <v>247352</v>
      </c>
      <c r="D12" s="289" t="n">
        <v>4344308.42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4122735.427</v>
      </c>
      <c r="C13" s="286" t="n">
        <v>0</v>
      </c>
      <c r="D13" s="286" t="n">
        <v>4122735.427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3989763.812</v>
      </c>
      <c r="C14" s="286" t="n">
        <v>0</v>
      </c>
      <c r="D14" s="286" t="n">
        <v>3989763.812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3995212.369</v>
      </c>
      <c r="C15" s="289" t="n">
        <v>71724</v>
      </c>
      <c r="D15" s="289" t="n">
        <v>4066936.369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1153772</v>
      </c>
      <c r="C16" s="289" t="n">
        <v>2766788.016</v>
      </c>
      <c r="D16" s="289" t="n">
        <v>3920560.016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4177139.784</v>
      </c>
      <c r="D17" s="295" t="n">
        <v>4177139.784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5355686.698</v>
      </c>
      <c r="D18" s="295" t="n">
        <v>5355686.698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0.1047</v>
      </c>
      <c r="F24" s="310" t="n">
        <v>162766310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</v>
      </c>
      <c r="F25" s="310" t="n">
        <v>67236850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0.1706</v>
      </c>
      <c r="F26" s="310" t="n">
        <v>26051920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0.1609</v>
      </c>
      <c r="F27" s="310" t="n">
        <v>24920070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0.1247</v>
      </c>
      <c r="F28" s="310" t="n">
        <v>28440000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0.296</v>
      </c>
      <c r="F29" s="310" t="n">
        <v>8589960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0.1975</v>
      </c>
      <c r="F30" s="310" t="n">
        <v>11531520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0.09329999999999999</v>
      </c>
      <c r="F31" s="310" t="n">
        <v>20025000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0.07539999999999999</v>
      </c>
      <c r="F32" s="310" t="n">
        <v>20420000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40483495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50721100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0.1325</v>
      </c>
      <c r="F35" s="310" t="n">
        <v>7219200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</v>
      </c>
      <c r="F36" s="310" t="n">
        <v>17655750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0.1105</v>
      </c>
      <c r="F37" s="310" t="n">
        <v>4753625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30521880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1329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19017.99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3109.86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1368.87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1647.96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2365.62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2418.78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19017.99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5422.32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5448.9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1270.524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2418.78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8197.272000000001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25417.125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19088.427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1329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11894.55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19088.427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3229.47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1647.96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1368.87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2365.62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2418.78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19088.427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5422.32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5448.9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1329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1269.195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11894.55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11349.66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8069.688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19088.427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1329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19088.427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3229.47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1647.96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11542.365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1368.87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2365.62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2418.78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5422.32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19088.427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5448.9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1329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1471.203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5023.62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8516.232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11894.55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19158.864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10764.9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1329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18877.116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3050.055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18806.679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1634.67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1342.29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2219.43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2312.46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5050.2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5382.45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8659.763999999999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18806.679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4977.105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11030.7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2026-10-19T06:03:31Z</dcterms:modified>
  <cp:lastModifiedBy>Hyoyol Park</cp:lastModifiedBy>
</cp:coreProperties>
</file>