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￦1,327</t>
        </is>
      </c>
      <c r="J5" s="73" t="n">
        <v>1326.58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10530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10545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9450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10965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13900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10190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4007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25910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14595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10530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13230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21145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11155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29785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25355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11190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10530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14580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16500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7465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112900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12665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11765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165600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10815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10005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9595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213250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213250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16085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368.06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55.51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30.78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342.94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20150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183000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89.79000000000001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89.79000000000001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162200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6565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147.96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183.03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217.09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34.24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533.52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156.09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38.42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194.15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51.36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11.28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37.21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420.22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168.45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110.12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129.59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4.61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97.87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5.69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14000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27.24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14635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173145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30445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21145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224.37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178.28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118.7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7" t="n">
        <v>37</v>
      </c>
      <c r="B57" s="297">
        <f>IFERROR(INDEX('계좌현황'!A:A,INDEX($L$21:$L$95,MATCH(LARGE($N$21:$N$95,37),$N$21:$N$95,0))),"")</f>
        <v/>
      </c>
      <c r="C57" s="297">
        <f>IFERROR(INDEX('계좌현황'!C:C,INDEX($L$21:$L$95,MATCH(LARGE($N$21:$N$95,37),$N$21:$N$95,0))),"")</f>
        <v/>
      </c>
      <c r="D57" s="297">
        <f>IFERROR(INDEX('계좌현황'!D:D,INDEX($L$21:$L$95,MATCH(LARGE($N$21:$N$95,37),$N$21:$N$95,0))),"")</f>
        <v/>
      </c>
      <c r="E57" s="297">
        <f>IFERROR(INDEX('계좌현황'!E:E,INDEX($L$21:$L$95,MATCH(LARGE($N$21:$N$95,37),$N$21:$N$95,0))),"")</f>
        <v/>
      </c>
      <c r="F57" s="324">
        <f>IFERROR(INDEX('계좌현황'!F:F,INDEX($L$21:$L$95,MATCH(LARGE($N$21:$N$95,37),$N$21:$N$95,0))),"")</f>
        <v/>
      </c>
      <c r="G57" s="325">
        <f>IFERROR(INDEX('계좌현황'!K:K,INDEX($L$21:$L$95,MATCH(LARGE($N$21:$N$95,37),$N$21:$N$95,0))),0)</f>
        <v/>
      </c>
      <c r="H57" s="326">
        <f>IF($B$3=0,0,G57/$B$3)</f>
        <v/>
      </c>
      <c r="I57" s="326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4" t="n">
        <v>42</v>
      </c>
      <c r="B62" s="294">
        <f>IFERROR(INDEX('계좌현황'!A:A,INDEX($L$21:$L$95,MATCH(LARGE($N$21:$N$95,42),$N$21:$N$95,0))),"")</f>
        <v/>
      </c>
      <c r="C62" s="294">
        <f>IFERROR(INDEX('계좌현황'!C:C,INDEX($L$21:$L$95,MATCH(LARGE($N$21:$N$95,42),$N$21:$N$95,0))),"")</f>
        <v/>
      </c>
      <c r="D62" s="294">
        <f>IFERROR(INDEX('계좌현황'!D:D,INDEX($L$21:$L$95,MATCH(LARGE($N$21:$N$95,42),$N$21:$N$95,0))),"")</f>
        <v/>
      </c>
      <c r="E62" s="294">
        <f>IFERROR(INDEX('계좌현황'!E:E,INDEX($L$21:$L$95,MATCH(LARGE($N$21:$N$95,42),$N$21:$N$95,0))),"")</f>
        <v/>
      </c>
      <c r="F62" s="321">
        <f>IFERROR(INDEX('계좌현황'!F:F,INDEX($L$21:$L$95,MATCH(LARGE($N$21:$N$95,42),$N$21:$N$95,0))),"")</f>
        <v/>
      </c>
      <c r="G62" s="322">
        <f>IFERROR(INDEX('계좌현황'!K:K,INDEX($L$21:$L$95,MATCH(LARGE($N$21:$N$95,42),$N$21:$N$95,0))),0)</f>
        <v/>
      </c>
      <c r="H62" s="323">
        <f>IF($B$3=0,0,G62/$B$3)</f>
        <v/>
      </c>
      <c r="I62" s="323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7" t="n">
        <v>43</v>
      </c>
      <c r="B63" s="297">
        <f>IFERROR(INDEX('계좌현황'!A:A,INDEX($L$21:$L$95,MATCH(LARGE($N$21:$N$95,43),$N$21:$N$95,0))),"")</f>
        <v/>
      </c>
      <c r="C63" s="297">
        <f>IFERROR(INDEX('계좌현황'!C:C,INDEX($L$21:$L$95,MATCH(LARGE($N$21:$N$95,43),$N$21:$N$95,0))),"")</f>
        <v/>
      </c>
      <c r="D63" s="297">
        <f>IFERROR(INDEX('계좌현황'!D:D,INDEX($L$21:$L$95,MATCH(LARGE($N$21:$N$95,43),$N$21:$N$95,0))),"")</f>
        <v/>
      </c>
      <c r="E63" s="297">
        <f>IFERROR(INDEX('계좌현황'!E:E,INDEX($L$21:$L$95,MATCH(LARGE($N$21:$N$95,43),$N$21:$N$95,0))),"")</f>
        <v/>
      </c>
      <c r="F63" s="324">
        <f>IFERROR(INDEX('계좌현황'!F:F,INDEX($L$21:$L$95,MATCH(LARGE($N$21:$N$95,43),$N$21:$N$95,0))),"")</f>
        <v/>
      </c>
      <c r="G63" s="325">
        <f>IFERROR(INDEX('계좌현황'!K:K,INDEX($L$21:$L$95,MATCH(LARGE($N$21:$N$95,43),$N$21:$N$95,0))),0)</f>
        <v/>
      </c>
      <c r="H63" s="326">
        <f>IF($B$3=0,0,G63/$B$3)</f>
        <v/>
      </c>
      <c r="I63" s="326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1,327원/$  | 연간 합계 51,227,252원 · 월평균 4,268,938원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3835333.37</v>
      </c>
      <c r="C7" s="289" t="n">
        <v>211860</v>
      </c>
      <c r="D7" s="289" t="n">
        <v>4047193.37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3955561.2</v>
      </c>
      <c r="C8" s="289" t="n">
        <v>211860</v>
      </c>
      <c r="D8" s="289" t="n">
        <v>4167421.2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4341164.964000001</v>
      </c>
      <c r="C9" s="289" t="n">
        <v>247268</v>
      </c>
      <c r="D9" s="289" t="n">
        <v>4588432.964000001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3965445.351</v>
      </c>
      <c r="C10" s="289" t="n">
        <v>216964</v>
      </c>
      <c r="D10" s="289" t="n">
        <v>4182409.351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4053245.961</v>
      </c>
      <c r="C11" s="289" t="n">
        <v>211860</v>
      </c>
      <c r="D11" s="289" t="n">
        <v>4265105.960999999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4096868.459999999</v>
      </c>
      <c r="C12" s="289" t="n">
        <v>247352</v>
      </c>
      <c r="D12" s="289" t="n">
        <v>4344220.459999999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4122704.701</v>
      </c>
      <c r="C13" s="286" t="n">
        <v>0</v>
      </c>
      <c r="D13" s="286" t="n">
        <v>4122704.701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3989692.956</v>
      </c>
      <c r="C14" s="286" t="n">
        <v>0</v>
      </c>
      <c r="D14" s="286" t="n">
        <v>3989692.956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3995132.847</v>
      </c>
      <c r="C15" s="289" t="n">
        <v>71724</v>
      </c>
      <c r="D15" s="289" t="n">
        <v>4066856.847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1153770</v>
      </c>
      <c r="C16" s="289" t="n">
        <v>2766743.408</v>
      </c>
      <c r="D16" s="289" t="n">
        <v>3920513.408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4177087.992000001</v>
      </c>
      <c r="D17" s="295" t="n">
        <v>4177087.992000001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5355613.174</v>
      </c>
      <c r="D18" s="295" t="n">
        <v>5355613.174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0.1052</v>
      </c>
      <c r="F24" s="310" t="n">
        <v>161930340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0.106</v>
      </c>
      <c r="F25" s="310" t="n">
        <v>67262700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0.1705</v>
      </c>
      <c r="F26" s="310" t="n">
        <v>26063805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0.1609</v>
      </c>
      <c r="F27" s="310" t="n">
        <v>24908940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0.1251</v>
      </c>
      <c r="F28" s="310" t="n">
        <v>28350000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0.3016</v>
      </c>
      <c r="F29" s="310" t="n">
        <v>8429460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0.2011</v>
      </c>
      <c r="F30" s="310" t="n">
        <v>11323840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0.09320000000000001</v>
      </c>
      <c r="F31" s="310" t="n">
        <v>20035000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0.0755</v>
      </c>
      <c r="F32" s="310" t="n">
        <v>20380000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0.0306</v>
      </c>
      <c r="F33" s="310" t="n">
        <v>40292445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0.0209</v>
      </c>
      <c r="F34" s="310" t="n">
        <v>50721100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0.1335</v>
      </c>
      <c r="F35" s="310" t="n">
        <v>7166400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0.0311</v>
      </c>
      <c r="F36" s="310" t="n">
        <v>17595900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0.1108</v>
      </c>
      <c r="F37" s="310" t="n">
        <v>4740875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30385365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1327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18989.37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3105.18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1366.81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1645.48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2362.06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2415.14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18989.37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5414.16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5440.7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1268.612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2415.14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8184.936000000001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25378.875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19059.701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1327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11876.65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19059.701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3224.61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1645.48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1366.81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2362.06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2415.14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19059.701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5414.16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5440.7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1327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1267.285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11876.65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11332.58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8057.544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19059.701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1327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19059.701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3224.61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1645.48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11524.995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1366.81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2362.06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2415.14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5414.16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19059.701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5440.7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1327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1468.989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5016.059999999999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8503.416000000001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11876.65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19130.032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10748.7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1327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18848.708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3045.465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18778.377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1632.21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1340.27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2216.09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2308.98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5042.599999999999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5374.349999999999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8646.732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18778.377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4969.615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11014.1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2026-10-20T01:05:35Z</dcterms:modified>
  <cp:lastModifiedBy>Hyoyol Park</cp:lastModifiedBy>
</cp:coreProperties>
</file>